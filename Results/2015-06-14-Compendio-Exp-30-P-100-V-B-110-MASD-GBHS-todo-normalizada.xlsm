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360" yWindow="300" windowWidth="14880" windowHeight="6912" activeTab="3"/>
  </bookViews>
  <sheets>
    <sheet name="para-cargar" sheetId="16" r:id="rId1"/>
    <sheet name="DUC2001" sheetId="18" r:id="rId2"/>
    <sheet name="DUC2002" sheetId="15" r:id="rId3"/>
    <sheet name="Tablas" sheetId="17" r:id="rId4"/>
    <sheet name="Tablas sin MA-SingleDocSum" sheetId="21" r:id="rId5"/>
    <sheet name="TDM-BM25" sheetId="19" r:id="rId6"/>
  </sheets>
  <functionGroups builtInGroupCount="17"/>
  <definedNames>
    <definedName name="_Ref356406428" localSheetId="3">Tablas!$A$1</definedName>
    <definedName name="_Ref356406428" localSheetId="4">'Tablas sin MA-SingleDocSum'!$A$1</definedName>
    <definedName name="_Ref356415383" localSheetId="3">Tablas!$A$14</definedName>
    <definedName name="_Ref356415383" localSheetId="4">'Tablas sin MA-SingleDocSum'!$A$13</definedName>
  </definedNames>
  <calcPr calcId="145621"/>
</workbook>
</file>

<file path=xl/calcChain.xml><?xml version="1.0" encoding="utf-8"?>
<calcChain xmlns="http://schemas.openxmlformats.org/spreadsheetml/2006/main">
  <c r="O289" i="18" l="1"/>
  <c r="T289" i="18" s="1"/>
  <c r="O288" i="18"/>
  <c r="T288" i="18" s="1"/>
  <c r="T287" i="18"/>
  <c r="O287" i="18"/>
  <c r="S287" i="18" s="1"/>
  <c r="S286" i="18"/>
  <c r="O286" i="18"/>
  <c r="R286" i="18" s="1"/>
  <c r="T285" i="18"/>
  <c r="S285" i="18"/>
  <c r="R285" i="18"/>
  <c r="P285" i="18"/>
  <c r="O285" i="18"/>
  <c r="Q285" i="18" s="1"/>
  <c r="U285" i="18" s="1"/>
  <c r="Q284" i="18"/>
  <c r="O284" i="18"/>
  <c r="P284" i="18" s="1"/>
  <c r="T283" i="18"/>
  <c r="S283" i="18"/>
  <c r="R283" i="18"/>
  <c r="P283" i="18"/>
  <c r="O283" i="18"/>
  <c r="Q283" i="18" s="1"/>
  <c r="O282" i="18"/>
  <c r="T281" i="18"/>
  <c r="R281" i="18"/>
  <c r="Q281" i="18"/>
  <c r="P281" i="18"/>
  <c r="U281" i="18" s="1"/>
  <c r="O281" i="18"/>
  <c r="S281" i="18" s="1"/>
  <c r="O280" i="18"/>
  <c r="T280" i="18" s="1"/>
  <c r="T279" i="18"/>
  <c r="O279" i="18"/>
  <c r="S279" i="18" s="1"/>
  <c r="S278" i="18"/>
  <c r="O278" i="18"/>
  <c r="R278" i="18" s="1"/>
  <c r="T277" i="18"/>
  <c r="S277" i="18"/>
  <c r="R277" i="18"/>
  <c r="U277" i="18" s="1"/>
  <c r="Q277" i="18"/>
  <c r="P277" i="18"/>
  <c r="O277" i="18"/>
  <c r="S276" i="18"/>
  <c r="Q276" i="18"/>
  <c r="O276" i="18"/>
  <c r="P276" i="18" s="1"/>
  <c r="T275" i="18"/>
  <c r="S275" i="18"/>
  <c r="R275" i="18"/>
  <c r="P275" i="18"/>
  <c r="U275" i="18" s="1"/>
  <c r="O275" i="18"/>
  <c r="Q275" i="18" s="1"/>
  <c r="O274" i="18"/>
  <c r="T273" i="18"/>
  <c r="R273" i="18"/>
  <c r="Q273" i="18"/>
  <c r="P273" i="18"/>
  <c r="U273" i="18" s="1"/>
  <c r="O273" i="18"/>
  <c r="S273" i="18" s="1"/>
  <c r="O272" i="18"/>
  <c r="T272" i="18" s="1"/>
  <c r="T271" i="18"/>
  <c r="O271" i="18"/>
  <c r="S271" i="18" s="1"/>
  <c r="S270" i="18"/>
  <c r="O270" i="18"/>
  <c r="R270" i="18" s="1"/>
  <c r="T269" i="18"/>
  <c r="S269" i="18"/>
  <c r="R269" i="18"/>
  <c r="U269" i="18" s="1"/>
  <c r="Q269" i="18"/>
  <c r="P269" i="18"/>
  <c r="O269" i="18"/>
  <c r="S268" i="18"/>
  <c r="Q268" i="18"/>
  <c r="O268" i="18"/>
  <c r="P268" i="18" s="1"/>
  <c r="T267" i="18"/>
  <c r="S267" i="18"/>
  <c r="R267" i="18"/>
  <c r="P267" i="18"/>
  <c r="U267" i="18" s="1"/>
  <c r="O267" i="18"/>
  <c r="Q267" i="18" s="1"/>
  <c r="O266" i="18"/>
  <c r="T265" i="18"/>
  <c r="R265" i="18"/>
  <c r="Q265" i="18"/>
  <c r="P265" i="18"/>
  <c r="U265" i="18" s="1"/>
  <c r="O265" i="18"/>
  <c r="S265" i="18" s="1"/>
  <c r="O264" i="18"/>
  <c r="T264" i="18" s="1"/>
  <c r="T263" i="18"/>
  <c r="O263" i="18"/>
  <c r="S263" i="18" s="1"/>
  <c r="S262" i="18"/>
  <c r="O262" i="18"/>
  <c r="R262" i="18" s="1"/>
  <c r="T261" i="18"/>
  <c r="S261" i="18"/>
  <c r="R261" i="18"/>
  <c r="U261" i="18" s="1"/>
  <c r="Q261" i="18"/>
  <c r="P261" i="18"/>
  <c r="O261" i="18"/>
  <c r="S260" i="18"/>
  <c r="Q260" i="18"/>
  <c r="O260" i="18"/>
  <c r="P260" i="18" s="1"/>
  <c r="T259" i="18"/>
  <c r="S259" i="18"/>
  <c r="R259" i="18"/>
  <c r="P259" i="18"/>
  <c r="U259" i="18" s="1"/>
  <c r="O259" i="18"/>
  <c r="Q259" i="18" s="1"/>
  <c r="O258" i="18"/>
  <c r="T257" i="18"/>
  <c r="R257" i="18"/>
  <c r="Q257" i="18"/>
  <c r="P257" i="18"/>
  <c r="U257" i="18" s="1"/>
  <c r="O257" i="18"/>
  <c r="S257" i="18" s="1"/>
  <c r="O256" i="18"/>
  <c r="T256" i="18" s="1"/>
  <c r="T255" i="18"/>
  <c r="O255" i="18"/>
  <c r="S255" i="18" s="1"/>
  <c r="S254" i="18"/>
  <c r="O254" i="18"/>
  <c r="R254" i="18" s="1"/>
  <c r="T253" i="18"/>
  <c r="S253" i="18"/>
  <c r="R253" i="18"/>
  <c r="U253" i="18" s="1"/>
  <c r="Q253" i="18"/>
  <c r="P253" i="18"/>
  <c r="O253" i="18"/>
  <c r="T252" i="18"/>
  <c r="S252" i="18"/>
  <c r="Q252" i="18"/>
  <c r="O252" i="18"/>
  <c r="P252" i="18" s="1"/>
  <c r="T251" i="18"/>
  <c r="S251" i="18"/>
  <c r="R251" i="18"/>
  <c r="P251" i="18"/>
  <c r="O251" i="18"/>
  <c r="Q251" i="18" s="1"/>
  <c r="O250" i="18"/>
  <c r="T249" i="18"/>
  <c r="R249" i="18"/>
  <c r="Q249" i="18"/>
  <c r="P249" i="18"/>
  <c r="O249" i="18"/>
  <c r="S249" i="18" s="1"/>
  <c r="O248" i="18"/>
  <c r="T248" i="18" s="1"/>
  <c r="T247" i="18"/>
  <c r="O247" i="18"/>
  <c r="S247" i="18" s="1"/>
  <c r="S246" i="18"/>
  <c r="O246" i="18"/>
  <c r="R246" i="18" s="1"/>
  <c r="T245" i="18"/>
  <c r="S245" i="18"/>
  <c r="R245" i="18"/>
  <c r="U245" i="18" s="1"/>
  <c r="Q245" i="18"/>
  <c r="P245" i="18"/>
  <c r="O245" i="18"/>
  <c r="T244" i="18"/>
  <c r="S244" i="18"/>
  <c r="Q244" i="18"/>
  <c r="O244" i="18"/>
  <c r="P244" i="18" s="1"/>
  <c r="T243" i="18"/>
  <c r="S243" i="18"/>
  <c r="R243" i="18"/>
  <c r="P243" i="18"/>
  <c r="U243" i="18" s="1"/>
  <c r="O243" i="18"/>
  <c r="Q243" i="18" s="1"/>
  <c r="O242" i="18"/>
  <c r="T241" i="18"/>
  <c r="R241" i="18"/>
  <c r="Q241" i="18"/>
  <c r="P241" i="18"/>
  <c r="U241" i="18" s="1"/>
  <c r="O241" i="18"/>
  <c r="S241" i="18" s="1"/>
  <c r="O240" i="18"/>
  <c r="T240" i="18" s="1"/>
  <c r="T239" i="18"/>
  <c r="O239" i="18"/>
  <c r="S239" i="18" s="1"/>
  <c r="S238" i="18"/>
  <c r="O238" i="18"/>
  <c r="R238" i="18" s="1"/>
  <c r="T237" i="18"/>
  <c r="R237" i="18"/>
  <c r="Q237" i="18"/>
  <c r="P237" i="18"/>
  <c r="O237" i="18"/>
  <c r="S237" i="18" s="1"/>
  <c r="T236" i="18"/>
  <c r="S236" i="18"/>
  <c r="Q236" i="18"/>
  <c r="O236" i="18"/>
  <c r="P236" i="18" s="1"/>
  <c r="T235" i="18"/>
  <c r="S235" i="18"/>
  <c r="R235" i="18"/>
  <c r="P235" i="18"/>
  <c r="U235" i="18" s="1"/>
  <c r="O235" i="18"/>
  <c r="Q235" i="18" s="1"/>
  <c r="O234" i="18"/>
  <c r="T233" i="18"/>
  <c r="R233" i="18"/>
  <c r="Q233" i="18"/>
  <c r="P233" i="18"/>
  <c r="U233" i="18" s="1"/>
  <c r="O233" i="18"/>
  <c r="S233" i="18" s="1"/>
  <c r="O232" i="18"/>
  <c r="T232" i="18" s="1"/>
  <c r="T231" i="18"/>
  <c r="O231" i="18"/>
  <c r="S231" i="18" s="1"/>
  <c r="S230" i="18"/>
  <c r="O230" i="18"/>
  <c r="R230" i="18" s="1"/>
  <c r="T229" i="18"/>
  <c r="R229" i="18"/>
  <c r="Q229" i="18"/>
  <c r="P229" i="18"/>
  <c r="O229" i="18"/>
  <c r="S229" i="18" s="1"/>
  <c r="T228" i="18"/>
  <c r="S228" i="18"/>
  <c r="Q228" i="18"/>
  <c r="O228" i="18"/>
  <c r="P228" i="18" s="1"/>
  <c r="T227" i="18"/>
  <c r="S227" i="18"/>
  <c r="R227" i="18"/>
  <c r="P227" i="18"/>
  <c r="U227" i="18" s="1"/>
  <c r="O227" i="18"/>
  <c r="Q227" i="18" s="1"/>
  <c r="O226" i="18"/>
  <c r="T225" i="18"/>
  <c r="R225" i="18"/>
  <c r="Q225" i="18"/>
  <c r="P225" i="18"/>
  <c r="U225" i="18" s="1"/>
  <c r="O225" i="18"/>
  <c r="S225" i="18" s="1"/>
  <c r="O224" i="18"/>
  <c r="T224" i="18" s="1"/>
  <c r="T223" i="18"/>
  <c r="O223" i="18"/>
  <c r="S223" i="18" s="1"/>
  <c r="S222" i="18"/>
  <c r="O222" i="18"/>
  <c r="R222" i="18" s="1"/>
  <c r="T221" i="18"/>
  <c r="R221" i="18"/>
  <c r="Q221" i="18"/>
  <c r="P221" i="18"/>
  <c r="O221" i="18"/>
  <c r="S221" i="18" s="1"/>
  <c r="T220" i="18"/>
  <c r="S220" i="18"/>
  <c r="Q220" i="18"/>
  <c r="O220" i="18"/>
  <c r="P220" i="18" s="1"/>
  <c r="T219" i="18"/>
  <c r="S219" i="18"/>
  <c r="R219" i="18"/>
  <c r="P219" i="18"/>
  <c r="U219" i="18" s="1"/>
  <c r="O219" i="18"/>
  <c r="Q219" i="18" s="1"/>
  <c r="O218" i="18"/>
  <c r="T217" i="18"/>
  <c r="R217" i="18"/>
  <c r="Q217" i="18"/>
  <c r="P217" i="18"/>
  <c r="U217" i="18" s="1"/>
  <c r="O217" i="18"/>
  <c r="S217" i="18" s="1"/>
  <c r="O216" i="18"/>
  <c r="T216" i="18" s="1"/>
  <c r="T215" i="18"/>
  <c r="O215" i="18"/>
  <c r="S215" i="18" s="1"/>
  <c r="S214" i="18"/>
  <c r="O214" i="18"/>
  <c r="R214" i="18" s="1"/>
  <c r="T213" i="18"/>
  <c r="R213" i="18"/>
  <c r="Q213" i="18"/>
  <c r="P213" i="18"/>
  <c r="O213" i="18"/>
  <c r="S213" i="18" s="1"/>
  <c r="T212" i="18"/>
  <c r="S212" i="18"/>
  <c r="Q212" i="18"/>
  <c r="O212" i="18"/>
  <c r="P212" i="18" s="1"/>
  <c r="T211" i="18"/>
  <c r="S211" i="18"/>
  <c r="R211" i="18"/>
  <c r="P211" i="18"/>
  <c r="U211" i="18" s="1"/>
  <c r="O211" i="18"/>
  <c r="Q211" i="18" s="1"/>
  <c r="R210" i="18"/>
  <c r="O210" i="18"/>
  <c r="T209" i="18"/>
  <c r="R209" i="18"/>
  <c r="Q209" i="18"/>
  <c r="P209" i="18"/>
  <c r="U209" i="18" s="1"/>
  <c r="O209" i="18"/>
  <c r="S209" i="18" s="1"/>
  <c r="P208" i="18"/>
  <c r="O208" i="18"/>
  <c r="O207" i="18"/>
  <c r="S206" i="18"/>
  <c r="O206" i="18"/>
  <c r="T205" i="18"/>
  <c r="R205" i="18"/>
  <c r="U205" i="18" s="1"/>
  <c r="Q205" i="18"/>
  <c r="P205" i="18"/>
  <c r="O205" i="18"/>
  <c r="S205" i="18" s="1"/>
  <c r="T204" i="18"/>
  <c r="S204" i="18"/>
  <c r="Q204" i="18"/>
  <c r="O204" i="18"/>
  <c r="P204" i="18" s="1"/>
  <c r="T203" i="18"/>
  <c r="S203" i="18"/>
  <c r="R203" i="18"/>
  <c r="P203" i="18"/>
  <c r="O203" i="18"/>
  <c r="Q203" i="18" s="1"/>
  <c r="S202" i="18"/>
  <c r="R202" i="18"/>
  <c r="Q202" i="18"/>
  <c r="O202" i="18"/>
  <c r="T201" i="18"/>
  <c r="R201" i="18"/>
  <c r="Q201" i="18"/>
  <c r="P201" i="18"/>
  <c r="O201" i="18"/>
  <c r="S201" i="18" s="1"/>
  <c r="O200" i="18"/>
  <c r="T199" i="18"/>
  <c r="P199" i="18"/>
  <c r="O199" i="18"/>
  <c r="O198" i="18"/>
  <c r="T197" i="18"/>
  <c r="S197" i="18"/>
  <c r="R197" i="18"/>
  <c r="Q197" i="18"/>
  <c r="P197" i="18"/>
  <c r="U197" i="18" s="1"/>
  <c r="O197" i="18"/>
  <c r="S196" i="18"/>
  <c r="O196" i="18"/>
  <c r="T195" i="18"/>
  <c r="S195" i="18"/>
  <c r="R195" i="18"/>
  <c r="P195" i="18"/>
  <c r="U195" i="18" s="1"/>
  <c r="O195" i="18"/>
  <c r="Q195" i="18" s="1"/>
  <c r="R194" i="18"/>
  <c r="O194" i="18"/>
  <c r="S194" i="18" s="1"/>
  <c r="T193" i="18"/>
  <c r="R193" i="18"/>
  <c r="Q193" i="18"/>
  <c r="P193" i="18"/>
  <c r="U193" i="18" s="1"/>
  <c r="O193" i="18"/>
  <c r="S193" i="18" s="1"/>
  <c r="O192" i="18"/>
  <c r="R191" i="18"/>
  <c r="O191" i="18"/>
  <c r="O190" i="18"/>
  <c r="T189" i="18"/>
  <c r="S189" i="18"/>
  <c r="R189" i="18"/>
  <c r="Q189" i="18"/>
  <c r="P189" i="18"/>
  <c r="U189" i="18" s="1"/>
  <c r="O189" i="18"/>
  <c r="S188" i="18"/>
  <c r="P188" i="18"/>
  <c r="O188" i="18"/>
  <c r="R188" i="18" s="1"/>
  <c r="O187" i="18"/>
  <c r="Q187" i="18" s="1"/>
  <c r="S186" i="18"/>
  <c r="Q186" i="18"/>
  <c r="O186" i="18"/>
  <c r="T185" i="18"/>
  <c r="R185" i="18"/>
  <c r="U185" i="18" s="1"/>
  <c r="Q185" i="18"/>
  <c r="P185" i="18"/>
  <c r="O185" i="18"/>
  <c r="S185" i="18" s="1"/>
  <c r="S184" i="18"/>
  <c r="P184" i="18"/>
  <c r="O184" i="18"/>
  <c r="R184" i="18" s="1"/>
  <c r="O183" i="18"/>
  <c r="Q183" i="18" s="1"/>
  <c r="S182" i="18"/>
  <c r="R182" i="18"/>
  <c r="Q182" i="18"/>
  <c r="O182" i="18"/>
  <c r="T181" i="18"/>
  <c r="S181" i="18"/>
  <c r="R181" i="18"/>
  <c r="Q181" i="18"/>
  <c r="U181" i="18" s="1"/>
  <c r="P181" i="18"/>
  <c r="O181" i="18"/>
  <c r="O180" i="18"/>
  <c r="R180" i="18" s="1"/>
  <c r="T179" i="18"/>
  <c r="S179" i="18"/>
  <c r="P179" i="18"/>
  <c r="O179" i="18"/>
  <c r="Q179" i="18" s="1"/>
  <c r="R178" i="18"/>
  <c r="O178" i="18"/>
  <c r="O177" i="18"/>
  <c r="S177" i="18" s="1"/>
  <c r="T176" i="18"/>
  <c r="R176" i="18"/>
  <c r="Q176" i="18"/>
  <c r="P176" i="18"/>
  <c r="O176" i="18"/>
  <c r="S176" i="18" s="1"/>
  <c r="O175" i="18"/>
  <c r="R175" i="18" s="1"/>
  <c r="T174" i="18"/>
  <c r="R174" i="18"/>
  <c r="P174" i="18"/>
  <c r="O174" i="18"/>
  <c r="Q174" i="18" s="1"/>
  <c r="S173" i="18"/>
  <c r="Q173" i="18"/>
  <c r="O173" i="18"/>
  <c r="P173" i="18" s="1"/>
  <c r="T172" i="18"/>
  <c r="R172" i="18"/>
  <c r="Q172" i="18"/>
  <c r="P172" i="18"/>
  <c r="O172" i="18"/>
  <c r="S172" i="18" s="1"/>
  <c r="S171" i="18"/>
  <c r="Q171" i="18"/>
  <c r="O171" i="18"/>
  <c r="T171" i="18" s="1"/>
  <c r="T170" i="18"/>
  <c r="R170" i="18"/>
  <c r="P170" i="18"/>
  <c r="O170" i="18"/>
  <c r="S170" i="18" s="1"/>
  <c r="O169" i="18"/>
  <c r="T169" i="18" s="1"/>
  <c r="T168" i="18"/>
  <c r="R168" i="18"/>
  <c r="Q168" i="18"/>
  <c r="P168" i="18"/>
  <c r="O168" i="18"/>
  <c r="S168" i="18" s="1"/>
  <c r="O167" i="18"/>
  <c r="R167" i="18" s="1"/>
  <c r="T166" i="18"/>
  <c r="R166" i="18"/>
  <c r="P166" i="18"/>
  <c r="O166" i="18"/>
  <c r="Q166" i="18" s="1"/>
  <c r="S165" i="18"/>
  <c r="Q165" i="18"/>
  <c r="O165" i="18"/>
  <c r="P165" i="18" s="1"/>
  <c r="T164" i="18"/>
  <c r="R164" i="18"/>
  <c r="Q164" i="18"/>
  <c r="P164" i="18"/>
  <c r="U164" i="18" s="1"/>
  <c r="O164" i="18"/>
  <c r="S164" i="18" s="1"/>
  <c r="S163" i="18"/>
  <c r="Q163" i="18"/>
  <c r="O163" i="18"/>
  <c r="T163" i="18" s="1"/>
  <c r="T162" i="18"/>
  <c r="R162" i="18"/>
  <c r="P162" i="18"/>
  <c r="O162" i="18"/>
  <c r="S162" i="18" s="1"/>
  <c r="O161" i="18"/>
  <c r="T161" i="18" s="1"/>
  <c r="T160" i="18"/>
  <c r="R160" i="18"/>
  <c r="Q160" i="18"/>
  <c r="P160" i="18"/>
  <c r="O160" i="18"/>
  <c r="S160" i="18" s="1"/>
  <c r="O159" i="18"/>
  <c r="R159" i="18" s="1"/>
  <c r="T158" i="18"/>
  <c r="R158" i="18"/>
  <c r="P158" i="18"/>
  <c r="O158" i="18"/>
  <c r="Q158" i="18" s="1"/>
  <c r="S157" i="18"/>
  <c r="Q157" i="18"/>
  <c r="O157" i="18"/>
  <c r="P157" i="18" s="1"/>
  <c r="T156" i="18"/>
  <c r="R156" i="18"/>
  <c r="Q156" i="18"/>
  <c r="P156" i="18"/>
  <c r="O156" i="18"/>
  <c r="S156" i="18" s="1"/>
  <c r="S155" i="18"/>
  <c r="Q155" i="18"/>
  <c r="O155" i="18"/>
  <c r="T155" i="18" s="1"/>
  <c r="T154" i="18"/>
  <c r="R154" i="18"/>
  <c r="P154" i="18"/>
  <c r="O154" i="18"/>
  <c r="S154" i="18" s="1"/>
  <c r="O153" i="18"/>
  <c r="T153" i="18" s="1"/>
  <c r="T152" i="18"/>
  <c r="R152" i="18"/>
  <c r="Q152" i="18"/>
  <c r="P152" i="18"/>
  <c r="O152" i="18"/>
  <c r="S152" i="18" s="1"/>
  <c r="O151" i="18"/>
  <c r="R151" i="18" s="1"/>
  <c r="T150" i="18"/>
  <c r="R150" i="18"/>
  <c r="P150" i="18"/>
  <c r="O150" i="18"/>
  <c r="Q150" i="18" s="1"/>
  <c r="S149" i="18"/>
  <c r="Q149" i="18"/>
  <c r="O149" i="18"/>
  <c r="P149" i="18" s="1"/>
  <c r="T148" i="18"/>
  <c r="R148" i="18"/>
  <c r="Q148" i="18"/>
  <c r="P148" i="18"/>
  <c r="U148" i="18" s="1"/>
  <c r="O148" i="18"/>
  <c r="S148" i="18" s="1"/>
  <c r="S147" i="18"/>
  <c r="Q147" i="18"/>
  <c r="O147" i="18"/>
  <c r="T147" i="18" s="1"/>
  <c r="T146" i="18"/>
  <c r="R146" i="18"/>
  <c r="P146" i="18"/>
  <c r="O146" i="18"/>
  <c r="S146" i="18" s="1"/>
  <c r="O145" i="18"/>
  <c r="T145" i="18" s="1"/>
  <c r="T144" i="18"/>
  <c r="R144" i="18"/>
  <c r="Q144" i="18"/>
  <c r="P144" i="18"/>
  <c r="O144" i="18"/>
  <c r="S144" i="18" s="1"/>
  <c r="O143" i="18"/>
  <c r="R143" i="18" s="1"/>
  <c r="T142" i="18"/>
  <c r="R142" i="18"/>
  <c r="P142" i="18"/>
  <c r="O142" i="18"/>
  <c r="Q142" i="18" s="1"/>
  <c r="S141" i="18"/>
  <c r="Q141" i="18"/>
  <c r="O141" i="18"/>
  <c r="P141" i="18" s="1"/>
  <c r="T140" i="18"/>
  <c r="R140" i="18"/>
  <c r="Q140" i="18"/>
  <c r="P140" i="18"/>
  <c r="O140" i="18"/>
  <c r="S140" i="18" s="1"/>
  <c r="S139" i="18"/>
  <c r="Q139" i="18"/>
  <c r="O139" i="18"/>
  <c r="T139" i="18" s="1"/>
  <c r="T138" i="18"/>
  <c r="R138" i="18"/>
  <c r="P138" i="18"/>
  <c r="O138" i="18"/>
  <c r="S138" i="18" s="1"/>
  <c r="O137" i="18"/>
  <c r="T137" i="18" s="1"/>
  <c r="T136" i="18"/>
  <c r="R136" i="18"/>
  <c r="Q136" i="18"/>
  <c r="P136" i="18"/>
  <c r="O136" i="18"/>
  <c r="S136" i="18" s="1"/>
  <c r="O135" i="18"/>
  <c r="R135" i="18" s="1"/>
  <c r="T134" i="18"/>
  <c r="R134" i="18"/>
  <c r="P134" i="18"/>
  <c r="O134" i="18"/>
  <c r="Q134" i="18" s="1"/>
  <c r="S133" i="18"/>
  <c r="Q133" i="18"/>
  <c r="O133" i="18"/>
  <c r="P133" i="18" s="1"/>
  <c r="T132" i="18"/>
  <c r="S132" i="18"/>
  <c r="R132" i="18"/>
  <c r="Q132" i="18"/>
  <c r="P132" i="18"/>
  <c r="U132" i="18" s="1"/>
  <c r="O132" i="18"/>
  <c r="S131" i="18"/>
  <c r="Q131" i="18"/>
  <c r="O131" i="18"/>
  <c r="T131" i="18" s="1"/>
  <c r="T130" i="18"/>
  <c r="R130" i="18"/>
  <c r="P130" i="18"/>
  <c r="O130" i="18"/>
  <c r="S130" i="18" s="1"/>
  <c r="O129" i="18"/>
  <c r="T128" i="18"/>
  <c r="R128" i="18"/>
  <c r="Q128" i="18"/>
  <c r="P128" i="18"/>
  <c r="O128" i="18"/>
  <c r="S128" i="18" s="1"/>
  <c r="O127" i="18"/>
  <c r="R127" i="18" s="1"/>
  <c r="T126" i="18"/>
  <c r="R126" i="18"/>
  <c r="P126" i="18"/>
  <c r="O126" i="18"/>
  <c r="Q126" i="18" s="1"/>
  <c r="S125" i="18"/>
  <c r="Q125" i="18"/>
  <c r="O125" i="18"/>
  <c r="P125" i="18" s="1"/>
  <c r="T124" i="18"/>
  <c r="S124" i="18"/>
  <c r="R124" i="18"/>
  <c r="Q124" i="18"/>
  <c r="P124" i="18"/>
  <c r="O124" i="18"/>
  <c r="S123" i="18"/>
  <c r="Q123" i="18"/>
  <c r="O123" i="18"/>
  <c r="T123" i="18" s="1"/>
  <c r="T122" i="18"/>
  <c r="R122" i="18"/>
  <c r="P122" i="18"/>
  <c r="O122" i="18"/>
  <c r="S122" i="18" s="1"/>
  <c r="O121" i="18"/>
  <c r="T120" i="18"/>
  <c r="R120" i="18"/>
  <c r="Q120" i="18"/>
  <c r="P120" i="18"/>
  <c r="U120" i="18" s="1"/>
  <c r="O120" i="18"/>
  <c r="S120" i="18" s="1"/>
  <c r="O119" i="18"/>
  <c r="T118" i="18"/>
  <c r="R118" i="18"/>
  <c r="P118" i="18"/>
  <c r="O118" i="18"/>
  <c r="Q118" i="18" s="1"/>
  <c r="S117" i="18"/>
  <c r="Q117" i="18"/>
  <c r="O117" i="18"/>
  <c r="P117" i="18" s="1"/>
  <c r="T116" i="18"/>
  <c r="S116" i="18"/>
  <c r="R116" i="18"/>
  <c r="Q116" i="18"/>
  <c r="P116" i="18"/>
  <c r="U116" i="18" s="1"/>
  <c r="O116" i="18"/>
  <c r="O115" i="18"/>
  <c r="T114" i="18"/>
  <c r="R114" i="18"/>
  <c r="P114" i="18"/>
  <c r="O114" i="18"/>
  <c r="S114" i="18" s="1"/>
  <c r="O113" i="18"/>
  <c r="T112" i="18"/>
  <c r="R112" i="18"/>
  <c r="Q112" i="18"/>
  <c r="P112" i="18"/>
  <c r="O112" i="18"/>
  <c r="S112" i="18" s="1"/>
  <c r="O111" i="18"/>
  <c r="T110" i="18"/>
  <c r="R110" i="18"/>
  <c r="P110" i="18"/>
  <c r="O110" i="18"/>
  <c r="Q110" i="18" s="1"/>
  <c r="S109" i="18"/>
  <c r="Q109" i="18"/>
  <c r="O109" i="18"/>
  <c r="P109" i="18" s="1"/>
  <c r="T108" i="18"/>
  <c r="S108" i="18"/>
  <c r="R108" i="18"/>
  <c r="Q108" i="18"/>
  <c r="P108" i="18"/>
  <c r="U108" i="18" s="1"/>
  <c r="O108" i="18"/>
  <c r="O107" i="18"/>
  <c r="T106" i="18"/>
  <c r="R106" i="18"/>
  <c r="P106" i="18"/>
  <c r="O106" i="18"/>
  <c r="S106" i="18" s="1"/>
  <c r="O105" i="18"/>
  <c r="T104" i="18"/>
  <c r="R104" i="18"/>
  <c r="Q104" i="18"/>
  <c r="P104" i="18"/>
  <c r="O104" i="18"/>
  <c r="S104" i="18" s="1"/>
  <c r="O103" i="18"/>
  <c r="T102" i="18"/>
  <c r="R102" i="18"/>
  <c r="P102" i="18"/>
  <c r="O102" i="18"/>
  <c r="Q102" i="18" s="1"/>
  <c r="S101" i="18"/>
  <c r="Q101" i="18"/>
  <c r="O101" i="18"/>
  <c r="P101" i="18" s="1"/>
  <c r="T100" i="18"/>
  <c r="S100" i="18"/>
  <c r="R100" i="18"/>
  <c r="Q100" i="18"/>
  <c r="P100" i="18"/>
  <c r="U100" i="18" s="1"/>
  <c r="O100" i="18"/>
  <c r="O99" i="18"/>
  <c r="T98" i="18"/>
  <c r="R98" i="18"/>
  <c r="P98" i="18"/>
  <c r="O98" i="18"/>
  <c r="S98" i="18" s="1"/>
  <c r="O97" i="18"/>
  <c r="T96" i="18"/>
  <c r="R96" i="18"/>
  <c r="P96" i="18"/>
  <c r="O96" i="18"/>
  <c r="S96" i="18" s="1"/>
  <c r="O95" i="18"/>
  <c r="T94" i="18"/>
  <c r="S94" i="18"/>
  <c r="R94" i="18"/>
  <c r="P94" i="18"/>
  <c r="U94" i="18" s="1"/>
  <c r="O94" i="18"/>
  <c r="Q94" i="18" s="1"/>
  <c r="S93" i="18"/>
  <c r="Q93" i="18"/>
  <c r="O93" i="18"/>
  <c r="T92" i="18"/>
  <c r="S92" i="18"/>
  <c r="R92" i="18"/>
  <c r="Q92" i="18"/>
  <c r="P92" i="18"/>
  <c r="O92" i="18"/>
  <c r="O91" i="18"/>
  <c r="O90" i="18"/>
  <c r="O89" i="18"/>
  <c r="T88" i="18"/>
  <c r="R88" i="18"/>
  <c r="P88" i="18"/>
  <c r="O88" i="18"/>
  <c r="S88" i="18" s="1"/>
  <c r="T87" i="18"/>
  <c r="S87" i="18"/>
  <c r="O87" i="18"/>
  <c r="S86" i="18"/>
  <c r="O86" i="18"/>
  <c r="Q86" i="18" s="1"/>
  <c r="Q85" i="18"/>
  <c r="O85" i="18"/>
  <c r="P85" i="18" s="1"/>
  <c r="T84" i="18"/>
  <c r="S84" i="18"/>
  <c r="R84" i="18"/>
  <c r="Q84" i="18"/>
  <c r="P84" i="18"/>
  <c r="U84" i="18" s="1"/>
  <c r="O84" i="18"/>
  <c r="R83" i="18"/>
  <c r="O83" i="18"/>
  <c r="T83" i="18" s="1"/>
  <c r="T82" i="18"/>
  <c r="S82" i="18"/>
  <c r="Q82" i="18"/>
  <c r="P82" i="18"/>
  <c r="O82" i="18"/>
  <c r="R82" i="18" s="1"/>
  <c r="O81" i="18"/>
  <c r="R81" i="18" s="1"/>
  <c r="R80" i="18"/>
  <c r="O80" i="18"/>
  <c r="Q80" i="18" s="1"/>
  <c r="R79" i="18"/>
  <c r="Q79" i="18"/>
  <c r="P79" i="18"/>
  <c r="O79" i="18"/>
  <c r="T79" i="18" s="1"/>
  <c r="T78" i="18"/>
  <c r="P78" i="18"/>
  <c r="O78" i="18"/>
  <c r="S78" i="18" s="1"/>
  <c r="S77" i="18"/>
  <c r="O77" i="18"/>
  <c r="T77" i="18" s="1"/>
  <c r="R76" i="18"/>
  <c r="O76" i="18"/>
  <c r="T76" i="18" s="1"/>
  <c r="T75" i="18"/>
  <c r="R75" i="18"/>
  <c r="Q75" i="18"/>
  <c r="O75" i="18"/>
  <c r="S75" i="18" s="1"/>
  <c r="T74" i="18"/>
  <c r="S74" i="18"/>
  <c r="Q74" i="18"/>
  <c r="P74" i="18"/>
  <c r="O74" i="18"/>
  <c r="R74" i="18" s="1"/>
  <c r="O73" i="18"/>
  <c r="R73" i="18" s="1"/>
  <c r="R72" i="18"/>
  <c r="O72" i="18"/>
  <c r="Q72" i="18" s="1"/>
  <c r="R71" i="18"/>
  <c r="Q71" i="18"/>
  <c r="P71" i="18"/>
  <c r="O71" i="18"/>
  <c r="T71" i="18" s="1"/>
  <c r="T70" i="18"/>
  <c r="P70" i="18"/>
  <c r="O70" i="18"/>
  <c r="S70" i="18" s="1"/>
  <c r="S69" i="18"/>
  <c r="O69" i="18"/>
  <c r="T69" i="18" s="1"/>
  <c r="R68" i="18"/>
  <c r="O68" i="18"/>
  <c r="T68" i="18" s="1"/>
  <c r="T67" i="18"/>
  <c r="R67" i="18"/>
  <c r="Q67" i="18"/>
  <c r="O67" i="18"/>
  <c r="S67" i="18" s="1"/>
  <c r="T66" i="18"/>
  <c r="S66" i="18"/>
  <c r="Q66" i="18"/>
  <c r="P66" i="18"/>
  <c r="O66" i="18"/>
  <c r="R66" i="18" s="1"/>
  <c r="O65" i="18"/>
  <c r="R65" i="18" s="1"/>
  <c r="R64" i="18"/>
  <c r="O64" i="18"/>
  <c r="Q64" i="18" s="1"/>
  <c r="R63" i="18"/>
  <c r="Q63" i="18"/>
  <c r="P63" i="18"/>
  <c r="O63" i="18"/>
  <c r="T63" i="18" s="1"/>
  <c r="T62" i="18"/>
  <c r="P62" i="18"/>
  <c r="O62" i="18"/>
  <c r="S62" i="18" s="1"/>
  <c r="S61" i="18"/>
  <c r="O61" i="18"/>
  <c r="T61" i="18" s="1"/>
  <c r="R60" i="18"/>
  <c r="O60" i="18"/>
  <c r="T60" i="18" s="1"/>
  <c r="T59" i="18"/>
  <c r="R59" i="18"/>
  <c r="Q59" i="18"/>
  <c r="O59" i="18"/>
  <c r="S59" i="18" s="1"/>
  <c r="T58" i="18"/>
  <c r="S58" i="18"/>
  <c r="Q58" i="18"/>
  <c r="P58" i="18"/>
  <c r="O58" i="18"/>
  <c r="R58" i="18" s="1"/>
  <c r="O57" i="18"/>
  <c r="R57" i="18" s="1"/>
  <c r="R56" i="18"/>
  <c r="O56" i="18"/>
  <c r="Q56" i="18" s="1"/>
  <c r="R55" i="18"/>
  <c r="Q55" i="18"/>
  <c r="P55" i="18"/>
  <c r="O55" i="18"/>
  <c r="T55" i="18" s="1"/>
  <c r="T54" i="18"/>
  <c r="P54" i="18"/>
  <c r="O54" i="18"/>
  <c r="S54" i="18" s="1"/>
  <c r="S53" i="18"/>
  <c r="O53" i="18"/>
  <c r="T53" i="18" s="1"/>
  <c r="R52" i="18"/>
  <c r="O52" i="18"/>
  <c r="T52" i="18" s="1"/>
  <c r="T51" i="18"/>
  <c r="R51" i="18"/>
  <c r="Q51" i="18"/>
  <c r="O51" i="18"/>
  <c r="S51" i="18" s="1"/>
  <c r="T50" i="18"/>
  <c r="S50" i="18"/>
  <c r="Q50" i="18"/>
  <c r="P50" i="18"/>
  <c r="O50" i="18"/>
  <c r="R50" i="18" s="1"/>
  <c r="O49" i="18"/>
  <c r="R49" i="18" s="1"/>
  <c r="R48" i="18"/>
  <c r="O48" i="18"/>
  <c r="Q48" i="18" s="1"/>
  <c r="R47" i="18"/>
  <c r="Q47" i="18"/>
  <c r="P47" i="18"/>
  <c r="O47" i="18"/>
  <c r="T47" i="18" s="1"/>
  <c r="T46" i="18"/>
  <c r="P46" i="18"/>
  <c r="O46" i="18"/>
  <c r="S46" i="18" s="1"/>
  <c r="S45" i="18"/>
  <c r="O45" i="18"/>
  <c r="T45" i="18" s="1"/>
  <c r="R44" i="18"/>
  <c r="O44" i="18"/>
  <c r="T44" i="18" s="1"/>
  <c r="T43" i="18"/>
  <c r="R43" i="18"/>
  <c r="Q43" i="18"/>
  <c r="O43" i="18"/>
  <c r="S43" i="18" s="1"/>
  <c r="T42" i="18"/>
  <c r="S42" i="18"/>
  <c r="Q42" i="18"/>
  <c r="P42" i="18"/>
  <c r="U42" i="18" s="1"/>
  <c r="O42" i="18"/>
  <c r="R42" i="18" s="1"/>
  <c r="O41" i="18"/>
  <c r="R40" i="18"/>
  <c r="O40" i="18"/>
  <c r="Q40" i="18" s="1"/>
  <c r="R39" i="18"/>
  <c r="Q39" i="18"/>
  <c r="P39" i="18"/>
  <c r="O39" i="18"/>
  <c r="T39" i="18" s="1"/>
  <c r="T38" i="18"/>
  <c r="P38" i="18"/>
  <c r="O38" i="18"/>
  <c r="S38" i="18" s="1"/>
  <c r="S37" i="18"/>
  <c r="O37" i="18"/>
  <c r="R36" i="18"/>
  <c r="O36" i="18"/>
  <c r="T36" i="18" s="1"/>
  <c r="T35" i="18"/>
  <c r="R35" i="18"/>
  <c r="Q35" i="18"/>
  <c r="O35" i="18"/>
  <c r="S35" i="18" s="1"/>
  <c r="T34" i="18"/>
  <c r="S34" i="18"/>
  <c r="Q34" i="18"/>
  <c r="P34" i="18"/>
  <c r="O34" i="18"/>
  <c r="R34" i="18" s="1"/>
  <c r="O33" i="18"/>
  <c r="R32" i="18"/>
  <c r="O32" i="18"/>
  <c r="Q32" i="18" s="1"/>
  <c r="R31" i="18"/>
  <c r="Q31" i="18"/>
  <c r="P31" i="18"/>
  <c r="O31" i="18"/>
  <c r="T31" i="18" s="1"/>
  <c r="T30" i="18"/>
  <c r="P30" i="18"/>
  <c r="O30" i="18"/>
  <c r="S30" i="18" s="1"/>
  <c r="O29" i="18"/>
  <c r="S29" i="18" s="1"/>
  <c r="R28" i="18"/>
  <c r="O28" i="18"/>
  <c r="T28" i="18" s="1"/>
  <c r="T27" i="18"/>
  <c r="R27" i="18"/>
  <c r="Q27" i="18"/>
  <c r="O27" i="18"/>
  <c r="S27" i="18" s="1"/>
  <c r="T26" i="18"/>
  <c r="S26" i="18"/>
  <c r="Q26" i="18"/>
  <c r="P26" i="18"/>
  <c r="O26" i="18"/>
  <c r="R26" i="18" s="1"/>
  <c r="O25" i="18"/>
  <c r="R24" i="18"/>
  <c r="O24" i="18"/>
  <c r="Q24" i="18" s="1"/>
  <c r="R23" i="18"/>
  <c r="Q23" i="18"/>
  <c r="P23" i="18"/>
  <c r="O23" i="18"/>
  <c r="T23" i="18" s="1"/>
  <c r="T22" i="18"/>
  <c r="P22" i="18"/>
  <c r="O22" i="18"/>
  <c r="S22" i="18" s="1"/>
  <c r="O21" i="18"/>
  <c r="R20" i="18"/>
  <c r="O20" i="18"/>
  <c r="T20" i="18" s="1"/>
  <c r="T19" i="18"/>
  <c r="R19" i="18"/>
  <c r="Q19" i="18"/>
  <c r="O19" i="18"/>
  <c r="S19" i="18" s="1"/>
  <c r="T18" i="18"/>
  <c r="S18" i="18"/>
  <c r="Q18" i="18"/>
  <c r="P18" i="18"/>
  <c r="U18" i="18" s="1"/>
  <c r="O18" i="18"/>
  <c r="R18" i="18" s="1"/>
  <c r="O17" i="18"/>
  <c r="R16" i="18"/>
  <c r="Q16" i="18"/>
  <c r="O16" i="18"/>
  <c r="P16" i="18" s="1"/>
  <c r="R15" i="18"/>
  <c r="Q15" i="18"/>
  <c r="P15" i="18"/>
  <c r="O15" i="18"/>
  <c r="T15" i="18" s="1"/>
  <c r="O14" i="18"/>
  <c r="S13" i="18"/>
  <c r="O13" i="18"/>
  <c r="R12" i="18"/>
  <c r="O12" i="18"/>
  <c r="T12" i="18" s="1"/>
  <c r="T11" i="18"/>
  <c r="R11" i="18"/>
  <c r="Q11" i="18"/>
  <c r="O11" i="18"/>
  <c r="S11" i="18" s="1"/>
  <c r="T10" i="18"/>
  <c r="S10" i="18"/>
  <c r="Q10" i="18"/>
  <c r="P10" i="18"/>
  <c r="O10" i="18"/>
  <c r="R10" i="18" s="1"/>
  <c r="O9" i="18"/>
  <c r="S9" i="18" s="1"/>
  <c r="O8" i="18"/>
  <c r="R7" i="18"/>
  <c r="Q7" i="18"/>
  <c r="P7" i="18"/>
  <c r="O7" i="18"/>
  <c r="T7" i="18" s="1"/>
  <c r="O6" i="18"/>
  <c r="S5" i="18"/>
  <c r="O5" i="18"/>
  <c r="S4" i="18"/>
  <c r="R4" i="18"/>
  <c r="O4" i="18"/>
  <c r="T4" i="18" s="1"/>
  <c r="T3" i="18"/>
  <c r="R3" i="18"/>
  <c r="Q3" i="18"/>
  <c r="O3" i="18"/>
  <c r="S3" i="18" s="1"/>
  <c r="R5" i="18" l="1"/>
  <c r="Q5" i="18"/>
  <c r="P5" i="18"/>
  <c r="P9" i="18"/>
  <c r="T13" i="18"/>
  <c r="R13" i="18"/>
  <c r="Q13" i="18"/>
  <c r="P13" i="18"/>
  <c r="R25" i="18"/>
  <c r="Q25" i="18"/>
  <c r="P25" i="18"/>
  <c r="U25" i="18" s="1"/>
  <c r="T25" i="18"/>
  <c r="T37" i="18"/>
  <c r="R37" i="18"/>
  <c r="Q37" i="18"/>
  <c r="P37" i="18"/>
  <c r="U37" i="18" s="1"/>
  <c r="S14" i="18"/>
  <c r="R14" i="18"/>
  <c r="Q14" i="18"/>
  <c r="S25" i="18"/>
  <c r="R33" i="18"/>
  <c r="Q33" i="18"/>
  <c r="P33" i="18"/>
  <c r="T33" i="18"/>
  <c r="S6" i="18"/>
  <c r="R6" i="18"/>
  <c r="Q6" i="18"/>
  <c r="P8" i="18"/>
  <c r="T8" i="18"/>
  <c r="S8" i="18"/>
  <c r="U10" i="18"/>
  <c r="T14" i="18"/>
  <c r="U26" i="18"/>
  <c r="S33" i="18"/>
  <c r="U74" i="18"/>
  <c r="R9" i="18"/>
  <c r="T5" i="18"/>
  <c r="P14" i="18"/>
  <c r="U14" i="18" s="1"/>
  <c r="Q17" i="18"/>
  <c r="P17" i="18"/>
  <c r="T17" i="18"/>
  <c r="T21" i="18"/>
  <c r="R21" i="18"/>
  <c r="P21" i="18"/>
  <c r="Q21" i="18"/>
  <c r="R41" i="18"/>
  <c r="Q41" i="18"/>
  <c r="P41" i="18"/>
  <c r="S41" i="18"/>
  <c r="T41" i="18"/>
  <c r="U66" i="18"/>
  <c r="P6" i="18"/>
  <c r="T6" i="18"/>
  <c r="Q8" i="18"/>
  <c r="R8" i="18"/>
  <c r="R17" i="18"/>
  <c r="S21" i="18"/>
  <c r="U34" i="18"/>
  <c r="U58" i="18"/>
  <c r="Q9" i="18"/>
  <c r="T9" i="18"/>
  <c r="S17" i="18"/>
  <c r="T29" i="18"/>
  <c r="R29" i="18"/>
  <c r="Q29" i="18"/>
  <c r="P29" i="18"/>
  <c r="U29" i="18" s="1"/>
  <c r="U50" i="18"/>
  <c r="S49" i="18"/>
  <c r="S57" i="18"/>
  <c r="S65" i="18"/>
  <c r="S73" i="18"/>
  <c r="S81" i="18"/>
  <c r="S90" i="18"/>
  <c r="Q90" i="18"/>
  <c r="R95" i="18"/>
  <c r="P95" i="18"/>
  <c r="T95" i="18"/>
  <c r="T97" i="18"/>
  <c r="R97" i="18"/>
  <c r="P97" i="18"/>
  <c r="T99" i="18"/>
  <c r="R99" i="18"/>
  <c r="P99" i="18"/>
  <c r="T107" i="18"/>
  <c r="R107" i="18"/>
  <c r="P107" i="18"/>
  <c r="T115" i="18"/>
  <c r="R115" i="18"/>
  <c r="P115" i="18"/>
  <c r="T121" i="18"/>
  <c r="S121" i="18"/>
  <c r="R121" i="18"/>
  <c r="P121" i="18"/>
  <c r="S16" i="18"/>
  <c r="U16" i="18" s="1"/>
  <c r="Q22" i="18"/>
  <c r="U22" i="18" s="1"/>
  <c r="Q30" i="18"/>
  <c r="U30" i="18" s="1"/>
  <c r="S32" i="18"/>
  <c r="Q38" i="18"/>
  <c r="U38" i="18" s="1"/>
  <c r="S40" i="18"/>
  <c r="P45" i="18"/>
  <c r="Q46" i="18"/>
  <c r="U46" i="18" s="1"/>
  <c r="S48" i="18"/>
  <c r="T49" i="18"/>
  <c r="P53" i="18"/>
  <c r="Q54" i="18"/>
  <c r="U54" i="18" s="1"/>
  <c r="S56" i="18"/>
  <c r="T57" i="18"/>
  <c r="P61" i="18"/>
  <c r="Q62" i="18"/>
  <c r="U62" i="18" s="1"/>
  <c r="S64" i="18"/>
  <c r="T65" i="18"/>
  <c r="P69" i="18"/>
  <c r="Q70" i="18"/>
  <c r="U70" i="18" s="1"/>
  <c r="S72" i="18"/>
  <c r="T73" i="18"/>
  <c r="P77" i="18"/>
  <c r="Q78" i="18"/>
  <c r="U78" i="18" s="1"/>
  <c r="S80" i="18"/>
  <c r="T81" i="18"/>
  <c r="R85" i="18"/>
  <c r="T86" i="18"/>
  <c r="P90" i="18"/>
  <c r="Q95" i="18"/>
  <c r="Q97" i="18"/>
  <c r="Q99" i="18"/>
  <c r="R103" i="18"/>
  <c r="Q103" i="18"/>
  <c r="P103" i="18"/>
  <c r="T103" i="18"/>
  <c r="T105" i="18"/>
  <c r="S105" i="18"/>
  <c r="R105" i="18"/>
  <c r="P105" i="18"/>
  <c r="Q107" i="18"/>
  <c r="R111" i="18"/>
  <c r="Q111" i="18"/>
  <c r="P111" i="18"/>
  <c r="T111" i="18"/>
  <c r="T113" i="18"/>
  <c r="S113" i="18"/>
  <c r="R113" i="18"/>
  <c r="P113" i="18"/>
  <c r="Q115" i="18"/>
  <c r="R119" i="18"/>
  <c r="Q119" i="18"/>
  <c r="P119" i="18"/>
  <c r="T119" i="18"/>
  <c r="S119" i="18"/>
  <c r="Q121" i="18"/>
  <c r="U152" i="18"/>
  <c r="P12" i="18"/>
  <c r="S15" i="18"/>
  <c r="U15" i="18" s="1"/>
  <c r="T16" i="18"/>
  <c r="P20" i="18"/>
  <c r="R22" i="18"/>
  <c r="S23" i="18"/>
  <c r="U23" i="18" s="1"/>
  <c r="T24" i="18"/>
  <c r="P28" i="18"/>
  <c r="R30" i="18"/>
  <c r="S31" i="18"/>
  <c r="U31" i="18" s="1"/>
  <c r="T32" i="18"/>
  <c r="P36" i="18"/>
  <c r="R38" i="18"/>
  <c r="S39" i="18"/>
  <c r="U39" i="18" s="1"/>
  <c r="T40" i="18"/>
  <c r="P44" i="18"/>
  <c r="Q45" i="18"/>
  <c r="R46" i="18"/>
  <c r="S47" i="18"/>
  <c r="U47" i="18" s="1"/>
  <c r="T48" i="18"/>
  <c r="P52" i="18"/>
  <c r="Q53" i="18"/>
  <c r="R54" i="18"/>
  <c r="S55" i="18"/>
  <c r="U55" i="18" s="1"/>
  <c r="T56" i="18"/>
  <c r="P60" i="18"/>
  <c r="Q61" i="18"/>
  <c r="R62" i="18"/>
  <c r="S63" i="18"/>
  <c r="U63" i="18" s="1"/>
  <c r="T64" i="18"/>
  <c r="P68" i="18"/>
  <c r="Q69" i="18"/>
  <c r="R70" i="18"/>
  <c r="S71" i="18"/>
  <c r="U71" i="18" s="1"/>
  <c r="T72" i="18"/>
  <c r="P76" i="18"/>
  <c r="Q77" i="18"/>
  <c r="R78" i="18"/>
  <c r="S79" i="18"/>
  <c r="U79" i="18" s="1"/>
  <c r="T80" i="18"/>
  <c r="P83" i="18"/>
  <c r="S85" i="18"/>
  <c r="R87" i="18"/>
  <c r="P87" i="18"/>
  <c r="R90" i="18"/>
  <c r="U92" i="18"/>
  <c r="S95" i="18"/>
  <c r="S97" i="18"/>
  <c r="S99" i="18"/>
  <c r="S103" i="18"/>
  <c r="Q105" i="18"/>
  <c r="S107" i="18"/>
  <c r="S111" i="18"/>
  <c r="Q113" i="18"/>
  <c r="S115" i="18"/>
  <c r="U124" i="18"/>
  <c r="U128" i="18"/>
  <c r="U140" i="18"/>
  <c r="U172" i="18"/>
  <c r="S24" i="18"/>
  <c r="P4" i="18"/>
  <c r="U4" i="18" s="1"/>
  <c r="S7" i="18"/>
  <c r="U7" i="18" s="1"/>
  <c r="P3" i="18"/>
  <c r="U3" i="18" s="1"/>
  <c r="Q4" i="18"/>
  <c r="P11" i="18"/>
  <c r="U11" i="18" s="1"/>
  <c r="Q12" i="18"/>
  <c r="P19" i="18"/>
  <c r="U19" i="18" s="1"/>
  <c r="Q20" i="18"/>
  <c r="P27" i="18"/>
  <c r="U27" i="18" s="1"/>
  <c r="Q28" i="18"/>
  <c r="P35" i="18"/>
  <c r="U35" i="18" s="1"/>
  <c r="Q36" i="18"/>
  <c r="P43" i="18"/>
  <c r="U43" i="18" s="1"/>
  <c r="Q44" i="18"/>
  <c r="R45" i="18"/>
  <c r="P51" i="18"/>
  <c r="U51" i="18" s="1"/>
  <c r="Q52" i="18"/>
  <c r="R53" i="18"/>
  <c r="P59" i="18"/>
  <c r="U59" i="18" s="1"/>
  <c r="Q60" i="18"/>
  <c r="R61" i="18"/>
  <c r="P67" i="18"/>
  <c r="U67" i="18" s="1"/>
  <c r="Q68" i="18"/>
  <c r="R69" i="18"/>
  <c r="P75" i="18"/>
  <c r="U75" i="18" s="1"/>
  <c r="Q76" i="18"/>
  <c r="R77" i="18"/>
  <c r="Q83" i="18"/>
  <c r="T85" i="18"/>
  <c r="Q87" i="18"/>
  <c r="T90" i="18"/>
  <c r="U160" i="18"/>
  <c r="U82" i="18"/>
  <c r="T89" i="18"/>
  <c r="R89" i="18"/>
  <c r="P89" i="18"/>
  <c r="U89" i="18" s="1"/>
  <c r="T91" i="18"/>
  <c r="R91" i="18"/>
  <c r="S20" i="18"/>
  <c r="S28" i="18"/>
  <c r="S36" i="18"/>
  <c r="S44" i="18"/>
  <c r="P49" i="18"/>
  <c r="S52" i="18"/>
  <c r="P57" i="18"/>
  <c r="S60" i="18"/>
  <c r="P65" i="18"/>
  <c r="S68" i="18"/>
  <c r="P73" i="18"/>
  <c r="S76" i="18"/>
  <c r="P81" i="18"/>
  <c r="S83" i="18"/>
  <c r="Q89" i="18"/>
  <c r="P91" i="18"/>
  <c r="U98" i="18"/>
  <c r="U104" i="18"/>
  <c r="U112" i="18"/>
  <c r="U136" i="18"/>
  <c r="U168" i="18"/>
  <c r="S12" i="18"/>
  <c r="P24" i="18"/>
  <c r="U24" i="18" s="1"/>
  <c r="P32" i="18"/>
  <c r="U32" i="18" s="1"/>
  <c r="P40" i="18"/>
  <c r="U40" i="18" s="1"/>
  <c r="P48" i="18"/>
  <c r="U48" i="18" s="1"/>
  <c r="Q49" i="18"/>
  <c r="P56" i="18"/>
  <c r="U56" i="18" s="1"/>
  <c r="Q57" i="18"/>
  <c r="P64" i="18"/>
  <c r="U64" i="18" s="1"/>
  <c r="Q65" i="18"/>
  <c r="P72" i="18"/>
  <c r="U72" i="18" s="1"/>
  <c r="Q73" i="18"/>
  <c r="P80" i="18"/>
  <c r="U80" i="18" s="1"/>
  <c r="Q81" i="18"/>
  <c r="P86" i="18"/>
  <c r="S89" i="18"/>
  <c r="Q91" i="18"/>
  <c r="U110" i="18"/>
  <c r="T129" i="18"/>
  <c r="S129" i="18"/>
  <c r="R129" i="18"/>
  <c r="Q129" i="18"/>
  <c r="P129" i="18"/>
  <c r="U129" i="18" s="1"/>
  <c r="U156" i="18"/>
  <c r="R86" i="18"/>
  <c r="S91" i="18"/>
  <c r="P93" i="18"/>
  <c r="U93" i="18" s="1"/>
  <c r="T93" i="18"/>
  <c r="R93" i="18"/>
  <c r="U144" i="18"/>
  <c r="U176" i="18"/>
  <c r="S127" i="18"/>
  <c r="S135" i="18"/>
  <c r="S143" i="18"/>
  <c r="S151" i="18"/>
  <c r="S159" i="18"/>
  <c r="S167" i="18"/>
  <c r="S175" i="18"/>
  <c r="T178" i="18"/>
  <c r="P178" i="18"/>
  <c r="T183" i="18"/>
  <c r="S191" i="18"/>
  <c r="Q191" i="18"/>
  <c r="P196" i="18"/>
  <c r="R196" i="18"/>
  <c r="U203" i="18"/>
  <c r="T242" i="18"/>
  <c r="S242" i="18"/>
  <c r="R242" i="18"/>
  <c r="Q242" i="18"/>
  <c r="P242" i="18"/>
  <c r="T266" i="18"/>
  <c r="S266" i="18"/>
  <c r="R266" i="18"/>
  <c r="Q266" i="18"/>
  <c r="P266" i="18"/>
  <c r="U276" i="18"/>
  <c r="R101" i="18"/>
  <c r="U101" i="18" s="1"/>
  <c r="S102" i="18"/>
  <c r="U102" i="18" s="1"/>
  <c r="R109" i="18"/>
  <c r="U109" i="18" s="1"/>
  <c r="S110" i="18"/>
  <c r="R117" i="18"/>
  <c r="S118" i="18"/>
  <c r="U118" i="18" s="1"/>
  <c r="P123" i="18"/>
  <c r="R125" i="18"/>
  <c r="U125" i="18" s="1"/>
  <c r="S126" i="18"/>
  <c r="U126" i="18" s="1"/>
  <c r="T127" i="18"/>
  <c r="P131" i="18"/>
  <c r="R133" i="18"/>
  <c r="U133" i="18" s="1"/>
  <c r="S134" i="18"/>
  <c r="U134" i="18" s="1"/>
  <c r="T135" i="18"/>
  <c r="P139" i="18"/>
  <c r="R141" i="18"/>
  <c r="U141" i="18" s="1"/>
  <c r="S142" i="18"/>
  <c r="U142" i="18" s="1"/>
  <c r="T143" i="18"/>
  <c r="P147" i="18"/>
  <c r="R149" i="18"/>
  <c r="U149" i="18" s="1"/>
  <c r="S150" i="18"/>
  <c r="U150" i="18" s="1"/>
  <c r="T151" i="18"/>
  <c r="P155" i="18"/>
  <c r="R157" i="18"/>
  <c r="U157" i="18" s="1"/>
  <c r="S158" i="18"/>
  <c r="U158" i="18" s="1"/>
  <c r="T159" i="18"/>
  <c r="P163" i="18"/>
  <c r="R165" i="18"/>
  <c r="U165" i="18" s="1"/>
  <c r="S166" i="18"/>
  <c r="U166" i="18" s="1"/>
  <c r="T167" i="18"/>
  <c r="P171" i="18"/>
  <c r="R173" i="18"/>
  <c r="U173" i="18" s="1"/>
  <c r="S174" i="18"/>
  <c r="U174" i="18" s="1"/>
  <c r="T175" i="18"/>
  <c r="Q178" i="18"/>
  <c r="Q188" i="18"/>
  <c r="P191" i="18"/>
  <c r="Q196" i="18"/>
  <c r="U229" i="18"/>
  <c r="U252" i="18"/>
  <c r="T200" i="18"/>
  <c r="S200" i="18"/>
  <c r="R200" i="18"/>
  <c r="S207" i="18"/>
  <c r="R207" i="18"/>
  <c r="Q207" i="18"/>
  <c r="T218" i="18"/>
  <c r="S218" i="18"/>
  <c r="R218" i="18"/>
  <c r="Q218" i="18"/>
  <c r="P218" i="18"/>
  <c r="T274" i="18"/>
  <c r="S274" i="18"/>
  <c r="R274" i="18"/>
  <c r="Q274" i="18"/>
  <c r="P274" i="18"/>
  <c r="Q98" i="18"/>
  <c r="T101" i="18"/>
  <c r="Q106" i="18"/>
  <c r="U106" i="18" s="1"/>
  <c r="T109" i="18"/>
  <c r="Q114" i="18"/>
  <c r="U114" i="18" s="1"/>
  <c r="T117" i="18"/>
  <c r="Q122" i="18"/>
  <c r="U122" i="18" s="1"/>
  <c r="R123" i="18"/>
  <c r="T125" i="18"/>
  <c r="Q130" i="18"/>
  <c r="U130" i="18" s="1"/>
  <c r="R131" i="18"/>
  <c r="T133" i="18"/>
  <c r="P137" i="18"/>
  <c r="Q138" i="18"/>
  <c r="U138" i="18" s="1"/>
  <c r="R139" i="18"/>
  <c r="T141" i="18"/>
  <c r="P145" i="18"/>
  <c r="Q146" i="18"/>
  <c r="U146" i="18" s="1"/>
  <c r="R147" i="18"/>
  <c r="T149" i="18"/>
  <c r="P153" i="18"/>
  <c r="Q154" i="18"/>
  <c r="U154" i="18" s="1"/>
  <c r="R155" i="18"/>
  <c r="T157" i="18"/>
  <c r="P161" i="18"/>
  <c r="Q162" i="18"/>
  <c r="U162" i="18" s="1"/>
  <c r="R163" i="18"/>
  <c r="T165" i="18"/>
  <c r="P169" i="18"/>
  <c r="Q170" i="18"/>
  <c r="U170" i="18" s="1"/>
  <c r="R171" i="18"/>
  <c r="T173" i="18"/>
  <c r="P177" i="18"/>
  <c r="S178" i="18"/>
  <c r="P180" i="18"/>
  <c r="Q184" i="18"/>
  <c r="U184" i="18" s="1"/>
  <c r="P187" i="18"/>
  <c r="T188" i="18"/>
  <c r="T191" i="18"/>
  <c r="T196" i="18"/>
  <c r="P200" i="18"/>
  <c r="T202" i="18"/>
  <c r="P202" i="18"/>
  <c r="P207" i="18"/>
  <c r="U237" i="18"/>
  <c r="T250" i="18"/>
  <c r="S250" i="18"/>
  <c r="R250" i="18"/>
  <c r="Q250" i="18"/>
  <c r="P250" i="18"/>
  <c r="Q137" i="18"/>
  <c r="Q145" i="18"/>
  <c r="Q153" i="18"/>
  <c r="Q161" i="18"/>
  <c r="Q169" i="18"/>
  <c r="Q177" i="18"/>
  <c r="Q180" i="18"/>
  <c r="R187" i="18"/>
  <c r="R190" i="18"/>
  <c r="P190" i="18"/>
  <c r="U190" i="18" s="1"/>
  <c r="T190" i="18"/>
  <c r="T192" i="18"/>
  <c r="R192" i="18"/>
  <c r="R198" i="18"/>
  <c r="Q198" i="18"/>
  <c r="P198" i="18"/>
  <c r="T198" i="18"/>
  <c r="Q200" i="18"/>
  <c r="T207" i="18"/>
  <c r="T226" i="18"/>
  <c r="S226" i="18"/>
  <c r="R226" i="18"/>
  <c r="Q226" i="18"/>
  <c r="P226" i="18"/>
  <c r="U260" i="18"/>
  <c r="T282" i="18"/>
  <c r="S282" i="18"/>
  <c r="R282" i="18"/>
  <c r="Q282" i="18"/>
  <c r="P282" i="18"/>
  <c r="Q88" i="18"/>
  <c r="U88" i="18" s="1"/>
  <c r="Q96" i="18"/>
  <c r="U96" i="18" s="1"/>
  <c r="P127" i="18"/>
  <c r="U127" i="18" s="1"/>
  <c r="P135" i="18"/>
  <c r="R137" i="18"/>
  <c r="P143" i="18"/>
  <c r="R145" i="18"/>
  <c r="P151" i="18"/>
  <c r="R153" i="18"/>
  <c r="P159" i="18"/>
  <c r="R161" i="18"/>
  <c r="P167" i="18"/>
  <c r="R169" i="18"/>
  <c r="P175" i="18"/>
  <c r="R177" i="18"/>
  <c r="S180" i="18"/>
  <c r="P183" i="18"/>
  <c r="T184" i="18"/>
  <c r="T186" i="18"/>
  <c r="P186" i="18"/>
  <c r="S187" i="18"/>
  <c r="Q190" i="18"/>
  <c r="P192" i="18"/>
  <c r="S198" i="18"/>
  <c r="T208" i="18"/>
  <c r="S208" i="18"/>
  <c r="R208" i="18"/>
  <c r="U213" i="18"/>
  <c r="U251" i="18"/>
  <c r="Q127" i="18"/>
  <c r="Q135" i="18"/>
  <c r="S137" i="18"/>
  <c r="Q143" i="18"/>
  <c r="S145" i="18"/>
  <c r="Q151" i="18"/>
  <c r="S153" i="18"/>
  <c r="Q159" i="18"/>
  <c r="S161" i="18"/>
  <c r="Q167" i="18"/>
  <c r="S169" i="18"/>
  <c r="Q175" i="18"/>
  <c r="T177" i="18"/>
  <c r="U179" i="18"/>
  <c r="T180" i="18"/>
  <c r="R183" i="18"/>
  <c r="T187" i="18"/>
  <c r="S190" i="18"/>
  <c r="Q192" i="18"/>
  <c r="T194" i="18"/>
  <c r="P194" i="18"/>
  <c r="T210" i="18"/>
  <c r="S210" i="18"/>
  <c r="P210" i="18"/>
  <c r="U212" i="18"/>
  <c r="T234" i="18"/>
  <c r="S234" i="18"/>
  <c r="R234" i="18"/>
  <c r="Q234" i="18"/>
  <c r="P234" i="18"/>
  <c r="U234" i="18" s="1"/>
  <c r="U244" i="18"/>
  <c r="T258" i="18"/>
  <c r="S258" i="18"/>
  <c r="R258" i="18"/>
  <c r="Q258" i="18"/>
  <c r="P258" i="18"/>
  <c r="U283" i="18"/>
  <c r="R179" i="18"/>
  <c r="P182" i="18"/>
  <c r="U182" i="18" s="1"/>
  <c r="T182" i="18"/>
  <c r="S183" i="18"/>
  <c r="R186" i="18"/>
  <c r="S192" i="18"/>
  <c r="Q194" i="18"/>
  <c r="S199" i="18"/>
  <c r="R199" i="18"/>
  <c r="Q199" i="18"/>
  <c r="U199" i="18" s="1"/>
  <c r="U201" i="18"/>
  <c r="R206" i="18"/>
  <c r="Q206" i="18"/>
  <c r="P206" i="18"/>
  <c r="T206" i="18"/>
  <c r="Q208" i="18"/>
  <c r="U208" i="18" s="1"/>
  <c r="Q210" i="18"/>
  <c r="U221" i="18"/>
  <c r="U249" i="18"/>
  <c r="R204" i="18"/>
  <c r="U204" i="18" s="1"/>
  <c r="R212" i="18"/>
  <c r="T214" i="18"/>
  <c r="R220" i="18"/>
  <c r="U220" i="18" s="1"/>
  <c r="T222" i="18"/>
  <c r="R228" i="18"/>
  <c r="U228" i="18" s="1"/>
  <c r="T230" i="18"/>
  <c r="R236" i="18"/>
  <c r="U236" i="18" s="1"/>
  <c r="T238" i="18"/>
  <c r="R244" i="18"/>
  <c r="T246" i="18"/>
  <c r="R252" i="18"/>
  <c r="T254" i="18"/>
  <c r="R260" i="18"/>
  <c r="T262" i="18"/>
  <c r="R268" i="18"/>
  <c r="U268" i="18" s="1"/>
  <c r="T270" i="18"/>
  <c r="R276" i="18"/>
  <c r="T278" i="18"/>
  <c r="R284" i="18"/>
  <c r="T286" i="18"/>
  <c r="S284" i="18"/>
  <c r="U284" i="18" s="1"/>
  <c r="P289" i="18"/>
  <c r="U289" i="18" s="1"/>
  <c r="P216" i="18"/>
  <c r="P224" i="18"/>
  <c r="P232" i="18"/>
  <c r="P240" i="18"/>
  <c r="P248" i="18"/>
  <c r="P256" i="18"/>
  <c r="T260" i="18"/>
  <c r="P264" i="18"/>
  <c r="T268" i="18"/>
  <c r="P272" i="18"/>
  <c r="U272" i="18" s="1"/>
  <c r="T276" i="18"/>
  <c r="P280" i="18"/>
  <c r="T284" i="18"/>
  <c r="P288" i="18"/>
  <c r="U288" i="18" s="1"/>
  <c r="Q289" i="18"/>
  <c r="P215" i="18"/>
  <c r="Q216" i="18"/>
  <c r="P223" i="18"/>
  <c r="Q224" i="18"/>
  <c r="P231" i="18"/>
  <c r="Q232" i="18"/>
  <c r="P239" i="18"/>
  <c r="Q240" i="18"/>
  <c r="P247" i="18"/>
  <c r="U247" i="18" s="1"/>
  <c r="Q248" i="18"/>
  <c r="P255" i="18"/>
  <c r="U255" i="18" s="1"/>
  <c r="Q256" i="18"/>
  <c r="P263" i="18"/>
  <c r="Q264" i="18"/>
  <c r="P271" i="18"/>
  <c r="U271" i="18" s="1"/>
  <c r="Q272" i="18"/>
  <c r="P279" i="18"/>
  <c r="Q280" i="18"/>
  <c r="P287" i="18"/>
  <c r="Q288" i="18"/>
  <c r="R289" i="18"/>
  <c r="P214" i="18"/>
  <c r="Q215" i="18"/>
  <c r="R216" i="18"/>
  <c r="P222" i="18"/>
  <c r="U222" i="18" s="1"/>
  <c r="Q223" i="18"/>
  <c r="R224" i="18"/>
  <c r="P230" i="18"/>
  <c r="Q231" i="18"/>
  <c r="R232" i="18"/>
  <c r="P238" i="18"/>
  <c r="U238" i="18" s="1"/>
  <c r="Q239" i="18"/>
  <c r="R240" i="18"/>
  <c r="P246" i="18"/>
  <c r="Q247" i="18"/>
  <c r="R248" i="18"/>
  <c r="P254" i="18"/>
  <c r="Q255" i="18"/>
  <c r="R256" i="18"/>
  <c r="P262" i="18"/>
  <c r="Q263" i="18"/>
  <c r="R264" i="18"/>
  <c r="P270" i="18"/>
  <c r="U270" i="18" s="1"/>
  <c r="Q271" i="18"/>
  <c r="R272" i="18"/>
  <c r="P278" i="18"/>
  <c r="Q279" i="18"/>
  <c r="R280" i="18"/>
  <c r="P286" i="18"/>
  <c r="U286" i="18" s="1"/>
  <c r="Q287" i="18"/>
  <c r="R288" i="18"/>
  <c r="S289" i="18"/>
  <c r="Q214" i="18"/>
  <c r="R215" i="18"/>
  <c r="S216" i="18"/>
  <c r="Q222" i="18"/>
  <c r="R223" i="18"/>
  <c r="S224" i="18"/>
  <c r="Q230" i="18"/>
  <c r="R231" i="18"/>
  <c r="S232" i="18"/>
  <c r="Q238" i="18"/>
  <c r="R239" i="18"/>
  <c r="S240" i="18"/>
  <c r="Q246" i="18"/>
  <c r="R247" i="18"/>
  <c r="S248" i="18"/>
  <c r="Q254" i="18"/>
  <c r="R255" i="18"/>
  <c r="S256" i="18"/>
  <c r="Q262" i="18"/>
  <c r="R263" i="18"/>
  <c r="S264" i="18"/>
  <c r="Q270" i="18"/>
  <c r="R271" i="18"/>
  <c r="S272" i="18"/>
  <c r="Q278" i="18"/>
  <c r="R279" i="18"/>
  <c r="S280" i="18"/>
  <c r="Q286" i="18"/>
  <c r="R287" i="18"/>
  <c r="S288" i="18"/>
  <c r="R2" i="21"/>
  <c r="I2" i="21"/>
  <c r="J2" i="21"/>
  <c r="K2" i="21"/>
  <c r="L2" i="21"/>
  <c r="M2" i="21"/>
  <c r="N2" i="21"/>
  <c r="O2" i="21"/>
  <c r="P2" i="21"/>
  <c r="H2" i="21"/>
  <c r="R2" i="17"/>
  <c r="I2" i="17"/>
  <c r="J2" i="17"/>
  <c r="K2" i="17"/>
  <c r="L2" i="17"/>
  <c r="M2" i="17"/>
  <c r="N2" i="17"/>
  <c r="O2" i="17"/>
  <c r="P2" i="17"/>
  <c r="H2" i="17"/>
  <c r="U278" i="18" l="1"/>
  <c r="U214" i="18"/>
  <c r="U248" i="18"/>
  <c r="U194" i="18"/>
  <c r="U159" i="18"/>
  <c r="U202" i="18"/>
  <c r="U180" i="18"/>
  <c r="U191" i="18"/>
  <c r="U117" i="18"/>
  <c r="U178" i="18"/>
  <c r="U65" i="18"/>
  <c r="U52" i="18"/>
  <c r="U77" i="18"/>
  <c r="U61" i="18"/>
  <c r="U45" i="18"/>
  <c r="U97" i="18"/>
  <c r="U33" i="18"/>
  <c r="U263" i="18"/>
  <c r="U280" i="18"/>
  <c r="U206" i="18"/>
  <c r="U258" i="18"/>
  <c r="U183" i="18"/>
  <c r="U226" i="18"/>
  <c r="U198" i="18"/>
  <c r="U250" i="18"/>
  <c r="U188" i="18"/>
  <c r="U86" i="18"/>
  <c r="U91" i="18"/>
  <c r="U87" i="18"/>
  <c r="U76" i="18"/>
  <c r="U36" i="18"/>
  <c r="U20" i="18"/>
  <c r="U9" i="18"/>
  <c r="U254" i="18"/>
  <c r="U231" i="18"/>
  <c r="U240" i="18"/>
  <c r="U230" i="18"/>
  <c r="U232" i="18"/>
  <c r="U151" i="18"/>
  <c r="U282" i="18"/>
  <c r="U200" i="18"/>
  <c r="U177" i="18"/>
  <c r="U161" i="18"/>
  <c r="U145" i="18"/>
  <c r="U218" i="18"/>
  <c r="U163" i="18"/>
  <c r="U147" i="18"/>
  <c r="U131" i="18"/>
  <c r="U57" i="18"/>
  <c r="U119" i="18"/>
  <c r="U90" i="18"/>
  <c r="U107" i="18"/>
  <c r="U41" i="18"/>
  <c r="U17" i="18"/>
  <c r="U8" i="18"/>
  <c r="U5" i="18"/>
  <c r="U223" i="18"/>
  <c r="U224" i="18"/>
  <c r="U192" i="18"/>
  <c r="U242" i="18"/>
  <c r="U60" i="18"/>
  <c r="U111" i="18"/>
  <c r="U121" i="18"/>
  <c r="U239" i="18"/>
  <c r="U287" i="18"/>
  <c r="U246" i="18"/>
  <c r="U216" i="18"/>
  <c r="U175" i="18"/>
  <c r="U143" i="18"/>
  <c r="U274" i="18"/>
  <c r="U196" i="18"/>
  <c r="U81" i="18"/>
  <c r="U49" i="18"/>
  <c r="U83" i="18"/>
  <c r="U12" i="18"/>
  <c r="U103" i="18"/>
  <c r="U85" i="18"/>
  <c r="U69" i="18"/>
  <c r="U53" i="18"/>
  <c r="U95" i="18"/>
  <c r="U279" i="18"/>
  <c r="U215" i="18"/>
  <c r="U264" i="18"/>
  <c r="U44" i="18"/>
  <c r="U28" i="18"/>
  <c r="U99" i="18"/>
  <c r="U6" i="18"/>
  <c r="U13" i="18"/>
  <c r="U210" i="18"/>
  <c r="U262" i="18"/>
  <c r="U186" i="18"/>
  <c r="U167" i="18"/>
  <c r="U135" i="18"/>
  <c r="U187" i="18"/>
  <c r="U169" i="18"/>
  <c r="U153" i="18"/>
  <c r="U137" i="18"/>
  <c r="U171" i="18"/>
  <c r="U155" i="18"/>
  <c r="U139" i="18"/>
  <c r="U123" i="18"/>
  <c r="U266" i="18"/>
  <c r="U73" i="18"/>
  <c r="U68" i="18"/>
  <c r="U113" i="18"/>
  <c r="U21" i="18"/>
  <c r="U256" i="18"/>
  <c r="U207" i="18"/>
  <c r="U105" i="18"/>
  <c r="U115" i="18"/>
  <c r="T23" i="21"/>
  <c r="S23" i="21"/>
  <c r="Q23" i="21"/>
  <c r="P23" i="21"/>
  <c r="O23" i="21"/>
  <c r="N23" i="21"/>
  <c r="M23" i="21"/>
  <c r="L23" i="21"/>
  <c r="K23" i="21"/>
  <c r="J23" i="21"/>
  <c r="I23" i="21"/>
  <c r="H23" i="21"/>
  <c r="G23" i="21"/>
  <c r="T22" i="21"/>
  <c r="S22" i="21"/>
  <c r="Q22" i="21"/>
  <c r="P22" i="21"/>
  <c r="O22" i="21"/>
  <c r="N22" i="21"/>
  <c r="M22" i="21"/>
  <c r="L22" i="21"/>
  <c r="K22" i="21"/>
  <c r="J22" i="21"/>
  <c r="I22" i="21"/>
  <c r="H22" i="21"/>
  <c r="G22" i="21"/>
  <c r="T21" i="21"/>
  <c r="S21" i="21"/>
  <c r="Q21" i="21"/>
  <c r="P21" i="21"/>
  <c r="O21" i="21"/>
  <c r="N21" i="21"/>
  <c r="M21" i="21"/>
  <c r="L21" i="21"/>
  <c r="K21" i="21"/>
  <c r="J21" i="21"/>
  <c r="I21" i="21"/>
  <c r="H21" i="21"/>
  <c r="G21" i="21"/>
  <c r="T20" i="21"/>
  <c r="S20" i="21"/>
  <c r="Q20" i="21"/>
  <c r="P20" i="21"/>
  <c r="O20" i="21"/>
  <c r="N20" i="21"/>
  <c r="M20" i="21"/>
  <c r="L20" i="21"/>
  <c r="K20" i="21"/>
  <c r="J20" i="21"/>
  <c r="I20" i="21"/>
  <c r="H20" i="21"/>
  <c r="G20" i="21"/>
  <c r="T19" i="21"/>
  <c r="S19" i="21"/>
  <c r="Q19" i="21"/>
  <c r="P19" i="21"/>
  <c r="O19" i="21"/>
  <c r="N19" i="21"/>
  <c r="M19" i="21"/>
  <c r="L19" i="21"/>
  <c r="K19" i="21"/>
  <c r="J19" i="21"/>
  <c r="I19" i="21"/>
  <c r="H19" i="21"/>
  <c r="G19" i="21"/>
  <c r="T18" i="21"/>
  <c r="S18" i="21"/>
  <c r="Q18" i="21"/>
  <c r="P18" i="21"/>
  <c r="O18" i="21"/>
  <c r="N18" i="21"/>
  <c r="M18" i="21"/>
  <c r="L18" i="21"/>
  <c r="K18" i="21"/>
  <c r="J18" i="21"/>
  <c r="I18" i="21"/>
  <c r="H18" i="21"/>
  <c r="G18" i="21"/>
  <c r="T17" i="21"/>
  <c r="S17" i="21"/>
  <c r="Q17" i="21"/>
  <c r="P17" i="21"/>
  <c r="O17" i="21"/>
  <c r="N17" i="21"/>
  <c r="M17" i="21"/>
  <c r="L17" i="21"/>
  <c r="K17" i="21"/>
  <c r="J17" i="21"/>
  <c r="I17" i="21"/>
  <c r="H17" i="21"/>
  <c r="G17" i="21"/>
  <c r="T16" i="21"/>
  <c r="S16" i="21"/>
  <c r="Q16" i="21"/>
  <c r="P16" i="21"/>
  <c r="O16" i="21"/>
  <c r="N16" i="21"/>
  <c r="M16" i="21"/>
  <c r="L16" i="21"/>
  <c r="K16" i="21"/>
  <c r="J16" i="21"/>
  <c r="I16" i="21"/>
  <c r="H16" i="21"/>
  <c r="G16" i="21"/>
  <c r="T15" i="21"/>
  <c r="S15" i="21"/>
  <c r="Q15" i="21"/>
  <c r="P15" i="21"/>
  <c r="O15" i="21"/>
  <c r="N15" i="21"/>
  <c r="M15" i="21"/>
  <c r="L15" i="21"/>
  <c r="K15" i="21"/>
  <c r="J15" i="21"/>
  <c r="I15" i="21"/>
  <c r="H15" i="21"/>
  <c r="G15" i="21"/>
  <c r="R3" i="21"/>
  <c r="P3" i="21"/>
  <c r="O3" i="21"/>
  <c r="N3" i="21"/>
  <c r="M3" i="21"/>
  <c r="L3" i="21"/>
  <c r="K3" i="21"/>
  <c r="D15" i="21" s="1"/>
  <c r="J3" i="21"/>
  <c r="I3" i="21"/>
  <c r="H3" i="21"/>
  <c r="B15" i="21" s="1"/>
  <c r="D3" i="21"/>
  <c r="B3" i="21"/>
  <c r="R17" i="21" l="1"/>
  <c r="R16" i="21"/>
  <c r="R23" i="21"/>
  <c r="R22" i="21"/>
  <c r="R15" i="21"/>
  <c r="R21" i="21"/>
  <c r="R20" i="21"/>
  <c r="R19" i="21"/>
  <c r="R18" i="21"/>
  <c r="K3" i="17" l="1"/>
  <c r="D16" i="17" s="1"/>
  <c r="H3" i="17"/>
  <c r="B16" i="17" s="1"/>
  <c r="T17" i="17" l="1"/>
  <c r="T18" i="17"/>
  <c r="T19" i="17"/>
  <c r="T20" i="17"/>
  <c r="T21" i="17"/>
  <c r="T22" i="17"/>
  <c r="T23" i="17"/>
  <c r="T24" i="17"/>
  <c r="T25" i="17"/>
  <c r="T16" i="17"/>
  <c r="O742" i="15" l="1"/>
  <c r="S742" i="15" s="1"/>
  <c r="O741" i="15"/>
  <c r="T741" i="15" s="1"/>
  <c r="O740" i="15"/>
  <c r="S740" i="15" s="1"/>
  <c r="O739" i="15"/>
  <c r="R739" i="15" s="1"/>
  <c r="O738" i="15"/>
  <c r="Q738" i="15" s="1"/>
  <c r="O737" i="15"/>
  <c r="P737" i="15" s="1"/>
  <c r="O736" i="15"/>
  <c r="R736" i="15" s="1"/>
  <c r="O735" i="15"/>
  <c r="R735" i="15" s="1"/>
  <c r="O734" i="15"/>
  <c r="Q734" i="15" s="1"/>
  <c r="O733" i="15"/>
  <c r="T733" i="15" s="1"/>
  <c r="O732" i="15"/>
  <c r="S732" i="15" s="1"/>
  <c r="O731" i="15"/>
  <c r="R731" i="15" s="1"/>
  <c r="O730" i="15"/>
  <c r="Q730" i="15" s="1"/>
  <c r="O729" i="15"/>
  <c r="P729" i="15" s="1"/>
  <c r="O728" i="15"/>
  <c r="R728" i="15" s="1"/>
  <c r="O727" i="15"/>
  <c r="R727" i="15" s="1"/>
  <c r="O726" i="15"/>
  <c r="Q726" i="15" s="1"/>
  <c r="O725" i="15"/>
  <c r="T725" i="15" s="1"/>
  <c r="O724" i="15"/>
  <c r="S724" i="15" s="1"/>
  <c r="O723" i="15"/>
  <c r="R723" i="15" s="1"/>
  <c r="O722" i="15"/>
  <c r="Q722" i="15" s="1"/>
  <c r="O721" i="15"/>
  <c r="P721" i="15" s="1"/>
  <c r="O720" i="15"/>
  <c r="R720" i="15" s="1"/>
  <c r="O719" i="15"/>
  <c r="R719" i="15" s="1"/>
  <c r="O718" i="15"/>
  <c r="Q718" i="15" s="1"/>
  <c r="O717" i="15"/>
  <c r="T717" i="15" s="1"/>
  <c r="O716" i="15"/>
  <c r="S716" i="15" s="1"/>
  <c r="O715" i="15"/>
  <c r="R715" i="15" s="1"/>
  <c r="O714" i="15"/>
  <c r="Q714" i="15" s="1"/>
  <c r="O713" i="15"/>
  <c r="P713" i="15" s="1"/>
  <c r="O712" i="15"/>
  <c r="R712" i="15" s="1"/>
  <c r="O711" i="15"/>
  <c r="R711" i="15" s="1"/>
  <c r="O710" i="15"/>
  <c r="Q710" i="15" s="1"/>
  <c r="O709" i="15"/>
  <c r="T709" i="15" s="1"/>
  <c r="O708" i="15"/>
  <c r="S708" i="15" s="1"/>
  <c r="O707" i="15"/>
  <c r="R707" i="15" s="1"/>
  <c r="O706" i="15"/>
  <c r="Q706" i="15" s="1"/>
  <c r="O705" i="15"/>
  <c r="P705" i="15" s="1"/>
  <c r="O704" i="15"/>
  <c r="R704" i="15" s="1"/>
  <c r="O703" i="15"/>
  <c r="R703" i="15" s="1"/>
  <c r="O702" i="15"/>
  <c r="P702" i="15" s="1"/>
  <c r="O701" i="15"/>
  <c r="T701" i="15" s="1"/>
  <c r="R709" i="15" l="1"/>
  <c r="R701" i="15"/>
  <c r="Q717" i="15"/>
  <c r="Q709" i="15"/>
  <c r="S719" i="15"/>
  <c r="P717" i="15"/>
  <c r="U717" i="15" s="1"/>
  <c r="R717" i="15"/>
  <c r="S717" i="15"/>
  <c r="P709" i="15"/>
  <c r="T719" i="15"/>
  <c r="P725" i="15"/>
  <c r="U725" i="15" s="1"/>
  <c r="S701" i="15"/>
  <c r="S711" i="15"/>
  <c r="Q725" i="15"/>
  <c r="T711" i="15"/>
  <c r="R725" i="15"/>
  <c r="S703" i="15"/>
  <c r="S725" i="15"/>
  <c r="T703" i="15"/>
  <c r="S734" i="15"/>
  <c r="Q701" i="15"/>
  <c r="S709" i="15"/>
  <c r="P724" i="15"/>
  <c r="T734" i="15"/>
  <c r="T718" i="15"/>
  <c r="T720" i="15"/>
  <c r="T724" i="15"/>
  <c r="S726" i="15"/>
  <c r="S728" i="15"/>
  <c r="R732" i="15"/>
  <c r="R734" i="15"/>
  <c r="S736" i="15"/>
  <c r="R740" i="15"/>
  <c r="T726" i="15"/>
  <c r="T728" i="15"/>
  <c r="T732" i="15"/>
  <c r="T736" i="15"/>
  <c r="Q741" i="15"/>
  <c r="S727" i="15"/>
  <c r="P733" i="15"/>
  <c r="R741" i="15"/>
  <c r="T727" i="15"/>
  <c r="Q733" i="15"/>
  <c r="S735" i="15"/>
  <c r="S741" i="15"/>
  <c r="P704" i="15"/>
  <c r="P712" i="15"/>
  <c r="P716" i="15"/>
  <c r="R702" i="15"/>
  <c r="Q708" i="15"/>
  <c r="R710" i="15"/>
  <c r="Q716" i="15"/>
  <c r="R733" i="15"/>
  <c r="T735" i="15"/>
  <c r="P720" i="15"/>
  <c r="S702" i="15"/>
  <c r="R708" i="15"/>
  <c r="S712" i="15"/>
  <c r="R716" i="15"/>
  <c r="R718" i="15"/>
  <c r="Q720" i="15"/>
  <c r="Q724" i="15"/>
  <c r="P728" i="15"/>
  <c r="P732" i="15"/>
  <c r="S733" i="15"/>
  <c r="P740" i="15"/>
  <c r="R742" i="15"/>
  <c r="Q702" i="15"/>
  <c r="P708" i="15"/>
  <c r="Q704" i="15"/>
  <c r="Q712" i="15"/>
  <c r="S704" i="15"/>
  <c r="S710" i="15"/>
  <c r="P701" i="15"/>
  <c r="T702" i="15"/>
  <c r="T704" i="15"/>
  <c r="T710" i="15"/>
  <c r="T712" i="15"/>
  <c r="T716" i="15"/>
  <c r="S718" i="15"/>
  <c r="S720" i="15"/>
  <c r="R724" i="15"/>
  <c r="R726" i="15"/>
  <c r="Q728" i="15"/>
  <c r="Q732" i="15"/>
  <c r="Q736" i="15"/>
  <c r="Q740" i="15"/>
  <c r="T742" i="15"/>
  <c r="P715" i="15"/>
  <c r="Q705" i="15"/>
  <c r="R706" i="15"/>
  <c r="S707" i="15"/>
  <c r="T708" i="15"/>
  <c r="Q713" i="15"/>
  <c r="R714" i="15"/>
  <c r="S715" i="15"/>
  <c r="Q721" i="15"/>
  <c r="R722" i="15"/>
  <c r="S723" i="15"/>
  <c r="Q729" i="15"/>
  <c r="R730" i="15"/>
  <c r="S731" i="15"/>
  <c r="P736" i="15"/>
  <c r="Q737" i="15"/>
  <c r="R738" i="15"/>
  <c r="S739" i="15"/>
  <c r="T740" i="15"/>
  <c r="P706" i="15"/>
  <c r="Q707" i="15"/>
  <c r="P703" i="15"/>
  <c r="P711" i="15"/>
  <c r="R713" i="15"/>
  <c r="S714" i="15"/>
  <c r="T715" i="15"/>
  <c r="P719" i="15"/>
  <c r="R721" i="15"/>
  <c r="S722" i="15"/>
  <c r="T723" i="15"/>
  <c r="P727" i="15"/>
  <c r="R729" i="15"/>
  <c r="S730" i="15"/>
  <c r="T731" i="15"/>
  <c r="P735" i="15"/>
  <c r="R737" i="15"/>
  <c r="S738" i="15"/>
  <c r="T739" i="15"/>
  <c r="P707" i="15"/>
  <c r="R705" i="15"/>
  <c r="S706" i="15"/>
  <c r="T707" i="15"/>
  <c r="Q703" i="15"/>
  <c r="S705" i="15"/>
  <c r="T706" i="15"/>
  <c r="P710" i="15"/>
  <c r="Q711" i="15"/>
  <c r="S713" i="15"/>
  <c r="T714" i="15"/>
  <c r="P718" i="15"/>
  <c r="Q719" i="15"/>
  <c r="S721" i="15"/>
  <c r="T722" i="15"/>
  <c r="P726" i="15"/>
  <c r="Q727" i="15"/>
  <c r="S729" i="15"/>
  <c r="T730" i="15"/>
  <c r="P734" i="15"/>
  <c r="Q735" i="15"/>
  <c r="S737" i="15"/>
  <c r="T738" i="15"/>
  <c r="P742" i="15"/>
  <c r="T705" i="15"/>
  <c r="T713" i="15"/>
  <c r="T721" i="15"/>
  <c r="T729" i="15"/>
  <c r="T737" i="15"/>
  <c r="P741" i="15"/>
  <c r="U741" i="15" s="1"/>
  <c r="Q742" i="15"/>
  <c r="P723" i="15"/>
  <c r="P731" i="15"/>
  <c r="P739" i="15"/>
  <c r="P714" i="15"/>
  <c r="Q715" i="15"/>
  <c r="P730" i="15"/>
  <c r="P738" i="15"/>
  <c r="Q739" i="15"/>
  <c r="P722" i="15"/>
  <c r="Q723" i="15"/>
  <c r="Q731" i="15"/>
  <c r="O700" i="15"/>
  <c r="Q700" i="15" s="1"/>
  <c r="O699" i="15"/>
  <c r="T699" i="15" s="1"/>
  <c r="O698" i="15"/>
  <c r="S698" i="15" s="1"/>
  <c r="O697" i="15"/>
  <c r="R697" i="15" s="1"/>
  <c r="O696" i="15"/>
  <c r="Q696" i="15" s="1"/>
  <c r="O695" i="15"/>
  <c r="P695" i="15" s="1"/>
  <c r="O694" i="15"/>
  <c r="T694" i="15" s="1"/>
  <c r="O693" i="15"/>
  <c r="T693" i="15" s="1"/>
  <c r="O692" i="15"/>
  <c r="T692" i="15" s="1"/>
  <c r="O691" i="15"/>
  <c r="T691" i="15" s="1"/>
  <c r="O690" i="15"/>
  <c r="S690" i="15" s="1"/>
  <c r="O689" i="15"/>
  <c r="R689" i="15" s="1"/>
  <c r="O688" i="15"/>
  <c r="Q688" i="15" s="1"/>
  <c r="O687" i="15"/>
  <c r="P687" i="15" s="1"/>
  <c r="O686" i="15"/>
  <c r="S686" i="15" s="1"/>
  <c r="O685" i="15"/>
  <c r="T685" i="15" s="1"/>
  <c r="O684" i="15"/>
  <c r="T684" i="15" s="1"/>
  <c r="O683" i="15"/>
  <c r="T683" i="15" s="1"/>
  <c r="O682" i="15"/>
  <c r="S682" i="15" s="1"/>
  <c r="O681" i="15"/>
  <c r="R681" i="15" s="1"/>
  <c r="O680" i="15"/>
  <c r="Q680" i="15" s="1"/>
  <c r="O679" i="15"/>
  <c r="P679" i="15" s="1"/>
  <c r="O678" i="15"/>
  <c r="P678" i="15" s="1"/>
  <c r="O677" i="15"/>
  <c r="T677" i="15" s="1"/>
  <c r="O676" i="15"/>
  <c r="T676" i="15" s="1"/>
  <c r="O675" i="15"/>
  <c r="T675" i="15" s="1"/>
  <c r="O674" i="15"/>
  <c r="S674" i="15" s="1"/>
  <c r="O673" i="15"/>
  <c r="R673" i="15" s="1"/>
  <c r="O672" i="15"/>
  <c r="Q672" i="15" s="1"/>
  <c r="O671" i="15"/>
  <c r="P671" i="15" s="1"/>
  <c r="U722" i="15" l="1"/>
  <c r="U734" i="15"/>
  <c r="U701" i="15"/>
  <c r="U733" i="15"/>
  <c r="U704" i="15"/>
  <c r="U732" i="15"/>
  <c r="U738" i="15"/>
  <c r="U709" i="15"/>
  <c r="U716" i="15"/>
  <c r="R686" i="15"/>
  <c r="T686" i="15"/>
  <c r="S681" i="15"/>
  <c r="U702" i="15"/>
  <c r="U724" i="15"/>
  <c r="R678" i="15"/>
  <c r="R696" i="15"/>
  <c r="U742" i="15"/>
  <c r="U726" i="15"/>
  <c r="U710" i="15"/>
  <c r="U703" i="15"/>
  <c r="U713" i="15"/>
  <c r="U712" i="15"/>
  <c r="T681" i="15"/>
  <c r="S678" i="15"/>
  <c r="T678" i="15"/>
  <c r="S696" i="15"/>
  <c r="U708" i="15"/>
  <c r="U729" i="15"/>
  <c r="U728" i="15"/>
  <c r="U720" i="15"/>
  <c r="S694" i="15"/>
  <c r="U730" i="15"/>
  <c r="U740" i="15"/>
  <c r="U718" i="15"/>
  <c r="Q695" i="15"/>
  <c r="U721" i="15"/>
  <c r="S680" i="15"/>
  <c r="T671" i="15"/>
  <c r="P686" i="15"/>
  <c r="T695" i="15"/>
  <c r="U705" i="15"/>
  <c r="U737" i="15"/>
  <c r="S671" i="15"/>
  <c r="Q678" i="15"/>
  <c r="Q686" i="15"/>
  <c r="U686" i="15" s="1"/>
  <c r="U731" i="15"/>
  <c r="U707" i="15"/>
  <c r="U736" i="15"/>
  <c r="T673" i="15"/>
  <c r="U706" i="15"/>
  <c r="U727" i="15"/>
  <c r="U735" i="15"/>
  <c r="U719" i="15"/>
  <c r="U714" i="15"/>
  <c r="U715" i="15"/>
  <c r="U739" i="15"/>
  <c r="U711" i="15"/>
  <c r="U723" i="15"/>
  <c r="T674" i="15"/>
  <c r="R680" i="15"/>
  <c r="S688" i="15"/>
  <c r="T696" i="15"/>
  <c r="T688" i="15"/>
  <c r="Q687" i="15"/>
  <c r="R695" i="15"/>
  <c r="S697" i="15"/>
  <c r="R672" i="15"/>
  <c r="Q679" i="15"/>
  <c r="R687" i="15"/>
  <c r="S689" i="15"/>
  <c r="P694" i="15"/>
  <c r="S695" i="15"/>
  <c r="T697" i="15"/>
  <c r="T680" i="15"/>
  <c r="T672" i="15"/>
  <c r="Q671" i="15"/>
  <c r="R679" i="15"/>
  <c r="S687" i="15"/>
  <c r="T689" i="15"/>
  <c r="Q694" i="15"/>
  <c r="S672" i="15"/>
  <c r="R671" i="15"/>
  <c r="S673" i="15"/>
  <c r="S679" i="15"/>
  <c r="T687" i="15"/>
  <c r="R694" i="15"/>
  <c r="T698" i="15"/>
  <c r="T679" i="15"/>
  <c r="T690" i="15"/>
  <c r="T682" i="15"/>
  <c r="R688" i="15"/>
  <c r="P677" i="15"/>
  <c r="P693" i="15"/>
  <c r="P684" i="15"/>
  <c r="Q685" i="15"/>
  <c r="P692" i="15"/>
  <c r="P700" i="15"/>
  <c r="Q692" i="15"/>
  <c r="R693" i="15"/>
  <c r="P682" i="15"/>
  <c r="R684" i="15"/>
  <c r="S685" i="15"/>
  <c r="P698" i="15"/>
  <c r="Q699" i="15"/>
  <c r="R700" i="15"/>
  <c r="P685" i="15"/>
  <c r="Q677" i="15"/>
  <c r="Q693" i="15"/>
  <c r="P683" i="15"/>
  <c r="Q684" i="15"/>
  <c r="R685" i="15"/>
  <c r="P691" i="15"/>
  <c r="P699" i="15"/>
  <c r="P690" i="15"/>
  <c r="Q691" i="15"/>
  <c r="R692" i="15"/>
  <c r="S693" i="15"/>
  <c r="P681" i="15"/>
  <c r="Q682" i="15"/>
  <c r="R683" i="15"/>
  <c r="S684" i="15"/>
  <c r="P689" i="15"/>
  <c r="Q690" i="15"/>
  <c r="R691" i="15"/>
  <c r="S692" i="15"/>
  <c r="P697" i="15"/>
  <c r="Q698" i="15"/>
  <c r="R699" i="15"/>
  <c r="S700" i="15"/>
  <c r="P676" i="15"/>
  <c r="P675" i="15"/>
  <c r="Q676" i="15"/>
  <c r="R677" i="15"/>
  <c r="P674" i="15"/>
  <c r="Q675" i="15"/>
  <c r="R676" i="15"/>
  <c r="S677" i="15"/>
  <c r="Q683" i="15"/>
  <c r="P673" i="15"/>
  <c r="Q674" i="15"/>
  <c r="R675" i="15"/>
  <c r="S676" i="15"/>
  <c r="P672" i="15"/>
  <c r="S675" i="15"/>
  <c r="P680" i="15"/>
  <c r="Q681" i="15"/>
  <c r="R682" i="15"/>
  <c r="S683" i="15"/>
  <c r="P688" i="15"/>
  <c r="Q689" i="15"/>
  <c r="R690" i="15"/>
  <c r="S691" i="15"/>
  <c r="P696" i="15"/>
  <c r="U696" i="15" s="1"/>
  <c r="Q697" i="15"/>
  <c r="R698" i="15"/>
  <c r="S699" i="15"/>
  <c r="T700" i="15"/>
  <c r="Q673" i="15"/>
  <c r="R674" i="15"/>
  <c r="O670" i="15"/>
  <c r="T670" i="15" s="1"/>
  <c r="O669" i="15"/>
  <c r="T669" i="15" s="1"/>
  <c r="O668" i="15"/>
  <c r="S668" i="15" s="1"/>
  <c r="O667" i="15"/>
  <c r="R667" i="15" s="1"/>
  <c r="O666" i="15"/>
  <c r="Q666" i="15" s="1"/>
  <c r="O665" i="15"/>
  <c r="P665" i="15" s="1"/>
  <c r="O664" i="15"/>
  <c r="P664" i="15" s="1"/>
  <c r="O663" i="15"/>
  <c r="S663" i="15" s="1"/>
  <c r="O662" i="15"/>
  <c r="T662" i="15" s="1"/>
  <c r="O661" i="15"/>
  <c r="T661" i="15" s="1"/>
  <c r="O660" i="15"/>
  <c r="S660" i="15" s="1"/>
  <c r="O659" i="15"/>
  <c r="R659" i="15" s="1"/>
  <c r="O658" i="15"/>
  <c r="Q658" i="15" s="1"/>
  <c r="O657" i="15"/>
  <c r="P657" i="15" s="1"/>
  <c r="O656" i="15"/>
  <c r="T656" i="15" s="1"/>
  <c r="O655" i="15"/>
  <c r="Q655" i="15" s="1"/>
  <c r="O654" i="15"/>
  <c r="T654" i="15" s="1"/>
  <c r="O653" i="15"/>
  <c r="T653" i="15" s="1"/>
  <c r="O652" i="15"/>
  <c r="S652" i="15" s="1"/>
  <c r="O651" i="15"/>
  <c r="R651" i="15" s="1"/>
  <c r="U678" i="15" l="1"/>
  <c r="U695" i="15"/>
  <c r="U687" i="15"/>
  <c r="U671" i="15"/>
  <c r="U679" i="15"/>
  <c r="U672" i="15"/>
  <c r="S656" i="15"/>
  <c r="U688" i="15"/>
  <c r="U694" i="15"/>
  <c r="T652" i="15"/>
  <c r="S658" i="15"/>
  <c r="U680" i="15"/>
  <c r="U674" i="15"/>
  <c r="U697" i="15"/>
  <c r="U681" i="15"/>
  <c r="U673" i="15"/>
  <c r="U675" i="15"/>
  <c r="U676" i="15"/>
  <c r="U689" i="15"/>
  <c r="U690" i="15"/>
  <c r="U685" i="15"/>
  <c r="U699" i="15"/>
  <c r="U700" i="15"/>
  <c r="U691" i="15"/>
  <c r="U692" i="15"/>
  <c r="U698" i="15"/>
  <c r="U684" i="15"/>
  <c r="U683" i="15"/>
  <c r="U693" i="15"/>
  <c r="U682" i="15"/>
  <c r="U677" i="15"/>
  <c r="S651" i="15"/>
  <c r="P656" i="15"/>
  <c r="S657" i="15"/>
  <c r="P660" i="15"/>
  <c r="Q664" i="15"/>
  <c r="S666" i="15"/>
  <c r="T651" i="15"/>
  <c r="Q656" i="15"/>
  <c r="R656" i="15"/>
  <c r="R658" i="15"/>
  <c r="T660" i="15"/>
  <c r="R664" i="15"/>
  <c r="T666" i="15"/>
  <c r="S664" i="15"/>
  <c r="T658" i="15"/>
  <c r="T664" i="15"/>
  <c r="T667" i="15"/>
  <c r="Q657" i="15"/>
  <c r="S659" i="15"/>
  <c r="P663" i="15"/>
  <c r="R665" i="15"/>
  <c r="R657" i="15"/>
  <c r="T659" i="15"/>
  <c r="Q663" i="15"/>
  <c r="S665" i="15"/>
  <c r="Q665" i="15"/>
  <c r="R666" i="15"/>
  <c r="S667" i="15"/>
  <c r="T668" i="15"/>
  <c r="P670" i="15"/>
  <c r="P662" i="15"/>
  <c r="P653" i="15"/>
  <c r="Q654" i="15"/>
  <c r="R655" i="15"/>
  <c r="T657" i="15"/>
  <c r="P661" i="15"/>
  <c r="Q662" i="15"/>
  <c r="R663" i="15"/>
  <c r="T665" i="15"/>
  <c r="P669" i="15"/>
  <c r="Q670" i="15"/>
  <c r="P655" i="15"/>
  <c r="S655" i="15"/>
  <c r="P668" i="15"/>
  <c r="Q669" i="15"/>
  <c r="R670" i="15"/>
  <c r="P651" i="15"/>
  <c r="Q652" i="15"/>
  <c r="R653" i="15"/>
  <c r="S654" i="15"/>
  <c r="T655" i="15"/>
  <c r="P659" i="15"/>
  <c r="Q660" i="15"/>
  <c r="R661" i="15"/>
  <c r="S662" i="15"/>
  <c r="T663" i="15"/>
  <c r="P667" i="15"/>
  <c r="Q668" i="15"/>
  <c r="R669" i="15"/>
  <c r="S670" i="15"/>
  <c r="P652" i="15"/>
  <c r="Q653" i="15"/>
  <c r="R654" i="15"/>
  <c r="Q661" i="15"/>
  <c r="R662" i="15"/>
  <c r="P658" i="15"/>
  <c r="Q659" i="15"/>
  <c r="R660" i="15"/>
  <c r="S661" i="15"/>
  <c r="P666" i="15"/>
  <c r="Q667" i="15"/>
  <c r="R668" i="15"/>
  <c r="S669" i="15"/>
  <c r="P654" i="15"/>
  <c r="Q651" i="15"/>
  <c r="R652" i="15"/>
  <c r="S653" i="15"/>
  <c r="O650" i="15"/>
  <c r="S650" i="15" s="1"/>
  <c r="O649" i="15"/>
  <c r="Q649" i="15" s="1"/>
  <c r="O648" i="15"/>
  <c r="Q648" i="15" s="1"/>
  <c r="O647" i="15"/>
  <c r="S647" i="15" s="1"/>
  <c r="O646" i="15"/>
  <c r="R646" i="15" s="1"/>
  <c r="O645" i="15"/>
  <c r="U666" i="15" l="1"/>
  <c r="U654" i="15"/>
  <c r="U658" i="15"/>
  <c r="U665" i="15"/>
  <c r="U656" i="15"/>
  <c r="U663" i="15"/>
  <c r="U664" i="15"/>
  <c r="U655" i="15"/>
  <c r="U657" i="15"/>
  <c r="U670" i="15"/>
  <c r="U652" i="15"/>
  <c r="U660" i="15"/>
  <c r="U659" i="15"/>
  <c r="U668" i="15"/>
  <c r="U661" i="15"/>
  <c r="U667" i="15"/>
  <c r="U669" i="15"/>
  <c r="U653" i="15"/>
  <c r="U651" i="15"/>
  <c r="U662" i="15"/>
  <c r="Q645" i="15"/>
  <c r="T645" i="15"/>
  <c r="S645" i="15"/>
  <c r="R645" i="15"/>
  <c r="P647" i="15"/>
  <c r="T647" i="15"/>
  <c r="S646" i="15"/>
  <c r="T646" i="15"/>
  <c r="R649" i="15"/>
  <c r="P646" i="15"/>
  <c r="Q647" i="15"/>
  <c r="R648" i="15"/>
  <c r="S649" i="15"/>
  <c r="T650" i="15"/>
  <c r="P645" i="15"/>
  <c r="Q646" i="15"/>
  <c r="R647" i="15"/>
  <c r="S648" i="15"/>
  <c r="T649" i="15"/>
  <c r="T648" i="15"/>
  <c r="P650" i="15"/>
  <c r="P649" i="15"/>
  <c r="Q650" i="15"/>
  <c r="P648" i="15"/>
  <c r="R650" i="15"/>
  <c r="O644" i="15"/>
  <c r="T644" i="15" s="1"/>
  <c r="O643" i="15"/>
  <c r="T643" i="15" s="1"/>
  <c r="O642" i="15"/>
  <c r="S642" i="15" s="1"/>
  <c r="O641" i="15"/>
  <c r="R641" i="15" s="1"/>
  <c r="O640" i="15"/>
  <c r="Q640" i="15" s="1"/>
  <c r="O639" i="15"/>
  <c r="P639" i="15" s="1"/>
  <c r="O638" i="15"/>
  <c r="P638" i="15" s="1"/>
  <c r="O637" i="15"/>
  <c r="T637" i="15" s="1"/>
  <c r="O636" i="15"/>
  <c r="T636" i="15" s="1"/>
  <c r="O635" i="15"/>
  <c r="T635" i="15" s="1"/>
  <c r="O634" i="15"/>
  <c r="S634" i="15" s="1"/>
  <c r="O633" i="15"/>
  <c r="R633" i="15" s="1"/>
  <c r="O632" i="15"/>
  <c r="Q632" i="15" s="1"/>
  <c r="O631" i="15"/>
  <c r="P631" i="15" s="1"/>
  <c r="O630" i="15"/>
  <c r="P630" i="15" s="1"/>
  <c r="O629" i="15"/>
  <c r="T629" i="15" s="1"/>
  <c r="O628" i="15"/>
  <c r="S628" i="15" s="1"/>
  <c r="O627" i="15"/>
  <c r="T627" i="15" s="1"/>
  <c r="O626" i="15"/>
  <c r="S626" i="15" s="1"/>
  <c r="O625" i="15"/>
  <c r="R625" i="15" s="1"/>
  <c r="O624" i="15"/>
  <c r="Q624" i="15" s="1"/>
  <c r="O623" i="15"/>
  <c r="P623" i="15" s="1"/>
  <c r="O622" i="15"/>
  <c r="P622" i="15" s="1"/>
  <c r="O621" i="15"/>
  <c r="T621" i="15" s="1"/>
  <c r="O620" i="15"/>
  <c r="T620" i="15" s="1"/>
  <c r="O619" i="15"/>
  <c r="T619" i="15" s="1"/>
  <c r="O618" i="15"/>
  <c r="S618" i="15" s="1"/>
  <c r="O617" i="15"/>
  <c r="R617" i="15" s="1"/>
  <c r="O616" i="15"/>
  <c r="Q616" i="15" s="1"/>
  <c r="O615" i="15"/>
  <c r="P615" i="15" s="1"/>
  <c r="O614" i="15"/>
  <c r="P614" i="15" s="1"/>
  <c r="O613" i="15"/>
  <c r="R613" i="15" s="1"/>
  <c r="O612" i="15"/>
  <c r="T612" i="15" s="1"/>
  <c r="O611" i="15"/>
  <c r="T611" i="15" s="1"/>
  <c r="O610" i="15"/>
  <c r="S610" i="15" s="1"/>
  <c r="O609" i="15"/>
  <c r="R609" i="15" s="1"/>
  <c r="O608" i="15"/>
  <c r="Q608" i="15" s="1"/>
  <c r="O607" i="15"/>
  <c r="P607" i="15" s="1"/>
  <c r="O606" i="15"/>
  <c r="P606" i="15" s="1"/>
  <c r="O605" i="15"/>
  <c r="Q605" i="15" s="1"/>
  <c r="O604" i="15"/>
  <c r="S604" i="15" s="1"/>
  <c r="O603" i="15"/>
  <c r="R603" i="15" s="1"/>
  <c r="U648" i="15" l="1"/>
  <c r="U645" i="15"/>
  <c r="U649" i="15"/>
  <c r="U650" i="15"/>
  <c r="U647" i="15"/>
  <c r="U646" i="15"/>
  <c r="S613" i="15"/>
  <c r="Q630" i="15"/>
  <c r="P613" i="15"/>
  <c r="R630" i="15"/>
  <c r="Q613" i="15"/>
  <c r="T613" i="15"/>
  <c r="R621" i="15"/>
  <c r="Q629" i="15"/>
  <c r="R605" i="15"/>
  <c r="R623" i="15"/>
  <c r="S638" i="15"/>
  <c r="P605" i="15"/>
  <c r="S605" i="15"/>
  <c r="S623" i="15"/>
  <c r="T638" i="15"/>
  <c r="T605" i="15"/>
  <c r="S615" i="15"/>
  <c r="P621" i="15"/>
  <c r="T623" i="15"/>
  <c r="Q621" i="15"/>
  <c r="S629" i="15"/>
  <c r="T617" i="15"/>
  <c r="S621" i="15"/>
  <c r="T625" i="15"/>
  <c r="R638" i="15"/>
  <c r="S607" i="15"/>
  <c r="T615" i="15"/>
  <c r="Q614" i="15"/>
  <c r="R606" i="15"/>
  <c r="P608" i="15"/>
  <c r="R614" i="15"/>
  <c r="P616" i="15"/>
  <c r="S622" i="15"/>
  <c r="S624" i="15"/>
  <c r="P629" i="15"/>
  <c r="T630" i="15"/>
  <c r="T632" i="15"/>
  <c r="Q637" i="15"/>
  <c r="Q606" i="15"/>
  <c r="S614" i="15"/>
  <c r="S616" i="15"/>
  <c r="R637" i="15"/>
  <c r="S606" i="15"/>
  <c r="S608" i="15"/>
  <c r="T622" i="15"/>
  <c r="T624" i="15"/>
  <c r="T606" i="15"/>
  <c r="T608" i="15"/>
  <c r="T614" i="15"/>
  <c r="T616" i="15"/>
  <c r="R629" i="15"/>
  <c r="R631" i="15"/>
  <c r="T633" i="15"/>
  <c r="S637" i="15"/>
  <c r="S640" i="15"/>
  <c r="S631" i="15"/>
  <c r="T640" i="15"/>
  <c r="R607" i="15"/>
  <c r="T609" i="15"/>
  <c r="R615" i="15"/>
  <c r="T631" i="15"/>
  <c r="Q638" i="15"/>
  <c r="P632" i="15"/>
  <c r="T607" i="15"/>
  <c r="Q622" i="15"/>
  <c r="R622" i="15"/>
  <c r="P624" i="15"/>
  <c r="S630" i="15"/>
  <c r="S632" i="15"/>
  <c r="P637" i="15"/>
  <c r="Q603" i="15"/>
  <c r="R604" i="15"/>
  <c r="P610" i="15"/>
  <c r="R612" i="15"/>
  <c r="P618" i="15"/>
  <c r="S603" i="15"/>
  <c r="T604" i="15"/>
  <c r="Q625" i="15"/>
  <c r="R626" i="15"/>
  <c r="S627" i="15"/>
  <c r="T628" i="15"/>
  <c r="Q633" i="15"/>
  <c r="R634" i="15"/>
  <c r="S635" i="15"/>
  <c r="T603" i="15"/>
  <c r="Q607" i="15"/>
  <c r="R608" i="15"/>
  <c r="S609" i="15"/>
  <c r="T610" i="15"/>
  <c r="Q615" i="15"/>
  <c r="R616" i="15"/>
  <c r="S617" i="15"/>
  <c r="T618" i="15"/>
  <c r="Q623" i="15"/>
  <c r="R624" i="15"/>
  <c r="S625" i="15"/>
  <c r="T626" i="15"/>
  <c r="Q631" i="15"/>
  <c r="R632" i="15"/>
  <c r="S633" i="15"/>
  <c r="T634" i="15"/>
  <c r="Q639" i="15"/>
  <c r="R640" i="15"/>
  <c r="S641" i="15"/>
  <c r="T642" i="15"/>
  <c r="R639" i="15"/>
  <c r="T641" i="15"/>
  <c r="P612" i="15"/>
  <c r="P628" i="15"/>
  <c r="P636" i="15"/>
  <c r="S639" i="15"/>
  <c r="P644" i="15"/>
  <c r="P604" i="15"/>
  <c r="P620" i="15"/>
  <c r="P627" i="15"/>
  <c r="Q628" i="15"/>
  <c r="P635" i="15"/>
  <c r="Q636" i="15"/>
  <c r="T639" i="15"/>
  <c r="P643" i="15"/>
  <c r="Q644" i="15"/>
  <c r="P642" i="15"/>
  <c r="Q643" i="15"/>
  <c r="R644" i="15"/>
  <c r="P603" i="15"/>
  <c r="Q604" i="15"/>
  <c r="P611" i="15"/>
  <c r="Q612" i="15"/>
  <c r="Q611" i="15"/>
  <c r="Q619" i="15"/>
  <c r="P626" i="15"/>
  <c r="Q627" i="15"/>
  <c r="R628" i="15"/>
  <c r="P634" i="15"/>
  <c r="Q635" i="15"/>
  <c r="R636" i="15"/>
  <c r="P609" i="15"/>
  <c r="Q610" i="15"/>
  <c r="R611" i="15"/>
  <c r="S612" i="15"/>
  <c r="P617" i="15"/>
  <c r="Q618" i="15"/>
  <c r="R619" i="15"/>
  <c r="S620" i="15"/>
  <c r="P625" i="15"/>
  <c r="Q626" i="15"/>
  <c r="R627" i="15"/>
  <c r="P633" i="15"/>
  <c r="Q634" i="15"/>
  <c r="R635" i="15"/>
  <c r="S636" i="15"/>
  <c r="P641" i="15"/>
  <c r="Q642" i="15"/>
  <c r="R643" i="15"/>
  <c r="S644" i="15"/>
  <c r="P640" i="15"/>
  <c r="Q641" i="15"/>
  <c r="R642" i="15"/>
  <c r="S643" i="15"/>
  <c r="P619" i="15"/>
  <c r="Q620" i="15"/>
  <c r="R620" i="15"/>
  <c r="Q609" i="15"/>
  <c r="R610" i="15"/>
  <c r="S611" i="15"/>
  <c r="Q617" i="15"/>
  <c r="R618" i="15"/>
  <c r="S619" i="15"/>
  <c r="O602" i="15"/>
  <c r="T602" i="15" s="1"/>
  <c r="O601" i="15"/>
  <c r="T601" i="15" s="1"/>
  <c r="O600" i="15"/>
  <c r="S600" i="15" s="1"/>
  <c r="O599" i="15"/>
  <c r="R599" i="15" s="1"/>
  <c r="O598" i="15"/>
  <c r="Q598" i="15" s="1"/>
  <c r="O597" i="15"/>
  <c r="P597" i="15" s="1"/>
  <c r="O596" i="15"/>
  <c r="P596" i="15" s="1"/>
  <c r="O595" i="15"/>
  <c r="T595" i="15" s="1"/>
  <c r="O594" i="15"/>
  <c r="T594" i="15" s="1"/>
  <c r="O593" i="15"/>
  <c r="T593" i="15" s="1"/>
  <c r="O592" i="15"/>
  <c r="S592" i="15" s="1"/>
  <c r="O591" i="15"/>
  <c r="R591" i="15" s="1"/>
  <c r="O590" i="15"/>
  <c r="Q590" i="15" s="1"/>
  <c r="O589" i="15"/>
  <c r="P589" i="15" s="1"/>
  <c r="O588" i="15"/>
  <c r="S588" i="15" s="1"/>
  <c r="O587" i="15"/>
  <c r="T587" i="15" s="1"/>
  <c r="O586" i="15"/>
  <c r="T586" i="15" s="1"/>
  <c r="O585" i="15"/>
  <c r="T585" i="15" s="1"/>
  <c r="O584" i="15"/>
  <c r="S584" i="15" s="1"/>
  <c r="O583" i="15"/>
  <c r="R583" i="15" s="1"/>
  <c r="O582" i="15"/>
  <c r="Q582" i="15" s="1"/>
  <c r="O581" i="15"/>
  <c r="P581" i="15" s="1"/>
  <c r="O580" i="15"/>
  <c r="Q580" i="15" s="1"/>
  <c r="O579" i="15"/>
  <c r="T579" i="15" s="1"/>
  <c r="O578" i="15"/>
  <c r="Q578" i="15" s="1"/>
  <c r="O577" i="15"/>
  <c r="T577" i="15" s="1"/>
  <c r="O576" i="15"/>
  <c r="S576" i="15" s="1"/>
  <c r="O575" i="15"/>
  <c r="R575" i="15" s="1"/>
  <c r="O574" i="15"/>
  <c r="Q574" i="15" s="1"/>
  <c r="O573" i="15"/>
  <c r="P573" i="15" s="1"/>
  <c r="O572" i="15"/>
  <c r="Q572" i="15" s="1"/>
  <c r="O571" i="15"/>
  <c r="S571" i="15" s="1"/>
  <c r="O570" i="15"/>
  <c r="T570" i="15" s="1"/>
  <c r="O569" i="15"/>
  <c r="T569" i="15" s="1"/>
  <c r="U633" i="15" l="1"/>
  <c r="U639" i="15"/>
  <c r="U631" i="15"/>
  <c r="U625" i="15"/>
  <c r="U607" i="15"/>
  <c r="U640" i="15"/>
  <c r="U615" i="15"/>
  <c r="U623" i="15"/>
  <c r="U638" i="15"/>
  <c r="U626" i="15"/>
  <c r="U618" i="15"/>
  <c r="U624" i="15"/>
  <c r="U613" i="15"/>
  <c r="U630" i="15"/>
  <c r="U622" i="15"/>
  <c r="U606" i="15"/>
  <c r="U614" i="15"/>
  <c r="U605" i="15"/>
  <c r="U627" i="15"/>
  <c r="U629" i="15"/>
  <c r="U642" i="15"/>
  <c r="U620" i="15"/>
  <c r="U621" i="15"/>
  <c r="U609" i="15"/>
  <c r="U604" i="15"/>
  <c r="U610" i="15"/>
  <c r="U619" i="15"/>
  <c r="U641" i="15"/>
  <c r="U643" i="15"/>
  <c r="U644" i="15"/>
  <c r="U616" i="15"/>
  <c r="U611" i="15"/>
  <c r="U632" i="15"/>
  <c r="U634" i="15"/>
  <c r="U636" i="15"/>
  <c r="U637" i="15"/>
  <c r="U608" i="15"/>
  <c r="U617" i="15"/>
  <c r="U603" i="15"/>
  <c r="U635" i="15"/>
  <c r="U628" i="15"/>
  <c r="U612" i="15"/>
  <c r="R588" i="15"/>
  <c r="T588" i="15"/>
  <c r="R572" i="15"/>
  <c r="S572" i="15"/>
  <c r="T572" i="15"/>
  <c r="Q573" i="15"/>
  <c r="R580" i="15"/>
  <c r="Q587" i="15"/>
  <c r="T591" i="15"/>
  <c r="P588" i="15"/>
  <c r="Q588" i="15"/>
  <c r="R574" i="15"/>
  <c r="S580" i="15"/>
  <c r="R582" i="15"/>
  <c r="T589" i="15"/>
  <c r="Q596" i="15"/>
  <c r="S574" i="15"/>
  <c r="T574" i="15"/>
  <c r="P579" i="15"/>
  <c r="T580" i="15"/>
  <c r="S582" i="15"/>
  <c r="P586" i="15"/>
  <c r="R596" i="15"/>
  <c r="S598" i="15"/>
  <c r="T582" i="15"/>
  <c r="R590" i="15"/>
  <c r="S596" i="15"/>
  <c r="T598" i="15"/>
  <c r="R573" i="15"/>
  <c r="S575" i="15"/>
  <c r="R579" i="15"/>
  <c r="Q581" i="15"/>
  <c r="P587" i="15"/>
  <c r="S590" i="15"/>
  <c r="T596" i="15"/>
  <c r="R581" i="15"/>
  <c r="S583" i="15"/>
  <c r="T590" i="15"/>
  <c r="P595" i="15"/>
  <c r="T599" i="15"/>
  <c r="Q579" i="15"/>
  <c r="P572" i="15"/>
  <c r="S573" i="15"/>
  <c r="T575" i="15"/>
  <c r="T573" i="15"/>
  <c r="P580" i="15"/>
  <c r="S581" i="15"/>
  <c r="T583" i="15"/>
  <c r="R587" i="15"/>
  <c r="Q589" i="15"/>
  <c r="Q595" i="15"/>
  <c r="R597" i="15"/>
  <c r="T581" i="15"/>
  <c r="R589" i="15"/>
  <c r="S591" i="15"/>
  <c r="R595" i="15"/>
  <c r="S597" i="15"/>
  <c r="S589" i="15"/>
  <c r="T597" i="15"/>
  <c r="T576" i="15"/>
  <c r="T584" i="15"/>
  <c r="T592" i="15"/>
  <c r="Q597" i="15"/>
  <c r="R598" i="15"/>
  <c r="S599" i="15"/>
  <c r="T600" i="15"/>
  <c r="P594" i="15"/>
  <c r="P602" i="15"/>
  <c r="P571" i="15"/>
  <c r="P578" i="15"/>
  <c r="P593" i="15"/>
  <c r="Q594" i="15"/>
  <c r="P601" i="15"/>
  <c r="Q602" i="15"/>
  <c r="P569" i="15"/>
  <c r="R571" i="15"/>
  <c r="Q586" i="15"/>
  <c r="R570" i="15"/>
  <c r="P576" i="15"/>
  <c r="Q577" i="15"/>
  <c r="R578" i="15"/>
  <c r="S579" i="15"/>
  <c r="P584" i="15"/>
  <c r="Q585" i="15"/>
  <c r="R586" i="15"/>
  <c r="S587" i="15"/>
  <c r="P592" i="15"/>
  <c r="Q593" i="15"/>
  <c r="R594" i="15"/>
  <c r="S595" i="15"/>
  <c r="P600" i="15"/>
  <c r="Q601" i="15"/>
  <c r="R602" i="15"/>
  <c r="Q570" i="15"/>
  <c r="P585" i="15"/>
  <c r="R569" i="15"/>
  <c r="S570" i="15"/>
  <c r="T571" i="15"/>
  <c r="P575" i="15"/>
  <c r="Q576" i="15"/>
  <c r="R577" i="15"/>
  <c r="S578" i="15"/>
  <c r="P583" i="15"/>
  <c r="Q584" i="15"/>
  <c r="R585" i="15"/>
  <c r="S586" i="15"/>
  <c r="P591" i="15"/>
  <c r="Q592" i="15"/>
  <c r="R593" i="15"/>
  <c r="S594" i="15"/>
  <c r="P599" i="15"/>
  <c r="Q600" i="15"/>
  <c r="R601" i="15"/>
  <c r="S602" i="15"/>
  <c r="P570" i="15"/>
  <c r="Q569" i="15"/>
  <c r="S569" i="15"/>
  <c r="P574" i="15"/>
  <c r="Q575" i="15"/>
  <c r="R576" i="15"/>
  <c r="S577" i="15"/>
  <c r="T578" i="15"/>
  <c r="P582" i="15"/>
  <c r="Q583" i="15"/>
  <c r="R584" i="15"/>
  <c r="S585" i="15"/>
  <c r="P590" i="15"/>
  <c r="Q591" i="15"/>
  <c r="R592" i="15"/>
  <c r="S593" i="15"/>
  <c r="P598" i="15"/>
  <c r="Q599" i="15"/>
  <c r="R600" i="15"/>
  <c r="S601" i="15"/>
  <c r="Q571" i="15"/>
  <c r="P577" i="15"/>
  <c r="O568" i="15"/>
  <c r="S568" i="15" s="1"/>
  <c r="O567" i="15"/>
  <c r="T567" i="15" s="1"/>
  <c r="O566" i="15"/>
  <c r="S566" i="15" s="1"/>
  <c r="O565" i="15"/>
  <c r="R565" i="15" s="1"/>
  <c r="O564" i="15"/>
  <c r="Q564" i="15" s="1"/>
  <c r="O563" i="15"/>
  <c r="P563" i="15" s="1"/>
  <c r="O562" i="15"/>
  <c r="S562" i="15" s="1"/>
  <c r="O561" i="15"/>
  <c r="T561" i="15" s="1"/>
  <c r="O560" i="15"/>
  <c r="O559" i="15"/>
  <c r="T559" i="15" s="1"/>
  <c r="O558" i="15"/>
  <c r="S558" i="15" s="1"/>
  <c r="O557" i="15"/>
  <c r="R557" i="15" s="1"/>
  <c r="O556" i="15"/>
  <c r="Q556" i="15" s="1"/>
  <c r="O555" i="15"/>
  <c r="P555" i="15" s="1"/>
  <c r="O554" i="15"/>
  <c r="S554" i="15" s="1"/>
  <c r="O553" i="15"/>
  <c r="T553" i="15" s="1"/>
  <c r="O552" i="15"/>
  <c r="O551" i="15"/>
  <c r="T551" i="15" s="1"/>
  <c r="O550" i="15"/>
  <c r="T550" i="15" s="1"/>
  <c r="O549" i="15"/>
  <c r="R549" i="15" s="1"/>
  <c r="O548" i="15"/>
  <c r="Q548" i="15" s="1"/>
  <c r="O547" i="15"/>
  <c r="P547" i="15" s="1"/>
  <c r="O546" i="15"/>
  <c r="S546" i="15" s="1"/>
  <c r="O545" i="15"/>
  <c r="T545" i="15" s="1"/>
  <c r="O544" i="15"/>
  <c r="O543" i="15"/>
  <c r="T543" i="15" s="1"/>
  <c r="O542" i="15"/>
  <c r="R542" i="15" s="1"/>
  <c r="O541" i="15"/>
  <c r="R541" i="15" s="1"/>
  <c r="O540" i="15"/>
  <c r="T540" i="15" s="1"/>
  <c r="O539" i="15"/>
  <c r="P539" i="15" s="1"/>
  <c r="O538" i="15"/>
  <c r="S538" i="15" s="1"/>
  <c r="O537" i="15"/>
  <c r="T537" i="15" s="1"/>
  <c r="O536" i="15"/>
  <c r="O535" i="15"/>
  <c r="T535" i="15" s="1"/>
  <c r="O534" i="15"/>
  <c r="T534" i="15" s="1"/>
  <c r="O533" i="15"/>
  <c r="R533" i="15" s="1"/>
  <c r="O532" i="15"/>
  <c r="S532" i="15" s="1"/>
  <c r="O531" i="15"/>
  <c r="P531" i="15" s="1"/>
  <c r="O530" i="15"/>
  <c r="S530" i="15" s="1"/>
  <c r="O529" i="15"/>
  <c r="T529" i="15" s="1"/>
  <c r="O528" i="15"/>
  <c r="O527" i="15"/>
  <c r="T527" i="15" s="1"/>
  <c r="O526" i="15"/>
  <c r="S526" i="15" s="1"/>
  <c r="O525" i="15"/>
  <c r="R525" i="15" s="1"/>
  <c r="O524" i="15"/>
  <c r="T524" i="15" s="1"/>
  <c r="O523" i="15"/>
  <c r="R523" i="15" s="1"/>
  <c r="O522" i="15"/>
  <c r="S522" i="15" s="1"/>
  <c r="O521" i="15"/>
  <c r="T521" i="15" s="1"/>
  <c r="O520" i="15"/>
  <c r="O519" i="15"/>
  <c r="T519" i="15" s="1"/>
  <c r="O518" i="15"/>
  <c r="Q518" i="15" s="1"/>
  <c r="O517" i="15"/>
  <c r="R517" i="15" s="1"/>
  <c r="O516" i="15"/>
  <c r="R516" i="15" s="1"/>
  <c r="O515" i="15"/>
  <c r="O514" i="15"/>
  <c r="S514" i="15" s="1"/>
  <c r="O513" i="15"/>
  <c r="T513" i="15" s="1"/>
  <c r="O512" i="15"/>
  <c r="R512" i="15" s="1"/>
  <c r="O511" i="15"/>
  <c r="T511" i="15" s="1"/>
  <c r="O510" i="15"/>
  <c r="P510" i="15" s="1"/>
  <c r="O509" i="15"/>
  <c r="O508" i="15"/>
  <c r="T508" i="15" s="1"/>
  <c r="O507" i="15"/>
  <c r="R507" i="15" s="1"/>
  <c r="O506" i="15"/>
  <c r="S506" i="15" s="1"/>
  <c r="O505" i="15"/>
  <c r="T505" i="15" s="1"/>
  <c r="O504" i="15"/>
  <c r="O503" i="15"/>
  <c r="Q503" i="15" s="1"/>
  <c r="O502" i="15"/>
  <c r="S502" i="15" s="1"/>
  <c r="O501" i="15"/>
  <c r="O500" i="15"/>
  <c r="T500" i="15" s="1"/>
  <c r="O499" i="15"/>
  <c r="O498" i="15"/>
  <c r="S498" i="15" s="1"/>
  <c r="O497" i="15"/>
  <c r="T497" i="15" s="1"/>
  <c r="O496" i="15"/>
  <c r="T496" i="15" s="1"/>
  <c r="O495" i="15"/>
  <c r="S495" i="15" s="1"/>
  <c r="O494" i="15"/>
  <c r="P494" i="15" s="1"/>
  <c r="O493" i="15"/>
  <c r="T493" i="15" s="1"/>
  <c r="O492" i="15"/>
  <c r="P492" i="15" s="1"/>
  <c r="O491" i="15"/>
  <c r="O490" i="15"/>
  <c r="S490" i="15" s="1"/>
  <c r="O489" i="15"/>
  <c r="O488" i="15"/>
  <c r="O487" i="15"/>
  <c r="T487" i="15" s="1"/>
  <c r="O486" i="15"/>
  <c r="Q486" i="15" s="1"/>
  <c r="O485" i="15"/>
  <c r="T485" i="15" s="1"/>
  <c r="O484" i="15"/>
  <c r="T484" i="15" s="1"/>
  <c r="O483" i="15"/>
  <c r="T483" i="15" s="1"/>
  <c r="O482" i="15"/>
  <c r="S482" i="15" s="1"/>
  <c r="O481" i="15"/>
  <c r="R481" i="15" s="1"/>
  <c r="O480" i="15"/>
  <c r="Q480" i="15" s="1"/>
  <c r="O479" i="15"/>
  <c r="P479" i="15" s="1"/>
  <c r="O478" i="15"/>
  <c r="S478" i="15" s="1"/>
  <c r="O477" i="15"/>
  <c r="P477" i="15" s="1"/>
  <c r="O476" i="15"/>
  <c r="T476" i="15" s="1"/>
  <c r="O475" i="15"/>
  <c r="T475" i="15" s="1"/>
  <c r="O474" i="15"/>
  <c r="S474" i="15" s="1"/>
  <c r="O473" i="15"/>
  <c r="R473" i="15" s="1"/>
  <c r="O472" i="15"/>
  <c r="Q472" i="15" s="1"/>
  <c r="O471" i="15"/>
  <c r="P471" i="15" s="1"/>
  <c r="O470" i="15"/>
  <c r="P470" i="15" s="1"/>
  <c r="O469" i="15"/>
  <c r="R469" i="15" s="1"/>
  <c r="O468" i="15"/>
  <c r="P468" i="15" s="1"/>
  <c r="O467" i="15"/>
  <c r="T467" i="15" s="1"/>
  <c r="O466" i="15"/>
  <c r="S466" i="15" s="1"/>
  <c r="O465" i="15"/>
  <c r="R465" i="15" s="1"/>
  <c r="O464" i="15"/>
  <c r="Q464" i="15" s="1"/>
  <c r="O463" i="15"/>
  <c r="P463" i="15" s="1"/>
  <c r="O462" i="15"/>
  <c r="Q462" i="15" s="1"/>
  <c r="O461" i="15"/>
  <c r="T461" i="15" s="1"/>
  <c r="O460" i="15"/>
  <c r="R460" i="15" s="1"/>
  <c r="O459" i="15"/>
  <c r="T459" i="15" s="1"/>
  <c r="O458" i="15"/>
  <c r="S458" i="15" s="1"/>
  <c r="O457" i="15"/>
  <c r="R457" i="15" s="1"/>
  <c r="O456" i="15"/>
  <c r="Q456" i="15" s="1"/>
  <c r="U590" i="15" l="1"/>
  <c r="U577" i="15"/>
  <c r="U598" i="15"/>
  <c r="U582" i="15"/>
  <c r="U572" i="15"/>
  <c r="U574" i="15"/>
  <c r="U580" i="15"/>
  <c r="U599" i="15"/>
  <c r="U583" i="15"/>
  <c r="U592" i="15"/>
  <c r="U597" i="15"/>
  <c r="U573" i="15"/>
  <c r="U589" i="15"/>
  <c r="U588" i="15"/>
  <c r="U581" i="15"/>
  <c r="U596" i="15"/>
  <c r="U570" i="15"/>
  <c r="U591" i="15"/>
  <c r="U575" i="15"/>
  <c r="U600" i="15"/>
  <c r="U584" i="15"/>
  <c r="U569" i="15"/>
  <c r="U594" i="15"/>
  <c r="U579" i="15"/>
  <c r="U601" i="15"/>
  <c r="U587" i="15"/>
  <c r="U585" i="15"/>
  <c r="U576" i="15"/>
  <c r="U593" i="15"/>
  <c r="U595" i="15"/>
  <c r="U578" i="15"/>
  <c r="U586" i="15"/>
  <c r="U571" i="15"/>
  <c r="U602" i="15"/>
  <c r="P508" i="15"/>
  <c r="P530" i="15"/>
  <c r="Q558" i="15"/>
  <c r="S508" i="15"/>
  <c r="R464" i="15"/>
  <c r="Q557" i="15"/>
  <c r="P518" i="15"/>
  <c r="P524" i="15"/>
  <c r="Q468" i="15"/>
  <c r="P497" i="15"/>
  <c r="S503" i="15"/>
  <c r="R546" i="15"/>
  <c r="P558" i="15"/>
  <c r="T468" i="15"/>
  <c r="R508" i="15"/>
  <c r="R540" i="15"/>
  <c r="S553" i="15"/>
  <c r="T464" i="15"/>
  <c r="P505" i="15"/>
  <c r="S516" i="15"/>
  <c r="S500" i="15"/>
  <c r="S505" i="15"/>
  <c r="T516" i="15"/>
  <c r="R522" i="15"/>
  <c r="Q549" i="15"/>
  <c r="T474" i="15"/>
  <c r="Q517" i="15"/>
  <c r="Q526" i="15"/>
  <c r="R530" i="15"/>
  <c r="P534" i="15"/>
  <c r="P545" i="15"/>
  <c r="T548" i="15"/>
  <c r="R563" i="15"/>
  <c r="R506" i="15"/>
  <c r="R526" i="15"/>
  <c r="T530" i="15"/>
  <c r="Q534" i="15"/>
  <c r="P537" i="15"/>
  <c r="Q545" i="15"/>
  <c r="P553" i="15"/>
  <c r="R462" i="15"/>
  <c r="Q495" i="15"/>
  <c r="P500" i="15"/>
  <c r="P516" i="15"/>
  <c r="R534" i="15"/>
  <c r="Q542" i="15"/>
  <c r="S545" i="15"/>
  <c r="S469" i="15"/>
  <c r="S462" i="15"/>
  <c r="T470" i="15"/>
  <c r="S483" i="15"/>
  <c r="R490" i="15"/>
  <c r="Q500" i="15"/>
  <c r="Q511" i="15"/>
  <c r="Q516" i="15"/>
  <c r="R524" i="15"/>
  <c r="Q527" i="15"/>
  <c r="S534" i="15"/>
  <c r="Q538" i="15"/>
  <c r="S542" i="15"/>
  <c r="T549" i="15"/>
  <c r="Q565" i="15"/>
  <c r="T462" i="15"/>
  <c r="R500" i="15"/>
  <c r="S524" i="15"/>
  <c r="T532" i="15"/>
  <c r="T538" i="15"/>
  <c r="T542" i="15"/>
  <c r="S550" i="15"/>
  <c r="Q459" i="15"/>
  <c r="S459" i="15"/>
  <c r="S468" i="15"/>
  <c r="T479" i="15"/>
  <c r="S497" i="15"/>
  <c r="Q505" i="15"/>
  <c r="P513" i="15"/>
  <c r="Q525" i="15"/>
  <c r="T533" i="15"/>
  <c r="S535" i="15"/>
  <c r="R547" i="15"/>
  <c r="Q492" i="15"/>
  <c r="Q494" i="15"/>
  <c r="Q498" i="15"/>
  <c r="T502" i="15"/>
  <c r="Q510" i="15"/>
  <c r="Q514" i="15"/>
  <c r="R518" i="15"/>
  <c r="P521" i="15"/>
  <c r="T526" i="15"/>
  <c r="Q529" i="15"/>
  <c r="R531" i="15"/>
  <c r="Q533" i="15"/>
  <c r="S537" i="15"/>
  <c r="T541" i="15"/>
  <c r="P548" i="15"/>
  <c r="P550" i="15"/>
  <c r="S551" i="15"/>
  <c r="Q554" i="15"/>
  <c r="S556" i="15"/>
  <c r="R558" i="15"/>
  <c r="P561" i="15"/>
  <c r="Q470" i="15"/>
  <c r="S473" i="15"/>
  <c r="R477" i="15"/>
  <c r="T478" i="15"/>
  <c r="T482" i="15"/>
  <c r="R486" i="15"/>
  <c r="P462" i="15"/>
  <c r="S464" i="15"/>
  <c r="R468" i="15"/>
  <c r="R470" i="15"/>
  <c r="T473" i="15"/>
  <c r="S477" i="15"/>
  <c r="S486" i="15"/>
  <c r="P490" i="15"/>
  <c r="R492" i="15"/>
  <c r="R494" i="15"/>
  <c r="R498" i="15"/>
  <c r="P506" i="15"/>
  <c r="Q508" i="15"/>
  <c r="R510" i="15"/>
  <c r="T512" i="15"/>
  <c r="R514" i="15"/>
  <c r="S518" i="15"/>
  <c r="Q521" i="15"/>
  <c r="S529" i="15"/>
  <c r="P540" i="15"/>
  <c r="Q543" i="15"/>
  <c r="P546" i="15"/>
  <c r="R548" i="15"/>
  <c r="Q550" i="15"/>
  <c r="R554" i="15"/>
  <c r="T556" i="15"/>
  <c r="T558" i="15"/>
  <c r="Q561" i="15"/>
  <c r="P566" i="15"/>
  <c r="P486" i="15"/>
  <c r="S470" i="15"/>
  <c r="T477" i="15"/>
  <c r="T486" i="15"/>
  <c r="Q490" i="15"/>
  <c r="S492" i="15"/>
  <c r="S494" i="15"/>
  <c r="T498" i="15"/>
  <c r="Q506" i="15"/>
  <c r="S510" i="15"/>
  <c r="T514" i="15"/>
  <c r="T518" i="15"/>
  <c r="S521" i="15"/>
  <c r="T525" i="15"/>
  <c r="P532" i="15"/>
  <c r="Q535" i="15"/>
  <c r="P538" i="15"/>
  <c r="Q540" i="15"/>
  <c r="P542" i="15"/>
  <c r="S543" i="15"/>
  <c r="Q546" i="15"/>
  <c r="S548" i="15"/>
  <c r="R550" i="15"/>
  <c r="T554" i="15"/>
  <c r="S561" i="15"/>
  <c r="P564" i="15"/>
  <c r="Q566" i="15"/>
  <c r="T492" i="15"/>
  <c r="T494" i="15"/>
  <c r="T510" i="15"/>
  <c r="Q532" i="15"/>
  <c r="S564" i="15"/>
  <c r="R566" i="15"/>
  <c r="T465" i="15"/>
  <c r="P478" i="15"/>
  <c r="S487" i="15"/>
  <c r="T490" i="15"/>
  <c r="Q497" i="15"/>
  <c r="P502" i="15"/>
  <c r="T506" i="15"/>
  <c r="Q513" i="15"/>
  <c r="T517" i="15"/>
  <c r="Q519" i="15"/>
  <c r="P522" i="15"/>
  <c r="Q524" i="15"/>
  <c r="P526" i="15"/>
  <c r="S527" i="15"/>
  <c r="Q530" i="15"/>
  <c r="R532" i="15"/>
  <c r="R538" i="15"/>
  <c r="S540" i="15"/>
  <c r="T546" i="15"/>
  <c r="Q553" i="15"/>
  <c r="R555" i="15"/>
  <c r="T557" i="15"/>
  <c r="Q559" i="15"/>
  <c r="Q562" i="15"/>
  <c r="T564" i="15"/>
  <c r="Q502" i="15"/>
  <c r="S513" i="15"/>
  <c r="S519" i="15"/>
  <c r="Q522" i="15"/>
  <c r="S559" i="15"/>
  <c r="R562" i="15"/>
  <c r="S567" i="15"/>
  <c r="Q478" i="15"/>
  <c r="S460" i="15"/>
  <c r="R478" i="15"/>
  <c r="Q482" i="15"/>
  <c r="R502" i="15"/>
  <c r="P556" i="15"/>
  <c r="T562" i="15"/>
  <c r="T456" i="15"/>
  <c r="Q473" i="15"/>
  <c r="Q477" i="15"/>
  <c r="R482" i="15"/>
  <c r="P498" i="15"/>
  <c r="S511" i="15"/>
  <c r="P514" i="15"/>
  <c r="T522" i="15"/>
  <c r="P529" i="15"/>
  <c r="Q537" i="15"/>
  <c r="R539" i="15"/>
  <c r="Q541" i="15"/>
  <c r="Q551" i="15"/>
  <c r="P554" i="15"/>
  <c r="R556" i="15"/>
  <c r="T565" i="15"/>
  <c r="T568" i="15"/>
  <c r="T489" i="15"/>
  <c r="R489" i="15"/>
  <c r="P458" i="15"/>
  <c r="R459" i="15"/>
  <c r="T460" i="15"/>
  <c r="Q463" i="15"/>
  <c r="P467" i="15"/>
  <c r="T469" i="15"/>
  <c r="P472" i="15"/>
  <c r="P476" i="15"/>
  <c r="P481" i="15"/>
  <c r="P485" i="15"/>
  <c r="P489" i="15"/>
  <c r="T495" i="15"/>
  <c r="R495" i="15"/>
  <c r="P495" i="15"/>
  <c r="P507" i="15"/>
  <c r="T507" i="15"/>
  <c r="S507" i="15"/>
  <c r="Q507" i="15"/>
  <c r="Q458" i="15"/>
  <c r="Q485" i="15"/>
  <c r="Q489" i="15"/>
  <c r="P491" i="15"/>
  <c r="T491" i="15"/>
  <c r="R509" i="15"/>
  <c r="P509" i="15"/>
  <c r="S509" i="15"/>
  <c r="T552" i="15"/>
  <c r="S552" i="15"/>
  <c r="R552" i="15"/>
  <c r="Q552" i="15"/>
  <c r="P552" i="15"/>
  <c r="R472" i="15"/>
  <c r="Q476" i="15"/>
  <c r="P466" i="15"/>
  <c r="R467" i="15"/>
  <c r="Q471" i="15"/>
  <c r="S472" i="15"/>
  <c r="P475" i="15"/>
  <c r="R476" i="15"/>
  <c r="P480" i="15"/>
  <c r="S481" i="15"/>
  <c r="P484" i="15"/>
  <c r="R485" i="15"/>
  <c r="S488" i="15"/>
  <c r="Q488" i="15"/>
  <c r="S489" i="15"/>
  <c r="Q491" i="15"/>
  <c r="P499" i="15"/>
  <c r="T499" i="15"/>
  <c r="Q499" i="15"/>
  <c r="S504" i="15"/>
  <c r="Q504" i="15"/>
  <c r="Q509" i="15"/>
  <c r="S520" i="15"/>
  <c r="R520" i="15"/>
  <c r="Q520" i="15"/>
  <c r="P520" i="15"/>
  <c r="R463" i="15"/>
  <c r="Q481" i="15"/>
  <c r="S463" i="15"/>
  <c r="R480" i="15"/>
  <c r="T481" i="15"/>
  <c r="Q484" i="15"/>
  <c r="S485" i="15"/>
  <c r="P488" i="15"/>
  <c r="R491" i="15"/>
  <c r="R499" i="15"/>
  <c r="P504" i="15"/>
  <c r="T509" i="15"/>
  <c r="T520" i="15"/>
  <c r="S528" i="15"/>
  <c r="R528" i="15"/>
  <c r="Q528" i="15"/>
  <c r="P528" i="15"/>
  <c r="T544" i="15"/>
  <c r="S544" i="15"/>
  <c r="R544" i="15"/>
  <c r="Q544" i="15"/>
  <c r="P544" i="15"/>
  <c r="Q457" i="15"/>
  <c r="T458" i="15"/>
  <c r="Q461" i="15"/>
  <c r="Q475" i="15"/>
  <c r="S476" i="15"/>
  <c r="S457" i="15"/>
  <c r="P460" i="15"/>
  <c r="R461" i="15"/>
  <c r="R466" i="15"/>
  <c r="P469" i="15"/>
  <c r="S471" i="15"/>
  <c r="P474" i="15"/>
  <c r="R475" i="15"/>
  <c r="Q479" i="15"/>
  <c r="S480" i="15"/>
  <c r="P483" i="15"/>
  <c r="R484" i="15"/>
  <c r="R488" i="15"/>
  <c r="S491" i="15"/>
  <c r="R493" i="15"/>
  <c r="P493" i="15"/>
  <c r="S496" i="15"/>
  <c r="Q496" i="15"/>
  <c r="S499" i="15"/>
  <c r="R501" i="15"/>
  <c r="P501" i="15"/>
  <c r="S501" i="15"/>
  <c r="R504" i="15"/>
  <c r="P515" i="15"/>
  <c r="T515" i="15"/>
  <c r="S515" i="15"/>
  <c r="Q515" i="15"/>
  <c r="T528" i="15"/>
  <c r="T536" i="15"/>
  <c r="S536" i="15"/>
  <c r="R536" i="15"/>
  <c r="Q536" i="15"/>
  <c r="P536" i="15"/>
  <c r="T463" i="15"/>
  <c r="Q465" i="15"/>
  <c r="T466" i="15"/>
  <c r="Q469" i="15"/>
  <c r="T471" i="15"/>
  <c r="R479" i="15"/>
  <c r="T480" i="15"/>
  <c r="Q483" i="15"/>
  <c r="S484" i="15"/>
  <c r="R487" i="15"/>
  <c r="P487" i="15"/>
  <c r="T488" i="15"/>
  <c r="Q493" i="15"/>
  <c r="P496" i="15"/>
  <c r="Q501" i="15"/>
  <c r="T504" i="15"/>
  <c r="R515" i="15"/>
  <c r="Q467" i="15"/>
  <c r="P457" i="15"/>
  <c r="R458" i="15"/>
  <c r="P461" i="15"/>
  <c r="Q466" i="15"/>
  <c r="S467" i="15"/>
  <c r="R471" i="15"/>
  <c r="T472" i="15"/>
  <c r="P456" i="15"/>
  <c r="P465" i="15"/>
  <c r="R456" i="15"/>
  <c r="T457" i="15"/>
  <c r="Q460" i="15"/>
  <c r="S461" i="15"/>
  <c r="Q474" i="15"/>
  <c r="S475" i="15"/>
  <c r="S456" i="15"/>
  <c r="P459" i="15"/>
  <c r="P464" i="15"/>
  <c r="U464" i="15" s="1"/>
  <c r="S465" i="15"/>
  <c r="P473" i="15"/>
  <c r="R474" i="15"/>
  <c r="S479" i="15"/>
  <c r="P482" i="15"/>
  <c r="R483" i="15"/>
  <c r="Q487" i="15"/>
  <c r="S493" i="15"/>
  <c r="R496" i="15"/>
  <c r="T501" i="15"/>
  <c r="P523" i="15"/>
  <c r="T523" i="15"/>
  <c r="S523" i="15"/>
  <c r="Q523" i="15"/>
  <c r="T560" i="15"/>
  <c r="S560" i="15"/>
  <c r="R560" i="15"/>
  <c r="Q560" i="15"/>
  <c r="P560" i="15"/>
  <c r="T503" i="15"/>
  <c r="R503" i="15"/>
  <c r="P503" i="15"/>
  <c r="S512" i="15"/>
  <c r="Q512" i="15"/>
  <c r="P512" i="15"/>
  <c r="S517" i="15"/>
  <c r="S525" i="15"/>
  <c r="Q531" i="15"/>
  <c r="S533" i="15"/>
  <c r="Q539" i="15"/>
  <c r="S541" i="15"/>
  <c r="Q547" i="15"/>
  <c r="S549" i="15"/>
  <c r="Q555" i="15"/>
  <c r="S557" i="15"/>
  <c r="P562" i="15"/>
  <c r="U562" i="15" s="1"/>
  <c r="Q563" i="15"/>
  <c r="R564" i="15"/>
  <c r="S565" i="15"/>
  <c r="T566" i="15"/>
  <c r="S531" i="15"/>
  <c r="S539" i="15"/>
  <c r="S547" i="15"/>
  <c r="S555" i="15"/>
  <c r="S563" i="15"/>
  <c r="P568" i="15"/>
  <c r="R497" i="15"/>
  <c r="R505" i="15"/>
  <c r="P511" i="15"/>
  <c r="R513" i="15"/>
  <c r="P519" i="15"/>
  <c r="R521" i="15"/>
  <c r="P527" i="15"/>
  <c r="R529" i="15"/>
  <c r="T531" i="15"/>
  <c r="P535" i="15"/>
  <c r="R537" i="15"/>
  <c r="T539" i="15"/>
  <c r="P543" i="15"/>
  <c r="R545" i="15"/>
  <c r="T547" i="15"/>
  <c r="P551" i="15"/>
  <c r="R553" i="15"/>
  <c r="T555" i="15"/>
  <c r="P559" i="15"/>
  <c r="R561" i="15"/>
  <c r="T563" i="15"/>
  <c r="P567" i="15"/>
  <c r="Q568" i="15"/>
  <c r="Q567" i="15"/>
  <c r="R568" i="15"/>
  <c r="R511" i="15"/>
  <c r="P517" i="15"/>
  <c r="R519" i="15"/>
  <c r="P525" i="15"/>
  <c r="R527" i="15"/>
  <c r="P533" i="15"/>
  <c r="R535" i="15"/>
  <c r="P541" i="15"/>
  <c r="R543" i="15"/>
  <c r="P549" i="15"/>
  <c r="U549" i="15" s="1"/>
  <c r="R551" i="15"/>
  <c r="P557" i="15"/>
  <c r="R559" i="15"/>
  <c r="P565" i="15"/>
  <c r="R567" i="15"/>
  <c r="O455" i="15"/>
  <c r="T455" i="15" s="1"/>
  <c r="O454" i="15"/>
  <c r="T454" i="15" s="1"/>
  <c r="O453" i="15"/>
  <c r="S453" i="15" s="1"/>
  <c r="O452" i="15"/>
  <c r="R452" i="15" s="1"/>
  <c r="O451" i="15"/>
  <c r="Q451" i="15" s="1"/>
  <c r="O450" i="15"/>
  <c r="P450" i="15" s="1"/>
  <c r="O449" i="15"/>
  <c r="T449" i="15" s="1"/>
  <c r="O448" i="15"/>
  <c r="T448" i="15" s="1"/>
  <c r="O447" i="15"/>
  <c r="S447" i="15" s="1"/>
  <c r="O446" i="15"/>
  <c r="T446" i="15" s="1"/>
  <c r="O445" i="15"/>
  <c r="S445" i="15" s="1"/>
  <c r="O444" i="15"/>
  <c r="P444" i="15" s="1"/>
  <c r="O443" i="15"/>
  <c r="S443" i="15" s="1"/>
  <c r="O442" i="15"/>
  <c r="T442" i="15" s="1"/>
  <c r="O441" i="15"/>
  <c r="T441" i="15" s="1"/>
  <c r="O440" i="15"/>
  <c r="T440" i="15" s="1"/>
  <c r="O439" i="15"/>
  <c r="S439" i="15" s="1"/>
  <c r="O438" i="15"/>
  <c r="T438" i="15" s="1"/>
  <c r="O437" i="15"/>
  <c r="S437" i="15" s="1"/>
  <c r="O436" i="15"/>
  <c r="P436" i="15" s="1"/>
  <c r="O435" i="15"/>
  <c r="S435" i="15" s="1"/>
  <c r="O434" i="15"/>
  <c r="S434" i="15" s="1"/>
  <c r="O433" i="15"/>
  <c r="R433" i="15" s="1"/>
  <c r="O432" i="15"/>
  <c r="T432" i="15" s="1"/>
  <c r="U526" i="15" l="1"/>
  <c r="U541" i="15"/>
  <c r="U459" i="15"/>
  <c r="U533" i="15"/>
  <c r="U557" i="15"/>
  <c r="U525" i="15"/>
  <c r="U567" i="15"/>
  <c r="U514" i="15"/>
  <c r="U465" i="15"/>
  <c r="U542" i="15"/>
  <c r="U462" i="15"/>
  <c r="U482" i="15"/>
  <c r="U555" i="15"/>
  <c r="U473" i="15"/>
  <c r="U489" i="15"/>
  <c r="U554" i="15"/>
  <c r="U468" i="15"/>
  <c r="U535" i="15"/>
  <c r="U457" i="15"/>
  <c r="U477" i="15"/>
  <c r="U510" i="15"/>
  <c r="U547" i="15"/>
  <c r="U539" i="15"/>
  <c r="U494" i="15"/>
  <c r="U565" i="15"/>
  <c r="U527" i="15"/>
  <c r="U563" i="15"/>
  <c r="U460" i="15"/>
  <c r="U492" i="15"/>
  <c r="U531" i="15"/>
  <c r="U479" i="15"/>
  <c r="U543" i="15"/>
  <c r="U519" i="15"/>
  <c r="U560" i="15"/>
  <c r="U493" i="15"/>
  <c r="U471" i="15"/>
  <c r="U463" i="15"/>
  <c r="U470" i="15"/>
  <c r="U536" i="15"/>
  <c r="U467" i="15"/>
  <c r="U566" i="15"/>
  <c r="U550" i="15"/>
  <c r="U521" i="15"/>
  <c r="U553" i="15"/>
  <c r="U524" i="15"/>
  <c r="U515" i="15"/>
  <c r="U504" i="15"/>
  <c r="U556" i="15"/>
  <c r="U502" i="15"/>
  <c r="U532" i="15"/>
  <c r="U540" i="15"/>
  <c r="U506" i="15"/>
  <c r="U548" i="15"/>
  <c r="U545" i="15"/>
  <c r="U518" i="15"/>
  <c r="U523" i="15"/>
  <c r="U496" i="15"/>
  <c r="U474" i="15"/>
  <c r="U537" i="15"/>
  <c r="U534" i="15"/>
  <c r="U517" i="15"/>
  <c r="U559" i="15"/>
  <c r="U511" i="15"/>
  <c r="U512" i="15"/>
  <c r="U461" i="15"/>
  <c r="U528" i="15"/>
  <c r="U484" i="15"/>
  <c r="U466" i="15"/>
  <c r="U485" i="15"/>
  <c r="U498" i="15"/>
  <c r="U561" i="15"/>
  <c r="U558" i="15"/>
  <c r="U501" i="15"/>
  <c r="U469" i="15"/>
  <c r="U488" i="15"/>
  <c r="U520" i="15"/>
  <c r="U509" i="15"/>
  <c r="U481" i="15"/>
  <c r="U458" i="15"/>
  <c r="U522" i="15"/>
  <c r="U513" i="15"/>
  <c r="U516" i="15"/>
  <c r="U487" i="15"/>
  <c r="U499" i="15"/>
  <c r="U480" i="15"/>
  <c r="U476" i="15"/>
  <c r="U478" i="15"/>
  <c r="U490" i="15"/>
  <c r="U500" i="15"/>
  <c r="U505" i="15"/>
  <c r="U551" i="15"/>
  <c r="U568" i="15"/>
  <c r="U503" i="15"/>
  <c r="U456" i="15"/>
  <c r="U483" i="15"/>
  <c r="U544" i="15"/>
  <c r="U552" i="15"/>
  <c r="U507" i="15"/>
  <c r="U472" i="15"/>
  <c r="U564" i="15"/>
  <c r="U497" i="15"/>
  <c r="U530" i="15"/>
  <c r="U475" i="15"/>
  <c r="U491" i="15"/>
  <c r="U495" i="15"/>
  <c r="U529" i="15"/>
  <c r="U538" i="15"/>
  <c r="U486" i="15"/>
  <c r="U546" i="15"/>
  <c r="U508" i="15"/>
  <c r="R441" i="15"/>
  <c r="R436" i="15"/>
  <c r="S442" i="15"/>
  <c r="P432" i="15"/>
  <c r="P435" i="15"/>
  <c r="Q432" i="15"/>
  <c r="Q435" i="15"/>
  <c r="P439" i="15"/>
  <c r="T443" i="15"/>
  <c r="Q447" i="15"/>
  <c r="S450" i="15"/>
  <c r="R432" i="15"/>
  <c r="Q439" i="15"/>
  <c r="T447" i="15"/>
  <c r="T450" i="15"/>
  <c r="T435" i="15"/>
  <c r="S432" i="15"/>
  <c r="Q440" i="15"/>
  <c r="R439" i="15"/>
  <c r="S441" i="15"/>
  <c r="Q444" i="15"/>
  <c r="Q436" i="15"/>
  <c r="T439" i="15"/>
  <c r="R444" i="15"/>
  <c r="Q448" i="15"/>
  <c r="T451" i="15"/>
  <c r="R448" i="15"/>
  <c r="R440" i="15"/>
  <c r="P443" i="15"/>
  <c r="R449" i="15"/>
  <c r="S440" i="15"/>
  <c r="Q443" i="15"/>
  <c r="P447" i="15"/>
  <c r="R437" i="15"/>
  <c r="S438" i="15"/>
  <c r="P434" i="15"/>
  <c r="P433" i="15"/>
  <c r="Q434" i="15"/>
  <c r="R435" i="15"/>
  <c r="S436" i="15"/>
  <c r="T437" i="15"/>
  <c r="P441" i="15"/>
  <c r="Q442" i="15"/>
  <c r="R443" i="15"/>
  <c r="S444" i="15"/>
  <c r="T445" i="15"/>
  <c r="P449" i="15"/>
  <c r="Q450" i="15"/>
  <c r="R451" i="15"/>
  <c r="S452" i="15"/>
  <c r="T453" i="15"/>
  <c r="P442" i="15"/>
  <c r="Q433" i="15"/>
  <c r="R434" i="15"/>
  <c r="T436" i="15"/>
  <c r="P440" i="15"/>
  <c r="Q441" i="15"/>
  <c r="R442" i="15"/>
  <c r="T444" i="15"/>
  <c r="P448" i="15"/>
  <c r="Q449" i="15"/>
  <c r="R450" i="15"/>
  <c r="S451" i="15"/>
  <c r="T452" i="15"/>
  <c r="P455" i="15"/>
  <c r="P438" i="15"/>
  <c r="P446" i="15"/>
  <c r="S449" i="15"/>
  <c r="P454" i="15"/>
  <c r="Q455" i="15"/>
  <c r="S433" i="15"/>
  <c r="T434" i="15"/>
  <c r="T433" i="15"/>
  <c r="P437" i="15"/>
  <c r="Q438" i="15"/>
  <c r="P445" i="15"/>
  <c r="Q446" i="15"/>
  <c r="R447" i="15"/>
  <c r="S448" i="15"/>
  <c r="P453" i="15"/>
  <c r="Q454" i="15"/>
  <c r="R455" i="15"/>
  <c r="Q437" i="15"/>
  <c r="R438" i="15"/>
  <c r="Q445" i="15"/>
  <c r="R446" i="15"/>
  <c r="P452" i="15"/>
  <c r="Q453" i="15"/>
  <c r="R454" i="15"/>
  <c r="S455" i="15"/>
  <c r="R445" i="15"/>
  <c r="S446" i="15"/>
  <c r="P451" i="15"/>
  <c r="Q452" i="15"/>
  <c r="R453" i="15"/>
  <c r="S454" i="15"/>
  <c r="O431" i="15"/>
  <c r="T431" i="15" s="1"/>
  <c r="O430" i="15"/>
  <c r="T430" i="15" s="1"/>
  <c r="O429" i="15"/>
  <c r="S429" i="15" s="1"/>
  <c r="O428" i="15"/>
  <c r="R428" i="15" s="1"/>
  <c r="O427" i="15"/>
  <c r="Q427" i="15" s="1"/>
  <c r="O426" i="15"/>
  <c r="P426" i="15" s="1"/>
  <c r="O425" i="15"/>
  <c r="Q425" i="15" s="1"/>
  <c r="O424" i="15"/>
  <c r="T424" i="15" s="1"/>
  <c r="O423" i="15"/>
  <c r="R423" i="15" s="1"/>
  <c r="O422" i="15"/>
  <c r="T422" i="15" s="1"/>
  <c r="O421" i="15"/>
  <c r="S421" i="15" s="1"/>
  <c r="O420" i="15"/>
  <c r="R420" i="15" s="1"/>
  <c r="O419" i="15"/>
  <c r="Q419" i="15" s="1"/>
  <c r="O418" i="15"/>
  <c r="P418" i="15" s="1"/>
  <c r="O417" i="15"/>
  <c r="Q417" i="15" s="1"/>
  <c r="O416" i="15"/>
  <c r="T416" i="15" s="1"/>
  <c r="O415" i="15"/>
  <c r="Q415" i="15" s="1"/>
  <c r="O414" i="15"/>
  <c r="T414" i="15" s="1"/>
  <c r="O413" i="15"/>
  <c r="S413" i="15" s="1"/>
  <c r="O412" i="15"/>
  <c r="R412" i="15" s="1"/>
  <c r="O411" i="15"/>
  <c r="Q411" i="15" s="1"/>
  <c r="O410" i="15"/>
  <c r="P410" i="15" s="1"/>
  <c r="O409" i="15"/>
  <c r="Q409" i="15" s="1"/>
  <c r="O408" i="15"/>
  <c r="T408" i="15" s="1"/>
  <c r="O407" i="15"/>
  <c r="Q407" i="15" s="1"/>
  <c r="O406" i="15"/>
  <c r="T406" i="15" s="1"/>
  <c r="O405" i="15"/>
  <c r="S405" i="15" s="1"/>
  <c r="O404" i="15"/>
  <c r="R404" i="15" s="1"/>
  <c r="O403" i="15"/>
  <c r="Q403" i="15" s="1"/>
  <c r="O402" i="15"/>
  <c r="P402" i="15" s="1"/>
  <c r="O401" i="15"/>
  <c r="Q401" i="15" s="1"/>
  <c r="O400" i="15"/>
  <c r="T400" i="15" s="1"/>
  <c r="O399" i="15"/>
  <c r="Q399" i="15" s="1"/>
  <c r="O398" i="15"/>
  <c r="T398" i="15" s="1"/>
  <c r="O397" i="15"/>
  <c r="S397" i="15" s="1"/>
  <c r="O396" i="15"/>
  <c r="R396" i="15" s="1"/>
  <c r="O395" i="15"/>
  <c r="Q395" i="15" s="1"/>
  <c r="O394" i="15"/>
  <c r="P394" i="15" s="1"/>
  <c r="O393" i="15"/>
  <c r="Q393" i="15" s="1"/>
  <c r="O392" i="15"/>
  <c r="T392" i="15" s="1"/>
  <c r="O391" i="15"/>
  <c r="Q391" i="15" s="1"/>
  <c r="O390" i="15"/>
  <c r="T390" i="15" s="1"/>
  <c r="O389" i="15"/>
  <c r="S389" i="15" s="1"/>
  <c r="O388" i="15"/>
  <c r="R388" i="15" s="1"/>
  <c r="O387" i="15"/>
  <c r="Q387" i="15" s="1"/>
  <c r="O386" i="15"/>
  <c r="P386" i="15" s="1"/>
  <c r="O385" i="15"/>
  <c r="Q385" i="15" s="1"/>
  <c r="O384" i="15"/>
  <c r="T384" i="15" s="1"/>
  <c r="O383" i="15"/>
  <c r="Q383" i="15" s="1"/>
  <c r="O382" i="15"/>
  <c r="T382" i="15" s="1"/>
  <c r="O381" i="15"/>
  <c r="S381" i="15" s="1"/>
  <c r="O380" i="15"/>
  <c r="R380" i="15" s="1"/>
  <c r="O379" i="15"/>
  <c r="Q379" i="15" s="1"/>
  <c r="O378" i="15"/>
  <c r="P378" i="15" s="1"/>
  <c r="O377" i="15"/>
  <c r="Q377" i="15" s="1"/>
  <c r="O376" i="15"/>
  <c r="S376" i="15" s="1"/>
  <c r="O375" i="15"/>
  <c r="Q375" i="15" s="1"/>
  <c r="O374" i="15"/>
  <c r="T374" i="15" s="1"/>
  <c r="U437" i="15" l="1"/>
  <c r="U438" i="15"/>
  <c r="U441" i="15"/>
  <c r="U451" i="15"/>
  <c r="U443" i="15"/>
  <c r="U440" i="15"/>
  <c r="U450" i="15"/>
  <c r="U436" i="15"/>
  <c r="U454" i="15"/>
  <c r="U444" i="15"/>
  <c r="U435" i="15"/>
  <c r="U445" i="15"/>
  <c r="U448" i="15"/>
  <c r="U442" i="15"/>
  <c r="U434" i="15"/>
  <c r="U432" i="15"/>
  <c r="U446" i="15"/>
  <c r="U455" i="15"/>
  <c r="U447" i="15"/>
  <c r="U453" i="15"/>
  <c r="U439" i="15"/>
  <c r="U433" i="15"/>
  <c r="U452" i="15"/>
  <c r="U449" i="15"/>
  <c r="T377" i="15"/>
  <c r="S404" i="15"/>
  <c r="T417" i="15"/>
  <c r="T425" i="15"/>
  <c r="R391" i="15"/>
  <c r="T405" i="15"/>
  <c r="S388" i="15"/>
  <c r="R407" i="15"/>
  <c r="R383" i="15"/>
  <c r="T389" i="15"/>
  <c r="S375" i="15"/>
  <c r="T385" i="15"/>
  <c r="S396" i="15"/>
  <c r="S412" i="15"/>
  <c r="S426" i="15"/>
  <c r="R375" i="15"/>
  <c r="T421" i="15"/>
  <c r="S399" i="15"/>
  <c r="S380" i="15"/>
  <c r="T381" i="15"/>
  <c r="S391" i="15"/>
  <c r="T397" i="15"/>
  <c r="S407" i="15"/>
  <c r="T413" i="15"/>
  <c r="S423" i="15"/>
  <c r="S415" i="15"/>
  <c r="S383" i="15"/>
  <c r="R399" i="15"/>
  <c r="R415" i="15"/>
  <c r="S420" i="15"/>
  <c r="R425" i="15"/>
  <c r="T375" i="15"/>
  <c r="Q378" i="15"/>
  <c r="T383" i="15"/>
  <c r="Q386" i="15"/>
  <c r="T391" i="15"/>
  <c r="Q394" i="15"/>
  <c r="T399" i="15"/>
  <c r="Q402" i="15"/>
  <c r="T407" i="15"/>
  <c r="Q410" i="15"/>
  <c r="T415" i="15"/>
  <c r="Q418" i="15"/>
  <c r="T423" i="15"/>
  <c r="T426" i="15"/>
  <c r="S386" i="15"/>
  <c r="S394" i="15"/>
  <c r="S402" i="15"/>
  <c r="S410" i="15"/>
  <c r="S418" i="15"/>
  <c r="T378" i="15"/>
  <c r="T394" i="15"/>
  <c r="T410" i="15"/>
  <c r="T418" i="15"/>
  <c r="T427" i="15"/>
  <c r="P393" i="15"/>
  <c r="P417" i="15"/>
  <c r="P377" i="15"/>
  <c r="P385" i="15"/>
  <c r="P401" i="15"/>
  <c r="P409" i="15"/>
  <c r="P375" i="15"/>
  <c r="R377" i="15"/>
  <c r="R379" i="15"/>
  <c r="P383" i="15"/>
  <c r="R385" i="15"/>
  <c r="R387" i="15"/>
  <c r="P391" i="15"/>
  <c r="R393" i="15"/>
  <c r="R395" i="15"/>
  <c r="P399" i="15"/>
  <c r="R401" i="15"/>
  <c r="R403" i="15"/>
  <c r="P407" i="15"/>
  <c r="R409" i="15"/>
  <c r="R411" i="15"/>
  <c r="P415" i="15"/>
  <c r="R417" i="15"/>
  <c r="R419" i="15"/>
  <c r="P423" i="15"/>
  <c r="S425" i="15"/>
  <c r="S378" i="15"/>
  <c r="T386" i="15"/>
  <c r="T402" i="15"/>
  <c r="S377" i="15"/>
  <c r="T379" i="15"/>
  <c r="S385" i="15"/>
  <c r="T387" i="15"/>
  <c r="S393" i="15"/>
  <c r="T395" i="15"/>
  <c r="S401" i="15"/>
  <c r="T403" i="15"/>
  <c r="S409" i="15"/>
  <c r="T411" i="15"/>
  <c r="S417" i="15"/>
  <c r="T419" i="15"/>
  <c r="Q423" i="15"/>
  <c r="T393" i="15"/>
  <c r="T401" i="15"/>
  <c r="T409" i="15"/>
  <c r="P425" i="15"/>
  <c r="Q426" i="15"/>
  <c r="R427" i="15"/>
  <c r="S428" i="15"/>
  <c r="T429" i="15"/>
  <c r="P376" i="15"/>
  <c r="R378" i="15"/>
  <c r="S379" i="15"/>
  <c r="T380" i="15"/>
  <c r="P384" i="15"/>
  <c r="R386" i="15"/>
  <c r="S387" i="15"/>
  <c r="T388" i="15"/>
  <c r="P392" i="15"/>
  <c r="R394" i="15"/>
  <c r="S395" i="15"/>
  <c r="T396" i="15"/>
  <c r="P400" i="15"/>
  <c r="R402" i="15"/>
  <c r="S403" i="15"/>
  <c r="T404" i="15"/>
  <c r="P408" i="15"/>
  <c r="R410" i="15"/>
  <c r="S411" i="15"/>
  <c r="T412" i="15"/>
  <c r="P416" i="15"/>
  <c r="R418" i="15"/>
  <c r="S419" i="15"/>
  <c r="T420" i="15"/>
  <c r="P424" i="15"/>
  <c r="R426" i="15"/>
  <c r="S427" i="15"/>
  <c r="T428" i="15"/>
  <c r="Q384" i="15"/>
  <c r="Q392" i="15"/>
  <c r="Q400" i="15"/>
  <c r="Q408" i="15"/>
  <c r="Q416" i="15"/>
  <c r="Q424" i="15"/>
  <c r="P431" i="15"/>
  <c r="P390" i="15"/>
  <c r="R392" i="15"/>
  <c r="P398" i="15"/>
  <c r="R400" i="15"/>
  <c r="P406" i="15"/>
  <c r="R408" i="15"/>
  <c r="P414" i="15"/>
  <c r="R416" i="15"/>
  <c r="P422" i="15"/>
  <c r="R424" i="15"/>
  <c r="P430" i="15"/>
  <c r="Q431" i="15"/>
  <c r="P374" i="15"/>
  <c r="P382" i="15"/>
  <c r="P389" i="15"/>
  <c r="Q390" i="15"/>
  <c r="S392" i="15"/>
  <c r="P397" i="15"/>
  <c r="Q398" i="15"/>
  <c r="S400" i="15"/>
  <c r="P405" i="15"/>
  <c r="Q406" i="15"/>
  <c r="S408" i="15"/>
  <c r="P413" i="15"/>
  <c r="Q414" i="15"/>
  <c r="S416" i="15"/>
  <c r="P421" i="15"/>
  <c r="Q422" i="15"/>
  <c r="S424" i="15"/>
  <c r="P429" i="15"/>
  <c r="Q430" i="15"/>
  <c r="R431" i="15"/>
  <c r="R384" i="15"/>
  <c r="Q374" i="15"/>
  <c r="P381" i="15"/>
  <c r="S384" i="15"/>
  <c r="R374" i="15"/>
  <c r="T376" i="15"/>
  <c r="P380" i="15"/>
  <c r="Q381" i="15"/>
  <c r="R382" i="15"/>
  <c r="P388" i="15"/>
  <c r="Q389" i="15"/>
  <c r="R390" i="15"/>
  <c r="P396" i="15"/>
  <c r="Q397" i="15"/>
  <c r="R398" i="15"/>
  <c r="P404" i="15"/>
  <c r="Q405" i="15"/>
  <c r="R406" i="15"/>
  <c r="P412" i="15"/>
  <c r="Q413" i="15"/>
  <c r="R414" i="15"/>
  <c r="P420" i="15"/>
  <c r="Q421" i="15"/>
  <c r="R422" i="15"/>
  <c r="P428" i="15"/>
  <c r="Q429" i="15"/>
  <c r="R430" i="15"/>
  <c r="S431" i="15"/>
  <c r="Q382" i="15"/>
  <c r="P379" i="15"/>
  <c r="Q380" i="15"/>
  <c r="R381" i="15"/>
  <c r="S382" i="15"/>
  <c r="P387" i="15"/>
  <c r="Q388" i="15"/>
  <c r="R389" i="15"/>
  <c r="S390" i="15"/>
  <c r="P395" i="15"/>
  <c r="Q396" i="15"/>
  <c r="R397" i="15"/>
  <c r="S398" i="15"/>
  <c r="P403" i="15"/>
  <c r="Q404" i="15"/>
  <c r="R405" i="15"/>
  <c r="S406" i="15"/>
  <c r="P411" i="15"/>
  <c r="Q412" i="15"/>
  <c r="R413" i="15"/>
  <c r="S414" i="15"/>
  <c r="P419" i="15"/>
  <c r="Q420" i="15"/>
  <c r="R421" i="15"/>
  <c r="S422" i="15"/>
  <c r="P427" i="15"/>
  <c r="Q428" i="15"/>
  <c r="R429" i="15"/>
  <c r="S430" i="15"/>
  <c r="Q376" i="15"/>
  <c r="R376" i="15"/>
  <c r="S374" i="15"/>
  <c r="O373" i="15"/>
  <c r="T373" i="15" s="1"/>
  <c r="O372" i="15"/>
  <c r="T372" i="15" s="1"/>
  <c r="O371" i="15"/>
  <c r="S371" i="15" s="1"/>
  <c r="O370" i="15"/>
  <c r="R370" i="15" s="1"/>
  <c r="O369" i="15"/>
  <c r="Q369" i="15" s="1"/>
  <c r="O368" i="15"/>
  <c r="P368" i="15" s="1"/>
  <c r="O367" i="15"/>
  <c r="P367" i="15" s="1"/>
  <c r="O366" i="15"/>
  <c r="Q366" i="15" s="1"/>
  <c r="O365" i="15"/>
  <c r="T365" i="15" s="1"/>
  <c r="O364" i="15"/>
  <c r="T364" i="15" s="1"/>
  <c r="O363" i="15"/>
  <c r="S363" i="15" s="1"/>
  <c r="O362" i="15"/>
  <c r="R362" i="15" s="1"/>
  <c r="O361" i="15"/>
  <c r="Q361" i="15" s="1"/>
  <c r="O360" i="15"/>
  <c r="P360" i="15" s="1"/>
  <c r="O359" i="15"/>
  <c r="T359" i="15" s="1"/>
  <c r="U391" i="15" l="1"/>
  <c r="U415" i="15"/>
  <c r="U404" i="15"/>
  <c r="U407" i="15"/>
  <c r="U383" i="15"/>
  <c r="U419" i="15"/>
  <c r="U387" i="15"/>
  <c r="U428" i="15"/>
  <c r="U412" i="15"/>
  <c r="U402" i="15"/>
  <c r="U426" i="15"/>
  <c r="U401" i="15"/>
  <c r="U394" i="15"/>
  <c r="U418" i="15"/>
  <c r="U386" i="15"/>
  <c r="U396" i="15"/>
  <c r="U410" i="15"/>
  <c r="U378" i="15"/>
  <c r="U380" i="15"/>
  <c r="U389" i="15"/>
  <c r="U414" i="15"/>
  <c r="U385" i="15"/>
  <c r="U427" i="15"/>
  <c r="U411" i="15"/>
  <c r="U395" i="15"/>
  <c r="U379" i="15"/>
  <c r="U420" i="15"/>
  <c r="U429" i="15"/>
  <c r="U382" i="15"/>
  <c r="U424" i="15"/>
  <c r="U408" i="15"/>
  <c r="U392" i="15"/>
  <c r="U376" i="15"/>
  <c r="U377" i="15"/>
  <c r="U413" i="15"/>
  <c r="U431" i="15"/>
  <c r="U405" i="15"/>
  <c r="U374" i="15"/>
  <c r="U406" i="15"/>
  <c r="U417" i="15"/>
  <c r="U423" i="15"/>
  <c r="U393" i="15"/>
  <c r="U381" i="15"/>
  <c r="U421" i="15"/>
  <c r="U430" i="15"/>
  <c r="U398" i="15"/>
  <c r="U399" i="15"/>
  <c r="U403" i="15"/>
  <c r="U388" i="15"/>
  <c r="U397" i="15"/>
  <c r="U416" i="15"/>
  <c r="U400" i="15"/>
  <c r="U384" i="15"/>
  <c r="U375" i="15"/>
  <c r="U422" i="15"/>
  <c r="U390" i="15"/>
  <c r="U425" i="15"/>
  <c r="U409" i="15"/>
  <c r="T361" i="15"/>
  <c r="T368" i="15"/>
  <c r="Q367" i="15"/>
  <c r="S369" i="15"/>
  <c r="R367" i="15"/>
  <c r="T369" i="15"/>
  <c r="S367" i="15"/>
  <c r="P365" i="15"/>
  <c r="T367" i="15"/>
  <c r="Q360" i="15"/>
  <c r="R360" i="15"/>
  <c r="P359" i="15"/>
  <c r="S360" i="15"/>
  <c r="Q359" i="15"/>
  <c r="T360" i="15"/>
  <c r="R359" i="15"/>
  <c r="S359" i="15"/>
  <c r="R361" i="15"/>
  <c r="Q365" i="15"/>
  <c r="S361" i="15"/>
  <c r="R365" i="15"/>
  <c r="S368" i="15"/>
  <c r="Q368" i="15"/>
  <c r="R369" i="15"/>
  <c r="S370" i="15"/>
  <c r="T371" i="15"/>
  <c r="S362" i="15"/>
  <c r="T363" i="15"/>
  <c r="T362" i="15"/>
  <c r="P366" i="15"/>
  <c r="R368" i="15"/>
  <c r="T370" i="15"/>
  <c r="P373" i="15"/>
  <c r="P372" i="15"/>
  <c r="Q373" i="15"/>
  <c r="P371" i="15"/>
  <c r="Q372" i="15"/>
  <c r="R373" i="15"/>
  <c r="R366" i="15"/>
  <c r="S366" i="15"/>
  <c r="P362" i="15"/>
  <c r="Q363" i="15"/>
  <c r="R364" i="15"/>
  <c r="S365" i="15"/>
  <c r="T366" i="15"/>
  <c r="P370" i="15"/>
  <c r="Q371" i="15"/>
  <c r="R372" i="15"/>
  <c r="S373" i="15"/>
  <c r="P364" i="15"/>
  <c r="P363" i="15"/>
  <c r="P369" i="15"/>
  <c r="Q370" i="15"/>
  <c r="R371" i="15"/>
  <c r="S372" i="15"/>
  <c r="Q364" i="15"/>
  <c r="P361" i="15"/>
  <c r="Q362" i="15"/>
  <c r="R363" i="15"/>
  <c r="S364" i="15"/>
  <c r="O358" i="15"/>
  <c r="T358" i="15" s="1"/>
  <c r="O357" i="15"/>
  <c r="T357" i="15" s="1"/>
  <c r="O356" i="15"/>
  <c r="S356" i="15" s="1"/>
  <c r="O355" i="15"/>
  <c r="R355" i="15" s="1"/>
  <c r="O354" i="15"/>
  <c r="Q354" i="15" s="1"/>
  <c r="O353" i="15"/>
  <c r="P353" i="15" s="1"/>
  <c r="O352" i="15"/>
  <c r="T352" i="15" s="1"/>
  <c r="O351" i="15"/>
  <c r="T351" i="15" s="1"/>
  <c r="O350" i="15"/>
  <c r="T350" i="15" s="1"/>
  <c r="O349" i="15"/>
  <c r="T349" i="15" s="1"/>
  <c r="O348" i="15"/>
  <c r="S348" i="15" s="1"/>
  <c r="O347" i="15"/>
  <c r="P347" i="15" s="1"/>
  <c r="O346" i="15"/>
  <c r="P346" i="15" s="1"/>
  <c r="O345" i="15"/>
  <c r="T345" i="15" s="1"/>
  <c r="O344" i="15"/>
  <c r="T344" i="15" s="1"/>
  <c r="O343" i="15"/>
  <c r="T343" i="15" s="1"/>
  <c r="O342" i="15"/>
  <c r="T342" i="15" s="1"/>
  <c r="O341" i="15"/>
  <c r="T341" i="15" s="1"/>
  <c r="O340" i="15"/>
  <c r="S340" i="15" s="1"/>
  <c r="O339" i="15"/>
  <c r="P339" i="15" s="1"/>
  <c r="O338" i="15"/>
  <c r="T338" i="15" s="1"/>
  <c r="O337" i="15"/>
  <c r="R337" i="15" s="1"/>
  <c r="O336" i="15"/>
  <c r="T336" i="15" s="1"/>
  <c r="O335" i="15"/>
  <c r="T335" i="15" s="1"/>
  <c r="O334" i="15"/>
  <c r="T334" i="15" s="1"/>
  <c r="O333" i="15"/>
  <c r="T333" i="15" s="1"/>
  <c r="O332" i="15"/>
  <c r="S332" i="15" s="1"/>
  <c r="O331" i="15"/>
  <c r="P331" i="15" s="1"/>
  <c r="O330" i="15"/>
  <c r="R330" i="15" s="1"/>
  <c r="O329" i="15"/>
  <c r="S329" i="15" s="1"/>
  <c r="O328" i="15"/>
  <c r="T328" i="15" s="1"/>
  <c r="O327" i="15"/>
  <c r="T327" i="15" s="1"/>
  <c r="O326" i="15"/>
  <c r="T326" i="15" s="1"/>
  <c r="O325" i="15"/>
  <c r="T325" i="15" s="1"/>
  <c r="O324" i="15"/>
  <c r="S324" i="15" s="1"/>
  <c r="O323" i="15"/>
  <c r="P323" i="15" s="1"/>
  <c r="O322" i="15"/>
  <c r="T322" i="15" s="1"/>
  <c r="O321" i="15"/>
  <c r="R321" i="15" s="1"/>
  <c r="O320" i="15"/>
  <c r="T320" i="15" s="1"/>
  <c r="O319" i="15"/>
  <c r="T319" i="15" s="1"/>
  <c r="O318" i="15"/>
  <c r="T318" i="15" s="1"/>
  <c r="O317" i="15"/>
  <c r="T317" i="15" s="1"/>
  <c r="O316" i="15"/>
  <c r="S316" i="15" s="1"/>
  <c r="O315" i="15"/>
  <c r="P315" i="15" s="1"/>
  <c r="O314" i="15"/>
  <c r="P314" i="15" s="1"/>
  <c r="O313" i="15"/>
  <c r="T313" i="15" s="1"/>
  <c r="O312" i="15"/>
  <c r="S312" i="15" s="1"/>
  <c r="O311" i="15"/>
  <c r="T311" i="15" s="1"/>
  <c r="O310" i="15"/>
  <c r="T310" i="15" s="1"/>
  <c r="O309" i="15"/>
  <c r="T309" i="15" s="1"/>
  <c r="O308" i="15"/>
  <c r="R308" i="15" s="1"/>
  <c r="O307" i="15"/>
  <c r="P307" i="15" s="1"/>
  <c r="O306" i="15"/>
  <c r="S306" i="15" s="1"/>
  <c r="O305" i="15"/>
  <c r="T305" i="15" s="1"/>
  <c r="U361" i="15" l="1"/>
  <c r="U368" i="15"/>
  <c r="U367" i="15"/>
  <c r="U360" i="15"/>
  <c r="U369" i="15"/>
  <c r="U371" i="15"/>
  <c r="U359" i="15"/>
  <c r="U363" i="15"/>
  <c r="U364" i="15"/>
  <c r="U372" i="15"/>
  <c r="U362" i="15"/>
  <c r="U373" i="15"/>
  <c r="U365" i="15"/>
  <c r="U370" i="15"/>
  <c r="U366" i="15"/>
  <c r="S331" i="15"/>
  <c r="P329" i="15"/>
  <c r="R323" i="15"/>
  <c r="Q329" i="15"/>
  <c r="T329" i="15"/>
  <c r="R305" i="15"/>
  <c r="T308" i="15"/>
  <c r="Q323" i="15"/>
  <c r="R306" i="15"/>
  <c r="S330" i="15"/>
  <c r="Q306" i="15"/>
  <c r="T306" i="15"/>
  <c r="Q339" i="15"/>
  <c r="Q314" i="15"/>
  <c r="P320" i="15"/>
  <c r="T321" i="15"/>
  <c r="T331" i="15"/>
  <c r="Q338" i="15"/>
  <c r="Q346" i="15"/>
  <c r="S321" i="15"/>
  <c r="P306" i="15"/>
  <c r="R314" i="15"/>
  <c r="Q320" i="15"/>
  <c r="P326" i="15"/>
  <c r="P336" i="15"/>
  <c r="R338" i="15"/>
  <c r="R353" i="15"/>
  <c r="R320" i="15"/>
  <c r="T332" i="15"/>
  <c r="Q336" i="15"/>
  <c r="S344" i="15"/>
  <c r="T347" i="15"/>
  <c r="T353" i="15"/>
  <c r="P321" i="15"/>
  <c r="Q328" i="15"/>
  <c r="P337" i="15"/>
  <c r="Q345" i="15"/>
  <c r="P313" i="15"/>
  <c r="Q321" i="15"/>
  <c r="R328" i="15"/>
  <c r="Q331" i="15"/>
  <c r="P334" i="15"/>
  <c r="S337" i="15"/>
  <c r="R345" i="15"/>
  <c r="Q305" i="15"/>
  <c r="S313" i="15"/>
  <c r="T324" i="15"/>
  <c r="R331" i="15"/>
  <c r="Q334" i="15"/>
  <c r="T337" i="15"/>
  <c r="P341" i="15"/>
  <c r="S345" i="15"/>
  <c r="S305" i="15"/>
  <c r="Q307" i="15"/>
  <c r="Q313" i="15"/>
  <c r="S314" i="15"/>
  <c r="T316" i="15"/>
  <c r="S320" i="15"/>
  <c r="P322" i="15"/>
  <c r="S323" i="15"/>
  <c r="R329" i="15"/>
  <c r="T330" i="15"/>
  <c r="R336" i="15"/>
  <c r="R339" i="15"/>
  <c r="P342" i="15"/>
  <c r="R346" i="15"/>
  <c r="Q352" i="15"/>
  <c r="S354" i="15"/>
  <c r="R307" i="15"/>
  <c r="R313" i="15"/>
  <c r="T314" i="15"/>
  <c r="Q322" i="15"/>
  <c r="T323" i="15"/>
  <c r="P328" i="15"/>
  <c r="S336" i="15"/>
  <c r="P338" i="15"/>
  <c r="S339" i="15"/>
  <c r="Q342" i="15"/>
  <c r="P345" i="15"/>
  <c r="U345" i="15" s="1"/>
  <c r="S346" i="15"/>
  <c r="T348" i="15"/>
  <c r="R352" i="15"/>
  <c r="T354" i="15"/>
  <c r="R322" i="15"/>
  <c r="T339" i="15"/>
  <c r="T346" i="15"/>
  <c r="S352" i="15"/>
  <c r="S322" i="15"/>
  <c r="P349" i="15"/>
  <c r="T355" i="15"/>
  <c r="S307" i="15"/>
  <c r="R315" i="15"/>
  <c r="S328" i="15"/>
  <c r="P330" i="15"/>
  <c r="Q337" i="15"/>
  <c r="S338" i="15"/>
  <c r="T340" i="15"/>
  <c r="P344" i="15"/>
  <c r="Q347" i="15"/>
  <c r="T307" i="15"/>
  <c r="P312" i="15"/>
  <c r="Q315" i="15"/>
  <c r="Q312" i="15"/>
  <c r="P305" i="15"/>
  <c r="S308" i="15"/>
  <c r="R312" i="15"/>
  <c r="S315" i="15"/>
  <c r="Q330" i="15"/>
  <c r="Q344" i="15"/>
  <c r="R347" i="15"/>
  <c r="Q350" i="15"/>
  <c r="S353" i="15"/>
  <c r="T315" i="15"/>
  <c r="R344" i="15"/>
  <c r="S347" i="15"/>
  <c r="P352" i="15"/>
  <c r="Q353" i="15"/>
  <c r="R354" i="15"/>
  <c r="S355" i="15"/>
  <c r="T356" i="15"/>
  <c r="P319" i="15"/>
  <c r="P327" i="15"/>
  <c r="P335" i="15"/>
  <c r="P343" i="15"/>
  <c r="P351" i="15"/>
  <c r="P310" i="15"/>
  <c r="Q319" i="15"/>
  <c r="Q327" i="15"/>
  <c r="Q335" i="15"/>
  <c r="Q343" i="15"/>
  <c r="P350" i="15"/>
  <c r="Q351" i="15"/>
  <c r="P358" i="15"/>
  <c r="P317" i="15"/>
  <c r="Q318" i="15"/>
  <c r="R319" i="15"/>
  <c r="R343" i="15"/>
  <c r="R351" i="15"/>
  <c r="P357" i="15"/>
  <c r="Q358" i="15"/>
  <c r="R311" i="15"/>
  <c r="P325" i="15"/>
  <c r="Q326" i="15"/>
  <c r="R327" i="15"/>
  <c r="P308" i="15"/>
  <c r="Q309" i="15"/>
  <c r="R310" i="15"/>
  <c r="S311" i="15"/>
  <c r="T312" i="15"/>
  <c r="P316" i="15"/>
  <c r="Q317" i="15"/>
  <c r="R318" i="15"/>
  <c r="S319" i="15"/>
  <c r="P324" i="15"/>
  <c r="Q325" i="15"/>
  <c r="R326" i="15"/>
  <c r="S327" i="15"/>
  <c r="P332" i="15"/>
  <c r="Q333" i="15"/>
  <c r="R334" i="15"/>
  <c r="S335" i="15"/>
  <c r="P340" i="15"/>
  <c r="Q341" i="15"/>
  <c r="R342" i="15"/>
  <c r="S343" i="15"/>
  <c r="P348" i="15"/>
  <c r="Q349" i="15"/>
  <c r="R350" i="15"/>
  <c r="S351" i="15"/>
  <c r="P356" i="15"/>
  <c r="Q357" i="15"/>
  <c r="R358" i="15"/>
  <c r="P311" i="15"/>
  <c r="Q311" i="15"/>
  <c r="P309" i="15"/>
  <c r="Q310" i="15"/>
  <c r="P333" i="15"/>
  <c r="R335" i="15"/>
  <c r="Q308" i="15"/>
  <c r="R309" i="15"/>
  <c r="S310" i="15"/>
  <c r="Q316" i="15"/>
  <c r="R317" i="15"/>
  <c r="S318" i="15"/>
  <c r="Q324" i="15"/>
  <c r="R325" i="15"/>
  <c r="S326" i="15"/>
  <c r="Q332" i="15"/>
  <c r="R333" i="15"/>
  <c r="S334" i="15"/>
  <c r="Q340" i="15"/>
  <c r="R341" i="15"/>
  <c r="S342" i="15"/>
  <c r="Q348" i="15"/>
  <c r="R349" i="15"/>
  <c r="S350" i="15"/>
  <c r="P355" i="15"/>
  <c r="Q356" i="15"/>
  <c r="R357" i="15"/>
  <c r="S358" i="15"/>
  <c r="P318" i="15"/>
  <c r="S309" i="15"/>
  <c r="R316" i="15"/>
  <c r="S317" i="15"/>
  <c r="R324" i="15"/>
  <c r="S325" i="15"/>
  <c r="R332" i="15"/>
  <c r="S333" i="15"/>
  <c r="R340" i="15"/>
  <c r="S341" i="15"/>
  <c r="R348" i="15"/>
  <c r="S349" i="15"/>
  <c r="P354" i="15"/>
  <c r="Q355" i="15"/>
  <c r="R356" i="15"/>
  <c r="S357" i="15"/>
  <c r="O304" i="15"/>
  <c r="T304" i="15" s="1"/>
  <c r="O303" i="15"/>
  <c r="T303" i="15" s="1"/>
  <c r="O302" i="15"/>
  <c r="S302" i="15" s="1"/>
  <c r="O301" i="15"/>
  <c r="R301" i="15" s="1"/>
  <c r="O300" i="15"/>
  <c r="Q300" i="15" s="1"/>
  <c r="O299" i="15"/>
  <c r="P299" i="15" s="1"/>
  <c r="O298" i="15"/>
  <c r="P298" i="15" s="1"/>
  <c r="O297" i="15"/>
  <c r="T297" i="15" s="1"/>
  <c r="O296" i="15"/>
  <c r="T296" i="15" s="1"/>
  <c r="O295" i="15"/>
  <c r="T295" i="15" s="1"/>
  <c r="O294" i="15"/>
  <c r="S294" i="15" s="1"/>
  <c r="O293" i="15"/>
  <c r="R293" i="15" s="1"/>
  <c r="O292" i="15"/>
  <c r="Q292" i="15" s="1"/>
  <c r="O291" i="15"/>
  <c r="P291" i="15" s="1"/>
  <c r="O290" i="15"/>
  <c r="P290" i="15" s="1"/>
  <c r="U305" i="15" l="1"/>
  <c r="U347" i="15"/>
  <c r="U346" i="15"/>
  <c r="U324" i="15"/>
  <c r="U328" i="15"/>
  <c r="U331" i="15"/>
  <c r="U323" i="15"/>
  <c r="U315" i="15"/>
  <c r="U330" i="15"/>
  <c r="U307" i="15"/>
  <c r="U314" i="15"/>
  <c r="U353" i="15"/>
  <c r="U339" i="15"/>
  <c r="U343" i="15"/>
  <c r="U352" i="15"/>
  <c r="U338" i="15"/>
  <c r="U337" i="15"/>
  <c r="U357" i="15"/>
  <c r="U350" i="15"/>
  <c r="U335" i="15"/>
  <c r="U322" i="15"/>
  <c r="U341" i="15"/>
  <c r="U340" i="15"/>
  <c r="U327" i="15"/>
  <c r="U344" i="15"/>
  <c r="U334" i="15"/>
  <c r="U321" i="15"/>
  <c r="U329" i="15"/>
  <c r="U356" i="15"/>
  <c r="U318" i="15"/>
  <c r="U333" i="15"/>
  <c r="U308" i="15"/>
  <c r="U319" i="15"/>
  <c r="U349" i="15"/>
  <c r="U342" i="15"/>
  <c r="U336" i="15"/>
  <c r="U326" i="15"/>
  <c r="U309" i="15"/>
  <c r="U320" i="15"/>
  <c r="U348" i="15"/>
  <c r="U332" i="15"/>
  <c r="U316" i="15"/>
  <c r="U325" i="15"/>
  <c r="U317" i="15"/>
  <c r="U310" i="15"/>
  <c r="U313" i="15"/>
  <c r="U354" i="15"/>
  <c r="U355" i="15"/>
  <c r="U311" i="15"/>
  <c r="U358" i="15"/>
  <c r="U351" i="15"/>
  <c r="U312" i="15"/>
  <c r="U306" i="15"/>
  <c r="R299" i="15"/>
  <c r="S299" i="15"/>
  <c r="T299" i="15"/>
  <c r="Q298" i="15"/>
  <c r="R298" i="15"/>
  <c r="S300" i="15"/>
  <c r="S298" i="15"/>
  <c r="T300" i="15"/>
  <c r="T298" i="15"/>
  <c r="P297" i="15"/>
  <c r="T301" i="15"/>
  <c r="R291" i="15"/>
  <c r="S291" i="15"/>
  <c r="S292" i="15"/>
  <c r="Q297" i="15"/>
  <c r="T292" i="15"/>
  <c r="R297" i="15"/>
  <c r="T291" i="15"/>
  <c r="P295" i="15"/>
  <c r="Q291" i="15"/>
  <c r="R292" i="15"/>
  <c r="S293" i="15"/>
  <c r="T294" i="15"/>
  <c r="Q299" i="15"/>
  <c r="R300" i="15"/>
  <c r="S301" i="15"/>
  <c r="T302" i="15"/>
  <c r="P296" i="15"/>
  <c r="P304" i="15"/>
  <c r="Q296" i="15"/>
  <c r="P303" i="15"/>
  <c r="Q304" i="15"/>
  <c r="P294" i="15"/>
  <c r="Q295" i="15"/>
  <c r="R296" i="15"/>
  <c r="S297" i="15"/>
  <c r="P302" i="15"/>
  <c r="Q303" i="15"/>
  <c r="R304" i="15"/>
  <c r="T293" i="15"/>
  <c r="P293" i="15"/>
  <c r="Q294" i="15"/>
  <c r="R295" i="15"/>
  <c r="S296" i="15"/>
  <c r="P301" i="15"/>
  <c r="Q302" i="15"/>
  <c r="R303" i="15"/>
  <c r="S304" i="15"/>
  <c r="P292" i="15"/>
  <c r="Q293" i="15"/>
  <c r="R294" i="15"/>
  <c r="S295" i="15"/>
  <c r="P300" i="15"/>
  <c r="Q301" i="15"/>
  <c r="R302" i="15"/>
  <c r="S303" i="15"/>
  <c r="Q290" i="15"/>
  <c r="T290" i="15"/>
  <c r="S290" i="15"/>
  <c r="R290" i="15"/>
  <c r="O289" i="15"/>
  <c r="Q289" i="15" s="1"/>
  <c r="O288" i="15"/>
  <c r="T288" i="15" s="1"/>
  <c r="O287" i="15"/>
  <c r="S287" i="15" s="1"/>
  <c r="O286" i="15"/>
  <c r="P286" i="15" s="1"/>
  <c r="O285" i="15"/>
  <c r="T285" i="15" s="1"/>
  <c r="O284" i="15"/>
  <c r="R284" i="15" s="1"/>
  <c r="O283" i="15"/>
  <c r="T283" i="15" s="1"/>
  <c r="O282" i="15"/>
  <c r="T282" i="15" s="1"/>
  <c r="O281" i="15"/>
  <c r="Q281" i="15" s="1"/>
  <c r="O280" i="15"/>
  <c r="T280" i="15" s="1"/>
  <c r="O279" i="15"/>
  <c r="S279" i="15" s="1"/>
  <c r="O278" i="15"/>
  <c r="P278" i="15" s="1"/>
  <c r="O277" i="15"/>
  <c r="T277" i="15" s="1"/>
  <c r="O276" i="15"/>
  <c r="R276" i="15" s="1"/>
  <c r="O275" i="15"/>
  <c r="T275" i="15" s="1"/>
  <c r="O274" i="15"/>
  <c r="T274" i="15" s="1"/>
  <c r="O273" i="15"/>
  <c r="Q273" i="15" s="1"/>
  <c r="O272" i="15"/>
  <c r="T272" i="15" s="1"/>
  <c r="O271" i="15"/>
  <c r="S271" i="15" s="1"/>
  <c r="O270" i="15"/>
  <c r="P270" i="15" s="1"/>
  <c r="O269" i="15"/>
  <c r="T269" i="15" s="1"/>
  <c r="O268" i="15"/>
  <c r="R268" i="15" s="1"/>
  <c r="O267" i="15"/>
  <c r="T267" i="15" s="1"/>
  <c r="O266" i="15"/>
  <c r="T266" i="15" s="1"/>
  <c r="O265" i="15"/>
  <c r="Q265" i="15" s="1"/>
  <c r="O264" i="15"/>
  <c r="T264" i="15" s="1"/>
  <c r="O263" i="15"/>
  <c r="S263" i="15" s="1"/>
  <c r="O262" i="15"/>
  <c r="P262" i="15" s="1"/>
  <c r="O261" i="15"/>
  <c r="T261" i="15" s="1"/>
  <c r="O260" i="15"/>
  <c r="R260" i="15" s="1"/>
  <c r="O259" i="15"/>
  <c r="T259" i="15" s="1"/>
  <c r="O258" i="15"/>
  <c r="T258" i="15" s="1"/>
  <c r="O257" i="15"/>
  <c r="Q257" i="15" s="1"/>
  <c r="O256" i="15"/>
  <c r="T256" i="15" s="1"/>
  <c r="O255" i="15"/>
  <c r="S255" i="15" s="1"/>
  <c r="O254" i="15"/>
  <c r="P254" i="15" s="1"/>
  <c r="O253" i="15"/>
  <c r="T253" i="15" s="1"/>
  <c r="O252" i="15"/>
  <c r="R252" i="15" s="1"/>
  <c r="O251" i="15"/>
  <c r="T251" i="15" s="1"/>
  <c r="O250" i="15"/>
  <c r="T250" i="15" s="1"/>
  <c r="O249" i="15"/>
  <c r="Q249" i="15" s="1"/>
  <c r="O248" i="15"/>
  <c r="T248" i="15" s="1"/>
  <c r="O247" i="15"/>
  <c r="S247" i="15" s="1"/>
  <c r="O246" i="15"/>
  <c r="P246" i="15" s="1"/>
  <c r="O245" i="15"/>
  <c r="T245" i="15" s="1"/>
  <c r="O244" i="15"/>
  <c r="R244" i="15" s="1"/>
  <c r="O243" i="15"/>
  <c r="T243" i="15" s="1"/>
  <c r="O242" i="15"/>
  <c r="T242" i="15" s="1"/>
  <c r="O241" i="15"/>
  <c r="Q241" i="15" s="1"/>
  <c r="O240" i="15"/>
  <c r="T240" i="15" s="1"/>
  <c r="O239" i="15"/>
  <c r="S239" i="15" s="1"/>
  <c r="O238" i="15"/>
  <c r="P238" i="15" s="1"/>
  <c r="O237" i="15"/>
  <c r="T237" i="15" s="1"/>
  <c r="O236" i="15"/>
  <c r="R236" i="15" s="1"/>
  <c r="O235" i="15"/>
  <c r="T235" i="15" s="1"/>
  <c r="O234" i="15"/>
  <c r="T234" i="15" s="1"/>
  <c r="O233" i="15"/>
  <c r="Q233" i="15" s="1"/>
  <c r="O232" i="15"/>
  <c r="T232" i="15" s="1"/>
  <c r="O231" i="15"/>
  <c r="S231" i="15" s="1"/>
  <c r="O230" i="15"/>
  <c r="P230" i="15" s="1"/>
  <c r="O229" i="15"/>
  <c r="T229" i="15" s="1"/>
  <c r="O228" i="15"/>
  <c r="R228" i="15" s="1"/>
  <c r="O227" i="15"/>
  <c r="T227" i="15" s="1"/>
  <c r="O226" i="15"/>
  <c r="T226" i="15" s="1"/>
  <c r="O225" i="15"/>
  <c r="Q225" i="15" s="1"/>
  <c r="O224" i="15"/>
  <c r="T224" i="15" s="1"/>
  <c r="O223" i="15"/>
  <c r="S223" i="15" s="1"/>
  <c r="O222" i="15"/>
  <c r="P222" i="15" s="1"/>
  <c r="O221" i="15"/>
  <c r="T221" i="15" s="1"/>
  <c r="O220" i="15"/>
  <c r="R220" i="15" s="1"/>
  <c r="O219" i="15"/>
  <c r="T219" i="15" s="1"/>
  <c r="O218" i="15"/>
  <c r="T218" i="15" s="1"/>
  <c r="O217" i="15"/>
  <c r="Q217" i="15" s="1"/>
  <c r="O216" i="15"/>
  <c r="T216" i="15" s="1"/>
  <c r="O215" i="15"/>
  <c r="S215" i="15" s="1"/>
  <c r="O214" i="15"/>
  <c r="P214" i="15" s="1"/>
  <c r="O213" i="15"/>
  <c r="T213" i="15" s="1"/>
  <c r="O212" i="15"/>
  <c r="R212" i="15" s="1"/>
  <c r="O211" i="15"/>
  <c r="T211" i="15" s="1"/>
  <c r="O210" i="15"/>
  <c r="T210" i="15" s="1"/>
  <c r="O209" i="15"/>
  <c r="Q209" i="15" s="1"/>
  <c r="O208" i="15"/>
  <c r="T208" i="15" s="1"/>
  <c r="O207" i="15"/>
  <c r="S207" i="15" s="1"/>
  <c r="O206" i="15"/>
  <c r="P206" i="15" s="1"/>
  <c r="O205" i="15"/>
  <c r="T205" i="15" s="1"/>
  <c r="O204" i="15"/>
  <c r="R204" i="15" s="1"/>
  <c r="O203" i="15"/>
  <c r="P203" i="15" s="1"/>
  <c r="O202" i="15"/>
  <c r="O201" i="15"/>
  <c r="R201" i="15" s="1"/>
  <c r="O200" i="15"/>
  <c r="O199" i="15"/>
  <c r="O198" i="15"/>
  <c r="O197" i="15"/>
  <c r="O196" i="15"/>
  <c r="S196" i="15" s="1"/>
  <c r="O195" i="15"/>
  <c r="O194" i="15"/>
  <c r="O193" i="15"/>
  <c r="O192" i="15"/>
  <c r="O191" i="15"/>
  <c r="O190" i="15"/>
  <c r="O189" i="15"/>
  <c r="O188" i="15"/>
  <c r="S188" i="15" s="1"/>
  <c r="O187" i="15"/>
  <c r="P187" i="15" s="1"/>
  <c r="O186" i="15"/>
  <c r="O185" i="15"/>
  <c r="R185" i="15" s="1"/>
  <c r="O184" i="15"/>
  <c r="O183" i="15"/>
  <c r="T183" i="15" s="1"/>
  <c r="O182" i="15"/>
  <c r="O181" i="15"/>
  <c r="O180" i="15"/>
  <c r="S180" i="15" s="1"/>
  <c r="O179" i="15"/>
  <c r="P179" i="15" s="1"/>
  <c r="O178" i="15"/>
  <c r="O177" i="15"/>
  <c r="O176" i="15"/>
  <c r="O175" i="15"/>
  <c r="O174" i="15"/>
  <c r="O173" i="15"/>
  <c r="O172" i="15"/>
  <c r="S172" i="15" s="1"/>
  <c r="O171" i="15"/>
  <c r="P171" i="15" s="1"/>
  <c r="O170" i="15"/>
  <c r="O169" i="15"/>
  <c r="O168" i="15"/>
  <c r="O167" i="15"/>
  <c r="O166" i="15"/>
  <c r="O165" i="15"/>
  <c r="O164" i="15"/>
  <c r="S164" i="15" s="1"/>
  <c r="O163" i="15"/>
  <c r="P163" i="15" s="1"/>
  <c r="O162" i="15"/>
  <c r="O161" i="15"/>
  <c r="R161" i="15" s="1"/>
  <c r="O160" i="15"/>
  <c r="O159" i="15"/>
  <c r="T159" i="15" s="1"/>
  <c r="O158" i="15"/>
  <c r="Q158" i="15" s="1"/>
  <c r="O157" i="15"/>
  <c r="O156" i="15"/>
  <c r="O155" i="15"/>
  <c r="O154" i="15"/>
  <c r="O153" i="15"/>
  <c r="O152" i="15"/>
  <c r="O151" i="15"/>
  <c r="O150" i="15"/>
  <c r="O149" i="15"/>
  <c r="O148" i="15"/>
  <c r="S148" i="15" s="1"/>
  <c r="O147" i="15"/>
  <c r="P147" i="15" s="1"/>
  <c r="O146" i="15"/>
  <c r="O145" i="15"/>
  <c r="R145" i="15" s="1"/>
  <c r="O144" i="15"/>
  <c r="O143" i="15"/>
  <c r="O142" i="15"/>
  <c r="O141" i="15"/>
  <c r="O140" i="15"/>
  <c r="S140" i="15" s="1"/>
  <c r="O139" i="15"/>
  <c r="P139" i="15" s="1"/>
  <c r="O138" i="15"/>
  <c r="O137" i="15"/>
  <c r="R137" i="15" s="1"/>
  <c r="O136" i="15"/>
  <c r="O135" i="15"/>
  <c r="O134" i="15"/>
  <c r="O133" i="15"/>
  <c r="O132" i="15"/>
  <c r="S132" i="15" s="1"/>
  <c r="O131" i="15"/>
  <c r="O130" i="15"/>
  <c r="O129" i="15"/>
  <c r="O128" i="15"/>
  <c r="O127" i="15"/>
  <c r="O126" i="15"/>
  <c r="O125" i="15"/>
  <c r="O124" i="15"/>
  <c r="S124" i="15" s="1"/>
  <c r="O123" i="15"/>
  <c r="P123" i="15" s="1"/>
  <c r="O122" i="15"/>
  <c r="O121" i="15"/>
  <c r="R121" i="15" s="1"/>
  <c r="O120" i="15"/>
  <c r="O119" i="15"/>
  <c r="T119" i="15" s="1"/>
  <c r="O118" i="15"/>
  <c r="O117" i="15"/>
  <c r="O116" i="15"/>
  <c r="S116" i="15" s="1"/>
  <c r="O115" i="15"/>
  <c r="P115" i="15" s="1"/>
  <c r="O114" i="15"/>
  <c r="O113" i="15"/>
  <c r="O112" i="15"/>
  <c r="O111" i="15"/>
  <c r="O110" i="15"/>
  <c r="O109" i="15"/>
  <c r="O108" i="15"/>
  <c r="S108" i="15" s="1"/>
  <c r="O107" i="15"/>
  <c r="P107" i="15" s="1"/>
  <c r="O106" i="15"/>
  <c r="O105" i="15"/>
  <c r="O104" i="15"/>
  <c r="O103" i="15"/>
  <c r="O102" i="15"/>
  <c r="O101" i="15"/>
  <c r="O100" i="15"/>
  <c r="S100" i="15" s="1"/>
  <c r="O99" i="15"/>
  <c r="P99" i="15" s="1"/>
  <c r="O98" i="15"/>
  <c r="O97" i="15"/>
  <c r="R97" i="15" s="1"/>
  <c r="O96" i="15"/>
  <c r="O95" i="15"/>
  <c r="T95" i="15" s="1"/>
  <c r="O94" i="15"/>
  <c r="Q94" i="15" s="1"/>
  <c r="O93" i="15"/>
  <c r="O92" i="15"/>
  <c r="O91" i="15"/>
  <c r="O90" i="15"/>
  <c r="O89" i="15"/>
  <c r="O88" i="15"/>
  <c r="O87" i="15"/>
  <c r="O86" i="15"/>
  <c r="O85" i="15"/>
  <c r="O84" i="15"/>
  <c r="S84" i="15" s="1"/>
  <c r="O83" i="15"/>
  <c r="P83" i="15" s="1"/>
  <c r="O82" i="15"/>
  <c r="O81" i="15"/>
  <c r="R81" i="15" s="1"/>
  <c r="O80" i="15"/>
  <c r="O79" i="15"/>
  <c r="O78" i="15"/>
  <c r="O77" i="15"/>
  <c r="O76" i="15"/>
  <c r="S76" i="15" s="1"/>
  <c r="O75" i="15"/>
  <c r="S75" i="15" s="1"/>
  <c r="O74" i="15"/>
  <c r="O73" i="15"/>
  <c r="O72" i="15"/>
  <c r="O71" i="15"/>
  <c r="O70" i="15"/>
  <c r="O69" i="15"/>
  <c r="O68" i="15"/>
  <c r="S68" i="15" s="1"/>
  <c r="O67" i="15"/>
  <c r="T67" i="15" s="1"/>
  <c r="O66" i="15"/>
  <c r="T66" i="15" s="1"/>
  <c r="O65" i="15"/>
  <c r="Q65" i="15" s="1"/>
  <c r="O64" i="15"/>
  <c r="T64" i="15" s="1"/>
  <c r="O63" i="15"/>
  <c r="S63" i="15" s="1"/>
  <c r="O62" i="15"/>
  <c r="P62" i="15" s="1"/>
  <c r="O61" i="15"/>
  <c r="T61" i="15" s="1"/>
  <c r="O60" i="15"/>
  <c r="R60" i="15" s="1"/>
  <c r="O59" i="15"/>
  <c r="T59" i="15" s="1"/>
  <c r="O58" i="15"/>
  <c r="T58" i="15" s="1"/>
  <c r="O57" i="15"/>
  <c r="Q57" i="15" s="1"/>
  <c r="O56" i="15"/>
  <c r="T56" i="15" s="1"/>
  <c r="O55" i="15"/>
  <c r="S55" i="15" s="1"/>
  <c r="O54" i="15"/>
  <c r="P54" i="15" s="1"/>
  <c r="O53" i="15"/>
  <c r="T53" i="15" s="1"/>
  <c r="O52" i="15"/>
  <c r="R52" i="15" s="1"/>
  <c r="O51" i="15"/>
  <c r="T51" i="15" s="1"/>
  <c r="O50" i="15"/>
  <c r="T50" i="15" s="1"/>
  <c r="O49" i="15"/>
  <c r="Q49" i="15" s="1"/>
  <c r="O48" i="15"/>
  <c r="T48" i="15" s="1"/>
  <c r="O47" i="15"/>
  <c r="S47" i="15" s="1"/>
  <c r="O46" i="15"/>
  <c r="P46" i="15" s="1"/>
  <c r="O45" i="15"/>
  <c r="T45" i="15" s="1"/>
  <c r="O44" i="15"/>
  <c r="R44" i="15" s="1"/>
  <c r="O43" i="15"/>
  <c r="T43" i="15" s="1"/>
  <c r="O42" i="15"/>
  <c r="T42" i="15" s="1"/>
  <c r="O41" i="15"/>
  <c r="Q41" i="15" s="1"/>
  <c r="O40" i="15"/>
  <c r="T40" i="15" s="1"/>
  <c r="O39" i="15"/>
  <c r="S39" i="15" s="1"/>
  <c r="O38" i="15"/>
  <c r="P38" i="15" s="1"/>
  <c r="O37" i="15"/>
  <c r="T37" i="15" s="1"/>
  <c r="O36" i="15"/>
  <c r="R36" i="15" s="1"/>
  <c r="O35" i="15"/>
  <c r="T35" i="15" s="1"/>
  <c r="O34" i="15"/>
  <c r="T34" i="15" s="1"/>
  <c r="O33" i="15"/>
  <c r="Q33" i="15" s="1"/>
  <c r="O32" i="15"/>
  <c r="T32" i="15" s="1"/>
  <c r="O31" i="15"/>
  <c r="S31" i="15" s="1"/>
  <c r="O30" i="15"/>
  <c r="P30" i="15" s="1"/>
  <c r="O29" i="15"/>
  <c r="T29" i="15" s="1"/>
  <c r="O28" i="15"/>
  <c r="R28" i="15" s="1"/>
  <c r="O27" i="15"/>
  <c r="T27" i="15" s="1"/>
  <c r="O26" i="15"/>
  <c r="T26" i="15" s="1"/>
  <c r="O25" i="15"/>
  <c r="Q25" i="15" s="1"/>
  <c r="O24" i="15"/>
  <c r="T24" i="15" s="1"/>
  <c r="O23" i="15"/>
  <c r="S23" i="15" s="1"/>
  <c r="O22" i="15"/>
  <c r="P22" i="15" s="1"/>
  <c r="O21" i="15"/>
  <c r="T21" i="15" s="1"/>
  <c r="O20" i="15"/>
  <c r="R20" i="15" s="1"/>
  <c r="O19" i="15"/>
  <c r="T19" i="15" s="1"/>
  <c r="O18" i="15"/>
  <c r="T18" i="15" s="1"/>
  <c r="O17" i="15"/>
  <c r="Q17" i="15" s="1"/>
  <c r="O16" i="15"/>
  <c r="T16" i="15" s="1"/>
  <c r="O15" i="15"/>
  <c r="S15" i="15" s="1"/>
  <c r="O14" i="15"/>
  <c r="P14" i="15" s="1"/>
  <c r="O13" i="15"/>
  <c r="T13" i="15" s="1"/>
  <c r="O12" i="15"/>
  <c r="R12" i="15" s="1"/>
  <c r="O11" i="15"/>
  <c r="T11" i="15" s="1"/>
  <c r="O10" i="15"/>
  <c r="Q10" i="15" s="1"/>
  <c r="O9" i="15"/>
  <c r="T9" i="15" s="1"/>
  <c r="O8" i="15"/>
  <c r="S8" i="15" s="1"/>
  <c r="O7" i="15"/>
  <c r="P7" i="15" s="1"/>
  <c r="O6" i="15"/>
  <c r="T6" i="15" s="1"/>
  <c r="O5" i="15"/>
  <c r="R5" i="15" s="1"/>
  <c r="O4" i="15"/>
  <c r="T4" i="15" s="1"/>
  <c r="U300" i="15" l="1"/>
  <c r="U291" i="15"/>
  <c r="U298" i="15"/>
  <c r="U290" i="15"/>
  <c r="U299" i="15"/>
  <c r="U301" i="15"/>
  <c r="U302" i="15"/>
  <c r="U296" i="15"/>
  <c r="U295" i="15"/>
  <c r="U297" i="15"/>
  <c r="U292" i="15"/>
  <c r="U293" i="15"/>
  <c r="U294" i="15"/>
  <c r="U303" i="15"/>
  <c r="U304" i="15"/>
  <c r="P227" i="15"/>
  <c r="S228" i="15"/>
  <c r="Q230" i="15"/>
  <c r="T231" i="15"/>
  <c r="R233" i="15"/>
  <c r="P235" i="15"/>
  <c r="S236" i="15"/>
  <c r="Q238" i="15"/>
  <c r="T239" i="15"/>
  <c r="R241" i="15"/>
  <c r="P243" i="15"/>
  <c r="S244" i="15"/>
  <c r="Q246" i="15"/>
  <c r="T247" i="15"/>
  <c r="R249" i="15"/>
  <c r="P251" i="15"/>
  <c r="S252" i="15"/>
  <c r="Q254" i="15"/>
  <c r="T255" i="15"/>
  <c r="R257" i="15"/>
  <c r="P259" i="15"/>
  <c r="S260" i="15"/>
  <c r="Q262" i="15"/>
  <c r="T263" i="15"/>
  <c r="R265" i="15"/>
  <c r="P267" i="15"/>
  <c r="S268" i="15"/>
  <c r="Q270" i="15"/>
  <c r="T271" i="15"/>
  <c r="R273" i="15"/>
  <c r="P275" i="15"/>
  <c r="S276" i="15"/>
  <c r="Q278" i="15"/>
  <c r="T279" i="15"/>
  <c r="R281" i="15"/>
  <c r="P283" i="15"/>
  <c r="S284" i="15"/>
  <c r="Q286" i="15"/>
  <c r="T287" i="15"/>
  <c r="R289" i="15"/>
  <c r="Q227" i="15"/>
  <c r="T228" i="15"/>
  <c r="R230" i="15"/>
  <c r="P232" i="15"/>
  <c r="S233" i="15"/>
  <c r="Q235" i="15"/>
  <c r="T236" i="15"/>
  <c r="R238" i="15"/>
  <c r="P240" i="15"/>
  <c r="S241" i="15"/>
  <c r="Q243" i="15"/>
  <c r="T244" i="15"/>
  <c r="R246" i="15"/>
  <c r="P248" i="15"/>
  <c r="S249" i="15"/>
  <c r="Q251" i="15"/>
  <c r="T252" i="15"/>
  <c r="R254" i="15"/>
  <c r="P256" i="15"/>
  <c r="S257" i="15"/>
  <c r="Q259" i="15"/>
  <c r="T260" i="15"/>
  <c r="R262" i="15"/>
  <c r="P264" i="15"/>
  <c r="S265" i="15"/>
  <c r="Q267" i="15"/>
  <c r="T268" i="15"/>
  <c r="R270" i="15"/>
  <c r="P272" i="15"/>
  <c r="S273" i="15"/>
  <c r="Q275" i="15"/>
  <c r="T276" i="15"/>
  <c r="R278" i="15"/>
  <c r="P280" i="15"/>
  <c r="S281" i="15"/>
  <c r="Q283" i="15"/>
  <c r="T284" i="15"/>
  <c r="R286" i="15"/>
  <c r="P288" i="15"/>
  <c r="S289" i="15"/>
  <c r="R227" i="15"/>
  <c r="P229" i="15"/>
  <c r="S230" i="15"/>
  <c r="Q232" i="15"/>
  <c r="T233" i="15"/>
  <c r="R235" i="15"/>
  <c r="P237" i="15"/>
  <c r="S238" i="15"/>
  <c r="Q240" i="15"/>
  <c r="T241" i="15"/>
  <c r="R243" i="15"/>
  <c r="P245" i="15"/>
  <c r="S246" i="15"/>
  <c r="Q248" i="15"/>
  <c r="T249" i="15"/>
  <c r="R251" i="15"/>
  <c r="P253" i="15"/>
  <c r="S254" i="15"/>
  <c r="Q256" i="15"/>
  <c r="T257" i="15"/>
  <c r="R259" i="15"/>
  <c r="P261" i="15"/>
  <c r="S262" i="15"/>
  <c r="Q264" i="15"/>
  <c r="T265" i="15"/>
  <c r="R267" i="15"/>
  <c r="P269" i="15"/>
  <c r="S270" i="15"/>
  <c r="Q272" i="15"/>
  <c r="T273" i="15"/>
  <c r="R275" i="15"/>
  <c r="P277" i="15"/>
  <c r="S278" i="15"/>
  <c r="Q280" i="15"/>
  <c r="T281" i="15"/>
  <c r="R283" i="15"/>
  <c r="P285" i="15"/>
  <c r="S286" i="15"/>
  <c r="Q288" i="15"/>
  <c r="T289" i="15"/>
  <c r="P226" i="15"/>
  <c r="S227" i="15"/>
  <c r="Q229" i="15"/>
  <c r="T230" i="15"/>
  <c r="R232" i="15"/>
  <c r="P234" i="15"/>
  <c r="S235" i="15"/>
  <c r="Q237" i="15"/>
  <c r="T238" i="15"/>
  <c r="R240" i="15"/>
  <c r="P242" i="15"/>
  <c r="S243" i="15"/>
  <c r="Q245" i="15"/>
  <c r="T246" i="15"/>
  <c r="R248" i="15"/>
  <c r="P250" i="15"/>
  <c r="S251" i="15"/>
  <c r="Q253" i="15"/>
  <c r="T254" i="15"/>
  <c r="R256" i="15"/>
  <c r="P258" i="15"/>
  <c r="S259" i="15"/>
  <c r="Q261" i="15"/>
  <c r="T262" i="15"/>
  <c r="R264" i="15"/>
  <c r="P266" i="15"/>
  <c r="S267" i="15"/>
  <c r="Q269" i="15"/>
  <c r="T270" i="15"/>
  <c r="R272" i="15"/>
  <c r="P274" i="15"/>
  <c r="S275" i="15"/>
  <c r="Q277" i="15"/>
  <c r="T278" i="15"/>
  <c r="R280" i="15"/>
  <c r="P282" i="15"/>
  <c r="S283" i="15"/>
  <c r="Q285" i="15"/>
  <c r="T286" i="15"/>
  <c r="R288" i="15"/>
  <c r="Q226" i="15"/>
  <c r="R229" i="15"/>
  <c r="P231" i="15"/>
  <c r="S232" i="15"/>
  <c r="Q234" i="15"/>
  <c r="R237" i="15"/>
  <c r="P239" i="15"/>
  <c r="S240" i="15"/>
  <c r="Q242" i="15"/>
  <c r="R245" i="15"/>
  <c r="P247" i="15"/>
  <c r="S248" i="15"/>
  <c r="Q250" i="15"/>
  <c r="R253" i="15"/>
  <c r="P255" i="15"/>
  <c r="S256" i="15"/>
  <c r="Q258" i="15"/>
  <c r="R261" i="15"/>
  <c r="P263" i="15"/>
  <c r="S264" i="15"/>
  <c r="Q266" i="15"/>
  <c r="R269" i="15"/>
  <c r="P271" i="15"/>
  <c r="S272" i="15"/>
  <c r="Q274" i="15"/>
  <c r="R277" i="15"/>
  <c r="P279" i="15"/>
  <c r="S280" i="15"/>
  <c r="Q282" i="15"/>
  <c r="R285" i="15"/>
  <c r="P287" i="15"/>
  <c r="S288" i="15"/>
  <c r="R226" i="15"/>
  <c r="P228" i="15"/>
  <c r="S229" i="15"/>
  <c r="Q231" i="15"/>
  <c r="R234" i="15"/>
  <c r="P236" i="15"/>
  <c r="S237" i="15"/>
  <c r="Q239" i="15"/>
  <c r="R242" i="15"/>
  <c r="P244" i="15"/>
  <c r="S245" i="15"/>
  <c r="Q247" i="15"/>
  <c r="R250" i="15"/>
  <c r="P252" i="15"/>
  <c r="S253" i="15"/>
  <c r="Q255" i="15"/>
  <c r="R258" i="15"/>
  <c r="P260" i="15"/>
  <c r="S261" i="15"/>
  <c r="Q263" i="15"/>
  <c r="R266" i="15"/>
  <c r="P268" i="15"/>
  <c r="S269" i="15"/>
  <c r="Q271" i="15"/>
  <c r="R274" i="15"/>
  <c r="P276" i="15"/>
  <c r="S277" i="15"/>
  <c r="Q279" i="15"/>
  <c r="R282" i="15"/>
  <c r="P284" i="15"/>
  <c r="S285" i="15"/>
  <c r="Q287" i="15"/>
  <c r="S226" i="15"/>
  <c r="Q228" i="15"/>
  <c r="R231" i="15"/>
  <c r="P233" i="15"/>
  <c r="U233" i="15" s="1"/>
  <c r="S234" i="15"/>
  <c r="Q236" i="15"/>
  <c r="R239" i="15"/>
  <c r="P241" i="15"/>
  <c r="S242" i="15"/>
  <c r="Q244" i="15"/>
  <c r="R247" i="15"/>
  <c r="P249" i="15"/>
  <c r="U249" i="15" s="1"/>
  <c r="S250" i="15"/>
  <c r="Q252" i="15"/>
  <c r="R255" i="15"/>
  <c r="P257" i="15"/>
  <c r="S258" i="15"/>
  <c r="Q260" i="15"/>
  <c r="R263" i="15"/>
  <c r="P265" i="15"/>
  <c r="S266" i="15"/>
  <c r="Q268" i="15"/>
  <c r="R271" i="15"/>
  <c r="P273" i="15"/>
  <c r="U273" i="15" s="1"/>
  <c r="S274" i="15"/>
  <c r="Q276" i="15"/>
  <c r="R279" i="15"/>
  <c r="P281" i="15"/>
  <c r="S282" i="15"/>
  <c r="Q284" i="15"/>
  <c r="R287" i="15"/>
  <c r="P289" i="15"/>
  <c r="U289" i="15" s="1"/>
  <c r="S204" i="15"/>
  <c r="Q206" i="15"/>
  <c r="T207" i="15"/>
  <c r="R209" i="15"/>
  <c r="P211" i="15"/>
  <c r="S212" i="15"/>
  <c r="Q214" i="15"/>
  <c r="T215" i="15"/>
  <c r="R217" i="15"/>
  <c r="P219" i="15"/>
  <c r="S220" i="15"/>
  <c r="Q222" i="15"/>
  <c r="T223" i="15"/>
  <c r="R225" i="15"/>
  <c r="T204" i="15"/>
  <c r="R206" i="15"/>
  <c r="P208" i="15"/>
  <c r="S209" i="15"/>
  <c r="Q211" i="15"/>
  <c r="T212" i="15"/>
  <c r="R214" i="15"/>
  <c r="P216" i="15"/>
  <c r="S217" i="15"/>
  <c r="Q219" i="15"/>
  <c r="T220" i="15"/>
  <c r="R222" i="15"/>
  <c r="P224" i="15"/>
  <c r="S225" i="15"/>
  <c r="P205" i="15"/>
  <c r="S206" i="15"/>
  <c r="Q208" i="15"/>
  <c r="T209" i="15"/>
  <c r="R211" i="15"/>
  <c r="P213" i="15"/>
  <c r="S214" i="15"/>
  <c r="Q216" i="15"/>
  <c r="T217" i="15"/>
  <c r="R219" i="15"/>
  <c r="P221" i="15"/>
  <c r="S222" i="15"/>
  <c r="Q224" i="15"/>
  <c r="T225" i="15"/>
  <c r="Q205" i="15"/>
  <c r="T206" i="15"/>
  <c r="R208" i="15"/>
  <c r="P210" i="15"/>
  <c r="S211" i="15"/>
  <c r="Q213" i="15"/>
  <c r="T214" i="15"/>
  <c r="R216" i="15"/>
  <c r="P218" i="15"/>
  <c r="S219" i="15"/>
  <c r="Q221" i="15"/>
  <c r="T222" i="15"/>
  <c r="R224" i="15"/>
  <c r="R205" i="15"/>
  <c r="P207" i="15"/>
  <c r="S208" i="15"/>
  <c r="Q210" i="15"/>
  <c r="R213" i="15"/>
  <c r="P215" i="15"/>
  <c r="S216" i="15"/>
  <c r="Q218" i="15"/>
  <c r="R221" i="15"/>
  <c r="P223" i="15"/>
  <c r="S224" i="15"/>
  <c r="P204" i="15"/>
  <c r="S205" i="15"/>
  <c r="Q207" i="15"/>
  <c r="R210" i="15"/>
  <c r="P212" i="15"/>
  <c r="S213" i="15"/>
  <c r="Q215" i="15"/>
  <c r="R218" i="15"/>
  <c r="P220" i="15"/>
  <c r="S221" i="15"/>
  <c r="Q223" i="15"/>
  <c r="Q204" i="15"/>
  <c r="R207" i="15"/>
  <c r="P209" i="15"/>
  <c r="S210" i="15"/>
  <c r="Q212" i="15"/>
  <c r="R215" i="15"/>
  <c r="P217" i="15"/>
  <c r="S218" i="15"/>
  <c r="Q220" i="15"/>
  <c r="R223" i="15"/>
  <c r="P225" i="15"/>
  <c r="Q14" i="15"/>
  <c r="P27" i="15"/>
  <c r="T39" i="15"/>
  <c r="S52" i="15"/>
  <c r="R65" i="15"/>
  <c r="P4" i="15"/>
  <c r="T15" i="15"/>
  <c r="S28" i="15"/>
  <c r="R41" i="15"/>
  <c r="Q54" i="15"/>
  <c r="P67" i="15"/>
  <c r="S5" i="15"/>
  <c r="R17" i="15"/>
  <c r="Q30" i="15"/>
  <c r="P43" i="15"/>
  <c r="T55" i="15"/>
  <c r="P75" i="15"/>
  <c r="Q7" i="15"/>
  <c r="P19" i="15"/>
  <c r="T31" i="15"/>
  <c r="S44" i="15"/>
  <c r="R57" i="15"/>
  <c r="T8" i="15"/>
  <c r="S20" i="15"/>
  <c r="R33" i="15"/>
  <c r="Q46" i="15"/>
  <c r="P59" i="15"/>
  <c r="R10" i="15"/>
  <c r="Q22" i="15"/>
  <c r="P35" i="15"/>
  <c r="T47" i="15"/>
  <c r="S60" i="15"/>
  <c r="T23" i="15"/>
  <c r="S36" i="15"/>
  <c r="R49" i="15"/>
  <c r="Q62" i="15"/>
  <c r="S12" i="15"/>
  <c r="R25" i="15"/>
  <c r="Q38" i="15"/>
  <c r="P51" i="15"/>
  <c r="T63" i="15"/>
  <c r="T93" i="15"/>
  <c r="S93" i="15"/>
  <c r="R93" i="15"/>
  <c r="Q93" i="15"/>
  <c r="P93" i="15"/>
  <c r="T149" i="15"/>
  <c r="S149" i="15"/>
  <c r="R149" i="15"/>
  <c r="Q149" i="15"/>
  <c r="P149" i="15"/>
  <c r="P70" i="15"/>
  <c r="S70" i="15"/>
  <c r="R70" i="15"/>
  <c r="P78" i="15"/>
  <c r="S78" i="15"/>
  <c r="R78" i="15"/>
  <c r="P86" i="15"/>
  <c r="T86" i="15"/>
  <c r="S86" i="15"/>
  <c r="R86" i="15"/>
  <c r="P94" i="15"/>
  <c r="T94" i="15"/>
  <c r="S94" i="15"/>
  <c r="R94" i="15"/>
  <c r="P102" i="15"/>
  <c r="T102" i="15"/>
  <c r="S102" i="15"/>
  <c r="R102" i="15"/>
  <c r="P110" i="15"/>
  <c r="T110" i="15"/>
  <c r="S110" i="15"/>
  <c r="R110" i="15"/>
  <c r="P118" i="15"/>
  <c r="T118" i="15"/>
  <c r="S118" i="15"/>
  <c r="R118" i="15"/>
  <c r="P126" i="15"/>
  <c r="T126" i="15"/>
  <c r="S126" i="15"/>
  <c r="R126" i="15"/>
  <c r="P134" i="15"/>
  <c r="T134" i="15"/>
  <c r="S134" i="15"/>
  <c r="R134" i="15"/>
  <c r="P142" i="15"/>
  <c r="T142" i="15"/>
  <c r="S142" i="15"/>
  <c r="R142" i="15"/>
  <c r="P150" i="15"/>
  <c r="T150" i="15"/>
  <c r="S150" i="15"/>
  <c r="R150" i="15"/>
  <c r="P158" i="15"/>
  <c r="T158" i="15"/>
  <c r="S158" i="15"/>
  <c r="R158" i="15"/>
  <c r="P166" i="15"/>
  <c r="T166" i="15"/>
  <c r="S166" i="15"/>
  <c r="R166" i="15"/>
  <c r="P174" i="15"/>
  <c r="T174" i="15"/>
  <c r="S174" i="15"/>
  <c r="R174" i="15"/>
  <c r="P182" i="15"/>
  <c r="T182" i="15"/>
  <c r="S182" i="15"/>
  <c r="R182" i="15"/>
  <c r="P190" i="15"/>
  <c r="T190" i="15"/>
  <c r="S190" i="15"/>
  <c r="R190" i="15"/>
  <c r="P198" i="15"/>
  <c r="T198" i="15"/>
  <c r="S198" i="15"/>
  <c r="R198" i="15"/>
  <c r="Q4" i="15"/>
  <c r="T5" i="15"/>
  <c r="R7" i="15"/>
  <c r="P9" i="15"/>
  <c r="S10" i="15"/>
  <c r="T12" i="15"/>
  <c r="R14" i="15"/>
  <c r="P16" i="15"/>
  <c r="S17" i="15"/>
  <c r="Q19" i="15"/>
  <c r="T20" i="15"/>
  <c r="R22" i="15"/>
  <c r="P24" i="15"/>
  <c r="S25" i="15"/>
  <c r="Q27" i="15"/>
  <c r="T28" i="15"/>
  <c r="R30" i="15"/>
  <c r="P32" i="15"/>
  <c r="S33" i="15"/>
  <c r="Q35" i="15"/>
  <c r="T36" i="15"/>
  <c r="R38" i="15"/>
  <c r="P40" i="15"/>
  <c r="S41" i="15"/>
  <c r="Q43" i="15"/>
  <c r="T44" i="15"/>
  <c r="R46" i="15"/>
  <c r="P48" i="15"/>
  <c r="S49" i="15"/>
  <c r="Q51" i="15"/>
  <c r="T52" i="15"/>
  <c r="R54" i="15"/>
  <c r="P56" i="15"/>
  <c r="S57" i="15"/>
  <c r="Q59" i="15"/>
  <c r="T60" i="15"/>
  <c r="R62" i="15"/>
  <c r="P64" i="15"/>
  <c r="S65" i="15"/>
  <c r="Q67" i="15"/>
  <c r="Q70" i="15"/>
  <c r="Q134" i="15"/>
  <c r="Q198" i="15"/>
  <c r="T77" i="15"/>
  <c r="S77" i="15"/>
  <c r="R77" i="15"/>
  <c r="P77" i="15"/>
  <c r="T141" i="15"/>
  <c r="S141" i="15"/>
  <c r="R141" i="15"/>
  <c r="Q141" i="15"/>
  <c r="P141" i="15"/>
  <c r="T197" i="15"/>
  <c r="S197" i="15"/>
  <c r="R197" i="15"/>
  <c r="Q197" i="15"/>
  <c r="P197" i="15"/>
  <c r="S71" i="15"/>
  <c r="R71" i="15"/>
  <c r="P71" i="15"/>
  <c r="S79" i="15"/>
  <c r="R79" i="15"/>
  <c r="Q79" i="15"/>
  <c r="P79" i="15"/>
  <c r="S87" i="15"/>
  <c r="R87" i="15"/>
  <c r="Q87" i="15"/>
  <c r="P87" i="15"/>
  <c r="S95" i="15"/>
  <c r="R95" i="15"/>
  <c r="Q95" i="15"/>
  <c r="P95" i="15"/>
  <c r="S103" i="15"/>
  <c r="R103" i="15"/>
  <c r="Q103" i="15"/>
  <c r="P103" i="15"/>
  <c r="S111" i="15"/>
  <c r="R111" i="15"/>
  <c r="Q111" i="15"/>
  <c r="P111" i="15"/>
  <c r="S119" i="15"/>
  <c r="R119" i="15"/>
  <c r="Q119" i="15"/>
  <c r="P119" i="15"/>
  <c r="S127" i="15"/>
  <c r="R127" i="15"/>
  <c r="Q127" i="15"/>
  <c r="P127" i="15"/>
  <c r="S135" i="15"/>
  <c r="R135" i="15"/>
  <c r="Q135" i="15"/>
  <c r="P135" i="15"/>
  <c r="S143" i="15"/>
  <c r="R143" i="15"/>
  <c r="Q143" i="15"/>
  <c r="P143" i="15"/>
  <c r="S151" i="15"/>
  <c r="R151" i="15"/>
  <c r="Q151" i="15"/>
  <c r="P151" i="15"/>
  <c r="S159" i="15"/>
  <c r="R159" i="15"/>
  <c r="Q159" i="15"/>
  <c r="P159" i="15"/>
  <c r="S167" i="15"/>
  <c r="R167" i="15"/>
  <c r="Q167" i="15"/>
  <c r="P167" i="15"/>
  <c r="S175" i="15"/>
  <c r="R175" i="15"/>
  <c r="Q175" i="15"/>
  <c r="P175" i="15"/>
  <c r="S183" i="15"/>
  <c r="R183" i="15"/>
  <c r="Q183" i="15"/>
  <c r="P183" i="15"/>
  <c r="S191" i="15"/>
  <c r="R191" i="15"/>
  <c r="Q191" i="15"/>
  <c r="P191" i="15"/>
  <c r="S199" i="15"/>
  <c r="R199" i="15"/>
  <c r="Q199" i="15"/>
  <c r="P199" i="15"/>
  <c r="R4" i="15"/>
  <c r="P6" i="15"/>
  <c r="S7" i="15"/>
  <c r="Q9" i="15"/>
  <c r="T10" i="15"/>
  <c r="P13" i="15"/>
  <c r="S14" i="15"/>
  <c r="Q16" i="15"/>
  <c r="T17" i="15"/>
  <c r="R19" i="15"/>
  <c r="P21" i="15"/>
  <c r="S22" i="15"/>
  <c r="Q24" i="15"/>
  <c r="T25" i="15"/>
  <c r="R27" i="15"/>
  <c r="P29" i="15"/>
  <c r="S30" i="15"/>
  <c r="Q32" i="15"/>
  <c r="T33" i="15"/>
  <c r="R35" i="15"/>
  <c r="P37" i="15"/>
  <c r="S38" i="15"/>
  <c r="Q40" i="15"/>
  <c r="T41" i="15"/>
  <c r="R43" i="15"/>
  <c r="P45" i="15"/>
  <c r="S46" i="15"/>
  <c r="Q48" i="15"/>
  <c r="T49" i="15"/>
  <c r="R51" i="15"/>
  <c r="P53" i="15"/>
  <c r="S54" i="15"/>
  <c r="Q56" i="15"/>
  <c r="T57" i="15"/>
  <c r="R59" i="15"/>
  <c r="P61" i="15"/>
  <c r="S62" i="15"/>
  <c r="Q64" i="15"/>
  <c r="T65" i="15"/>
  <c r="R67" i="15"/>
  <c r="T70" i="15"/>
  <c r="Q110" i="15"/>
  <c r="T135" i="15"/>
  <c r="Q174" i="15"/>
  <c r="T199" i="15"/>
  <c r="T69" i="15"/>
  <c r="R69" i="15"/>
  <c r="P69" i="15"/>
  <c r="T125" i="15"/>
  <c r="S125" i="15"/>
  <c r="R125" i="15"/>
  <c r="Q125" i="15"/>
  <c r="P125" i="15"/>
  <c r="T173" i="15"/>
  <c r="S173" i="15"/>
  <c r="R173" i="15"/>
  <c r="Q173" i="15"/>
  <c r="P173" i="15"/>
  <c r="S69" i="15"/>
  <c r="T72" i="15"/>
  <c r="S72" i="15"/>
  <c r="Q72" i="15"/>
  <c r="P72" i="15"/>
  <c r="T80" i="15"/>
  <c r="S80" i="15"/>
  <c r="Q80" i="15"/>
  <c r="P80" i="15"/>
  <c r="T88" i="15"/>
  <c r="S88" i="15"/>
  <c r="R88" i="15"/>
  <c r="Q88" i="15"/>
  <c r="P88" i="15"/>
  <c r="T96" i="15"/>
  <c r="S96" i="15"/>
  <c r="R96" i="15"/>
  <c r="Q96" i="15"/>
  <c r="P96" i="15"/>
  <c r="T104" i="15"/>
  <c r="S104" i="15"/>
  <c r="R104" i="15"/>
  <c r="Q104" i="15"/>
  <c r="P104" i="15"/>
  <c r="T112" i="15"/>
  <c r="S112" i="15"/>
  <c r="R112" i="15"/>
  <c r="Q112" i="15"/>
  <c r="P112" i="15"/>
  <c r="T120" i="15"/>
  <c r="S120" i="15"/>
  <c r="R120" i="15"/>
  <c r="Q120" i="15"/>
  <c r="P120" i="15"/>
  <c r="T128" i="15"/>
  <c r="S128" i="15"/>
  <c r="R128" i="15"/>
  <c r="Q128" i="15"/>
  <c r="P128" i="15"/>
  <c r="T136" i="15"/>
  <c r="S136" i="15"/>
  <c r="R136" i="15"/>
  <c r="Q136" i="15"/>
  <c r="P136" i="15"/>
  <c r="T144" i="15"/>
  <c r="S144" i="15"/>
  <c r="R144" i="15"/>
  <c r="Q144" i="15"/>
  <c r="P144" i="15"/>
  <c r="T152" i="15"/>
  <c r="S152" i="15"/>
  <c r="R152" i="15"/>
  <c r="Q152" i="15"/>
  <c r="P152" i="15"/>
  <c r="T160" i="15"/>
  <c r="S160" i="15"/>
  <c r="R160" i="15"/>
  <c r="Q160" i="15"/>
  <c r="P160" i="15"/>
  <c r="T168" i="15"/>
  <c r="S168" i="15"/>
  <c r="R168" i="15"/>
  <c r="Q168" i="15"/>
  <c r="P168" i="15"/>
  <c r="T176" i="15"/>
  <c r="S176" i="15"/>
  <c r="R176" i="15"/>
  <c r="Q176" i="15"/>
  <c r="P176" i="15"/>
  <c r="T184" i="15"/>
  <c r="S184" i="15"/>
  <c r="R184" i="15"/>
  <c r="Q184" i="15"/>
  <c r="P184" i="15"/>
  <c r="T192" i="15"/>
  <c r="S192" i="15"/>
  <c r="R192" i="15"/>
  <c r="Q192" i="15"/>
  <c r="P192" i="15"/>
  <c r="T200" i="15"/>
  <c r="S200" i="15"/>
  <c r="R200" i="15"/>
  <c r="Q200" i="15"/>
  <c r="P200" i="15"/>
  <c r="S4" i="15"/>
  <c r="Q6" i="15"/>
  <c r="T7" i="15"/>
  <c r="R9" i="15"/>
  <c r="P11" i="15"/>
  <c r="Q13" i="15"/>
  <c r="T14" i="15"/>
  <c r="R16" i="15"/>
  <c r="P18" i="15"/>
  <c r="S19" i="15"/>
  <c r="Q21" i="15"/>
  <c r="T22" i="15"/>
  <c r="R24" i="15"/>
  <c r="P26" i="15"/>
  <c r="S27" i="15"/>
  <c r="Q29" i="15"/>
  <c r="T30" i="15"/>
  <c r="R32" i="15"/>
  <c r="P34" i="15"/>
  <c r="S35" i="15"/>
  <c r="Q37" i="15"/>
  <c r="T38" i="15"/>
  <c r="R40" i="15"/>
  <c r="P42" i="15"/>
  <c r="S43" i="15"/>
  <c r="Q45" i="15"/>
  <c r="T46" i="15"/>
  <c r="R48" i="15"/>
  <c r="P50" i="15"/>
  <c r="S51" i="15"/>
  <c r="Q53" i="15"/>
  <c r="T54" i="15"/>
  <c r="R56" i="15"/>
  <c r="P58" i="15"/>
  <c r="S59" i="15"/>
  <c r="Q61" i="15"/>
  <c r="T62" i="15"/>
  <c r="R64" i="15"/>
  <c r="P66" i="15"/>
  <c r="S67" i="15"/>
  <c r="Q71" i="15"/>
  <c r="Q77" i="15"/>
  <c r="Q86" i="15"/>
  <c r="T111" i="15"/>
  <c r="Q150" i="15"/>
  <c r="T175" i="15"/>
  <c r="T117" i="15"/>
  <c r="S117" i="15"/>
  <c r="R117" i="15"/>
  <c r="Q117" i="15"/>
  <c r="P117" i="15"/>
  <c r="T189" i="15"/>
  <c r="S189" i="15"/>
  <c r="R189" i="15"/>
  <c r="Q189" i="15"/>
  <c r="P189" i="15"/>
  <c r="Q73" i="15"/>
  <c r="P73" i="15"/>
  <c r="T73" i="15"/>
  <c r="S73" i="15"/>
  <c r="Q81" i="15"/>
  <c r="P81" i="15"/>
  <c r="T81" i="15"/>
  <c r="S81" i="15"/>
  <c r="Q89" i="15"/>
  <c r="P89" i="15"/>
  <c r="T89" i="15"/>
  <c r="S89" i="15"/>
  <c r="Q97" i="15"/>
  <c r="P97" i="15"/>
  <c r="T97" i="15"/>
  <c r="S97" i="15"/>
  <c r="Q105" i="15"/>
  <c r="P105" i="15"/>
  <c r="T105" i="15"/>
  <c r="S105" i="15"/>
  <c r="Q113" i="15"/>
  <c r="P113" i="15"/>
  <c r="T113" i="15"/>
  <c r="S113" i="15"/>
  <c r="Q121" i="15"/>
  <c r="P121" i="15"/>
  <c r="T121" i="15"/>
  <c r="S121" i="15"/>
  <c r="Q129" i="15"/>
  <c r="P129" i="15"/>
  <c r="T129" i="15"/>
  <c r="S129" i="15"/>
  <c r="Q137" i="15"/>
  <c r="P137" i="15"/>
  <c r="T137" i="15"/>
  <c r="S137" i="15"/>
  <c r="Q145" i="15"/>
  <c r="P145" i="15"/>
  <c r="T145" i="15"/>
  <c r="S145" i="15"/>
  <c r="Q153" i="15"/>
  <c r="P153" i="15"/>
  <c r="T153" i="15"/>
  <c r="S153" i="15"/>
  <c r="Q161" i="15"/>
  <c r="P161" i="15"/>
  <c r="T161" i="15"/>
  <c r="S161" i="15"/>
  <c r="Q169" i="15"/>
  <c r="P169" i="15"/>
  <c r="T169" i="15"/>
  <c r="S169" i="15"/>
  <c r="Q177" i="15"/>
  <c r="P177" i="15"/>
  <c r="T177" i="15"/>
  <c r="S177" i="15"/>
  <c r="Q185" i="15"/>
  <c r="P185" i="15"/>
  <c r="T185" i="15"/>
  <c r="S185" i="15"/>
  <c r="Q193" i="15"/>
  <c r="P193" i="15"/>
  <c r="T193" i="15"/>
  <c r="S193" i="15"/>
  <c r="Q201" i="15"/>
  <c r="P201" i="15"/>
  <c r="T201" i="15"/>
  <c r="S201" i="15"/>
  <c r="R6" i="15"/>
  <c r="P8" i="15"/>
  <c r="S9" i="15"/>
  <c r="Q11" i="15"/>
  <c r="R13" i="15"/>
  <c r="P15" i="15"/>
  <c r="S16" i="15"/>
  <c r="Q18" i="15"/>
  <c r="R21" i="15"/>
  <c r="P23" i="15"/>
  <c r="S24" i="15"/>
  <c r="Q26" i="15"/>
  <c r="R29" i="15"/>
  <c r="P31" i="15"/>
  <c r="S32" i="15"/>
  <c r="Q34" i="15"/>
  <c r="R37" i="15"/>
  <c r="P39" i="15"/>
  <c r="S40" i="15"/>
  <c r="Q42" i="15"/>
  <c r="R45" i="15"/>
  <c r="P47" i="15"/>
  <c r="S48" i="15"/>
  <c r="Q50" i="15"/>
  <c r="R53" i="15"/>
  <c r="P55" i="15"/>
  <c r="S56" i="15"/>
  <c r="Q58" i="15"/>
  <c r="R61" i="15"/>
  <c r="P63" i="15"/>
  <c r="S64" i="15"/>
  <c r="Q66" i="15"/>
  <c r="T71" i="15"/>
  <c r="Q78" i="15"/>
  <c r="T87" i="15"/>
  <c r="R113" i="15"/>
  <c r="Q126" i="15"/>
  <c r="T151" i="15"/>
  <c r="R177" i="15"/>
  <c r="Q190" i="15"/>
  <c r="T109" i="15"/>
  <c r="S109" i="15"/>
  <c r="R109" i="15"/>
  <c r="Q109" i="15"/>
  <c r="P109" i="15"/>
  <c r="T165" i="15"/>
  <c r="S165" i="15"/>
  <c r="R165" i="15"/>
  <c r="Q165" i="15"/>
  <c r="P165" i="15"/>
  <c r="T74" i="15"/>
  <c r="S74" i="15"/>
  <c r="R74" i="15"/>
  <c r="Q74" i="15"/>
  <c r="T82" i="15"/>
  <c r="S82" i="15"/>
  <c r="R82" i="15"/>
  <c r="Q82" i="15"/>
  <c r="P82" i="15"/>
  <c r="T90" i="15"/>
  <c r="S90" i="15"/>
  <c r="R90" i="15"/>
  <c r="Q90" i="15"/>
  <c r="P90" i="15"/>
  <c r="T98" i="15"/>
  <c r="S98" i="15"/>
  <c r="R98" i="15"/>
  <c r="Q98" i="15"/>
  <c r="P98" i="15"/>
  <c r="T106" i="15"/>
  <c r="S106" i="15"/>
  <c r="R106" i="15"/>
  <c r="Q106" i="15"/>
  <c r="P106" i="15"/>
  <c r="T114" i="15"/>
  <c r="S114" i="15"/>
  <c r="R114" i="15"/>
  <c r="Q114" i="15"/>
  <c r="P114" i="15"/>
  <c r="T122" i="15"/>
  <c r="S122" i="15"/>
  <c r="R122" i="15"/>
  <c r="Q122" i="15"/>
  <c r="P122" i="15"/>
  <c r="T130" i="15"/>
  <c r="S130" i="15"/>
  <c r="R130" i="15"/>
  <c r="Q130" i="15"/>
  <c r="P130" i="15"/>
  <c r="T138" i="15"/>
  <c r="S138" i="15"/>
  <c r="R138" i="15"/>
  <c r="Q138" i="15"/>
  <c r="P138" i="15"/>
  <c r="T146" i="15"/>
  <c r="S146" i="15"/>
  <c r="R146" i="15"/>
  <c r="Q146" i="15"/>
  <c r="P146" i="15"/>
  <c r="T154" i="15"/>
  <c r="S154" i="15"/>
  <c r="R154" i="15"/>
  <c r="Q154" i="15"/>
  <c r="P154" i="15"/>
  <c r="T162" i="15"/>
  <c r="S162" i="15"/>
  <c r="R162" i="15"/>
  <c r="Q162" i="15"/>
  <c r="P162" i="15"/>
  <c r="T170" i="15"/>
  <c r="S170" i="15"/>
  <c r="R170" i="15"/>
  <c r="Q170" i="15"/>
  <c r="P170" i="15"/>
  <c r="T178" i="15"/>
  <c r="S178" i="15"/>
  <c r="R178" i="15"/>
  <c r="Q178" i="15"/>
  <c r="P178" i="15"/>
  <c r="T186" i="15"/>
  <c r="S186" i="15"/>
  <c r="R186" i="15"/>
  <c r="Q186" i="15"/>
  <c r="P186" i="15"/>
  <c r="T194" i="15"/>
  <c r="S194" i="15"/>
  <c r="R194" i="15"/>
  <c r="Q194" i="15"/>
  <c r="P194" i="15"/>
  <c r="T202" i="15"/>
  <c r="S202" i="15"/>
  <c r="R202" i="15"/>
  <c r="Q202" i="15"/>
  <c r="P202" i="15"/>
  <c r="P5" i="15"/>
  <c r="S6" i="15"/>
  <c r="Q8" i="15"/>
  <c r="R11" i="15"/>
  <c r="P12" i="15"/>
  <c r="S13" i="15"/>
  <c r="Q15" i="15"/>
  <c r="R18" i="15"/>
  <c r="P20" i="15"/>
  <c r="S21" i="15"/>
  <c r="Q23" i="15"/>
  <c r="R26" i="15"/>
  <c r="P28" i="15"/>
  <c r="S29" i="15"/>
  <c r="Q31" i="15"/>
  <c r="R34" i="15"/>
  <c r="P36" i="15"/>
  <c r="S37" i="15"/>
  <c r="Q39" i="15"/>
  <c r="R42" i="15"/>
  <c r="P44" i="15"/>
  <c r="S45" i="15"/>
  <c r="Q47" i="15"/>
  <c r="R50" i="15"/>
  <c r="P52" i="15"/>
  <c r="S53" i="15"/>
  <c r="Q55" i="15"/>
  <c r="R58" i="15"/>
  <c r="P60" i="15"/>
  <c r="S61" i="15"/>
  <c r="Q63" i="15"/>
  <c r="R66" i="15"/>
  <c r="P68" i="15"/>
  <c r="R72" i="15"/>
  <c r="T78" i="15"/>
  <c r="R89" i="15"/>
  <c r="Q102" i="15"/>
  <c r="T127" i="15"/>
  <c r="R153" i="15"/>
  <c r="Q166" i="15"/>
  <c r="T191" i="15"/>
  <c r="T85" i="15"/>
  <c r="S85" i="15"/>
  <c r="R85" i="15"/>
  <c r="Q85" i="15"/>
  <c r="P85" i="15"/>
  <c r="T133" i="15"/>
  <c r="S133" i="15"/>
  <c r="R133" i="15"/>
  <c r="Q133" i="15"/>
  <c r="P133" i="15"/>
  <c r="T181" i="15"/>
  <c r="S181" i="15"/>
  <c r="R181" i="15"/>
  <c r="Q181" i="15"/>
  <c r="P181" i="15"/>
  <c r="T75" i="15"/>
  <c r="R75" i="15"/>
  <c r="Q75" i="15"/>
  <c r="T83" i="15"/>
  <c r="S83" i="15"/>
  <c r="R83" i="15"/>
  <c r="Q83" i="15"/>
  <c r="T91" i="15"/>
  <c r="S91" i="15"/>
  <c r="R91" i="15"/>
  <c r="Q91" i="15"/>
  <c r="T99" i="15"/>
  <c r="S99" i="15"/>
  <c r="R99" i="15"/>
  <c r="Q99" i="15"/>
  <c r="T107" i="15"/>
  <c r="S107" i="15"/>
  <c r="R107" i="15"/>
  <c r="Q107" i="15"/>
  <c r="T115" i="15"/>
  <c r="S115" i="15"/>
  <c r="R115" i="15"/>
  <c r="Q115" i="15"/>
  <c r="T123" i="15"/>
  <c r="S123" i="15"/>
  <c r="R123" i="15"/>
  <c r="Q123" i="15"/>
  <c r="T131" i="15"/>
  <c r="S131" i="15"/>
  <c r="R131" i="15"/>
  <c r="Q131" i="15"/>
  <c r="T139" i="15"/>
  <c r="S139" i="15"/>
  <c r="R139" i="15"/>
  <c r="Q139" i="15"/>
  <c r="T147" i="15"/>
  <c r="S147" i="15"/>
  <c r="R147" i="15"/>
  <c r="Q147" i="15"/>
  <c r="T155" i="15"/>
  <c r="S155" i="15"/>
  <c r="R155" i="15"/>
  <c r="Q155" i="15"/>
  <c r="T163" i="15"/>
  <c r="S163" i="15"/>
  <c r="R163" i="15"/>
  <c r="Q163" i="15"/>
  <c r="T171" i="15"/>
  <c r="S171" i="15"/>
  <c r="R171" i="15"/>
  <c r="Q171" i="15"/>
  <c r="T179" i="15"/>
  <c r="S179" i="15"/>
  <c r="R179" i="15"/>
  <c r="Q179" i="15"/>
  <c r="T187" i="15"/>
  <c r="S187" i="15"/>
  <c r="R187" i="15"/>
  <c r="Q187" i="15"/>
  <c r="T195" i="15"/>
  <c r="S195" i="15"/>
  <c r="R195" i="15"/>
  <c r="Q195" i="15"/>
  <c r="T203" i="15"/>
  <c r="S203" i="15"/>
  <c r="R203" i="15"/>
  <c r="Q203" i="15"/>
  <c r="Q5" i="15"/>
  <c r="R8" i="15"/>
  <c r="P10" i="15"/>
  <c r="S11" i="15"/>
  <c r="Q12" i="15"/>
  <c r="R15" i="15"/>
  <c r="P17" i="15"/>
  <c r="S18" i="15"/>
  <c r="Q20" i="15"/>
  <c r="R23" i="15"/>
  <c r="P25" i="15"/>
  <c r="S26" i="15"/>
  <c r="Q28" i="15"/>
  <c r="R31" i="15"/>
  <c r="P33" i="15"/>
  <c r="S34" i="15"/>
  <c r="Q36" i="15"/>
  <c r="R39" i="15"/>
  <c r="P41" i="15"/>
  <c r="S42" i="15"/>
  <c r="Q44" i="15"/>
  <c r="R47" i="15"/>
  <c r="P49" i="15"/>
  <c r="S50" i="15"/>
  <c r="Q52" i="15"/>
  <c r="R55" i="15"/>
  <c r="P57" i="15"/>
  <c r="S58" i="15"/>
  <c r="Q60" i="15"/>
  <c r="R63" i="15"/>
  <c r="P65" i="15"/>
  <c r="U65" i="15" s="1"/>
  <c r="S66" i="15"/>
  <c r="R73" i="15"/>
  <c r="T79" i="15"/>
  <c r="P91" i="15"/>
  <c r="T103" i="15"/>
  <c r="R129" i="15"/>
  <c r="Q142" i="15"/>
  <c r="P155" i="15"/>
  <c r="T167" i="15"/>
  <c r="R193" i="15"/>
  <c r="T101" i="15"/>
  <c r="S101" i="15"/>
  <c r="R101" i="15"/>
  <c r="Q101" i="15"/>
  <c r="P101" i="15"/>
  <c r="T157" i="15"/>
  <c r="S157" i="15"/>
  <c r="R157" i="15"/>
  <c r="Q157" i="15"/>
  <c r="P157" i="15"/>
  <c r="R68" i="15"/>
  <c r="Q68" i="15"/>
  <c r="T68" i="15"/>
  <c r="R76" i="15"/>
  <c r="Q76" i="15"/>
  <c r="P76" i="15"/>
  <c r="T76" i="15"/>
  <c r="R84" i="15"/>
  <c r="Q84" i="15"/>
  <c r="P84" i="15"/>
  <c r="T84" i="15"/>
  <c r="R92" i="15"/>
  <c r="Q92" i="15"/>
  <c r="P92" i="15"/>
  <c r="T92" i="15"/>
  <c r="R100" i="15"/>
  <c r="Q100" i="15"/>
  <c r="P100" i="15"/>
  <c r="T100" i="15"/>
  <c r="R108" i="15"/>
  <c r="Q108" i="15"/>
  <c r="P108" i="15"/>
  <c r="T108" i="15"/>
  <c r="R116" i="15"/>
  <c r="Q116" i="15"/>
  <c r="P116" i="15"/>
  <c r="T116" i="15"/>
  <c r="R124" i="15"/>
  <c r="Q124" i="15"/>
  <c r="P124" i="15"/>
  <c r="T124" i="15"/>
  <c r="R132" i="15"/>
  <c r="Q132" i="15"/>
  <c r="P132" i="15"/>
  <c r="T132" i="15"/>
  <c r="R140" i="15"/>
  <c r="Q140" i="15"/>
  <c r="P140" i="15"/>
  <c r="T140" i="15"/>
  <c r="R148" i="15"/>
  <c r="Q148" i="15"/>
  <c r="P148" i="15"/>
  <c r="T148" i="15"/>
  <c r="R156" i="15"/>
  <c r="Q156" i="15"/>
  <c r="P156" i="15"/>
  <c r="T156" i="15"/>
  <c r="R164" i="15"/>
  <c r="Q164" i="15"/>
  <c r="P164" i="15"/>
  <c r="T164" i="15"/>
  <c r="R172" i="15"/>
  <c r="Q172" i="15"/>
  <c r="P172" i="15"/>
  <c r="T172" i="15"/>
  <c r="R180" i="15"/>
  <c r="Q180" i="15"/>
  <c r="P180" i="15"/>
  <c r="T180" i="15"/>
  <c r="R188" i="15"/>
  <c r="Q188" i="15"/>
  <c r="P188" i="15"/>
  <c r="T188" i="15"/>
  <c r="R196" i="15"/>
  <c r="Q196" i="15"/>
  <c r="P196" i="15"/>
  <c r="T196" i="15"/>
  <c r="Q69" i="15"/>
  <c r="P74" i="15"/>
  <c r="R80" i="15"/>
  <c r="S92" i="15"/>
  <c r="R105" i="15"/>
  <c r="Q118" i="15"/>
  <c r="P131" i="15"/>
  <c r="T143" i="15"/>
  <c r="S156" i="15"/>
  <c r="R169" i="15"/>
  <c r="Q182" i="15"/>
  <c r="P195" i="15"/>
  <c r="W87" i="19"/>
  <c r="V87" i="19"/>
  <c r="U87" i="19"/>
  <c r="T87" i="19"/>
  <c r="S87" i="19"/>
  <c r="R87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U217" i="15" l="1"/>
  <c r="U265" i="15"/>
  <c r="U225" i="15"/>
  <c r="U209" i="15"/>
  <c r="U257" i="15"/>
  <c r="U49" i="15"/>
  <c r="U57" i="15"/>
  <c r="U41" i="15"/>
  <c r="U74" i="15"/>
  <c r="U33" i="15"/>
  <c r="U25" i="15"/>
  <c r="U197" i="15"/>
  <c r="U187" i="15"/>
  <c r="U171" i="15"/>
  <c r="U139" i="15"/>
  <c r="U123" i="15"/>
  <c r="U107" i="15"/>
  <c r="U133" i="15"/>
  <c r="U194" i="15"/>
  <c r="U130" i="15"/>
  <c r="U184" i="15"/>
  <c r="U120" i="15"/>
  <c r="U38" i="15"/>
  <c r="U241" i="15"/>
  <c r="U203" i="15"/>
  <c r="U179" i="15"/>
  <c r="U163" i="15"/>
  <c r="U147" i="15"/>
  <c r="U115" i="15"/>
  <c r="U99" i="15"/>
  <c r="U83" i="15"/>
  <c r="U281" i="15"/>
  <c r="U46" i="15"/>
  <c r="U7" i="15"/>
  <c r="U54" i="15"/>
  <c r="U206" i="15"/>
  <c r="U254" i="15"/>
  <c r="U14" i="15"/>
  <c r="U278" i="15"/>
  <c r="U17" i="15"/>
  <c r="U214" i="15"/>
  <c r="U262" i="15"/>
  <c r="U238" i="15"/>
  <c r="U30" i="15"/>
  <c r="U286" i="15"/>
  <c r="U131" i="15"/>
  <c r="U62" i="15"/>
  <c r="U22" i="15"/>
  <c r="U246" i="15"/>
  <c r="U222" i="15"/>
  <c r="U270" i="15"/>
  <c r="U10" i="15"/>
  <c r="U230" i="15"/>
  <c r="U157" i="15"/>
  <c r="U91" i="15"/>
  <c r="U188" i="15"/>
  <c r="U172" i="15"/>
  <c r="U156" i="15"/>
  <c r="U140" i="15"/>
  <c r="U124" i="15"/>
  <c r="U108" i="15"/>
  <c r="U92" i="15"/>
  <c r="U76" i="15"/>
  <c r="U170" i="15"/>
  <c r="U106" i="15"/>
  <c r="U165" i="15"/>
  <c r="U55" i="15"/>
  <c r="U39" i="15"/>
  <c r="U23" i="15"/>
  <c r="U8" i="15"/>
  <c r="U193" i="15"/>
  <c r="U177" i="15"/>
  <c r="U161" i="15"/>
  <c r="U145" i="15"/>
  <c r="U129" i="15"/>
  <c r="U113" i="15"/>
  <c r="U97" i="15"/>
  <c r="U81" i="15"/>
  <c r="U26" i="15"/>
  <c r="U160" i="15"/>
  <c r="U96" i="15"/>
  <c r="U125" i="15"/>
  <c r="U37" i="15"/>
  <c r="U32" i="15"/>
  <c r="U51" i="15"/>
  <c r="U75" i="15"/>
  <c r="U223" i="15"/>
  <c r="U207" i="15"/>
  <c r="U208" i="15"/>
  <c r="U226" i="15"/>
  <c r="U253" i="15"/>
  <c r="U240" i="15"/>
  <c r="U227" i="15"/>
  <c r="U50" i="15"/>
  <c r="U61" i="15"/>
  <c r="U56" i="15"/>
  <c r="U78" i="15"/>
  <c r="U250" i="15"/>
  <c r="U277" i="15"/>
  <c r="U264" i="15"/>
  <c r="U251" i="15"/>
  <c r="U155" i="15"/>
  <c r="U154" i="15"/>
  <c r="U90" i="15"/>
  <c r="U11" i="15"/>
  <c r="U144" i="15"/>
  <c r="U80" i="15"/>
  <c r="U21" i="15"/>
  <c r="U191" i="15"/>
  <c r="U175" i="15"/>
  <c r="U159" i="15"/>
  <c r="U143" i="15"/>
  <c r="U127" i="15"/>
  <c r="U111" i="15"/>
  <c r="U95" i="15"/>
  <c r="U79" i="15"/>
  <c r="U16" i="15"/>
  <c r="U190" i="15"/>
  <c r="U174" i="15"/>
  <c r="U158" i="15"/>
  <c r="U142" i="15"/>
  <c r="U126" i="15"/>
  <c r="U110" i="15"/>
  <c r="U94" i="15"/>
  <c r="U93" i="15"/>
  <c r="U43" i="15"/>
  <c r="U212" i="15"/>
  <c r="U221" i="15"/>
  <c r="U287" i="15"/>
  <c r="U271" i="15"/>
  <c r="U255" i="15"/>
  <c r="U239" i="15"/>
  <c r="U274" i="15"/>
  <c r="U237" i="15"/>
  <c r="U288" i="15"/>
  <c r="U275" i="15"/>
  <c r="U101" i="15"/>
  <c r="U68" i="15"/>
  <c r="U52" i="15"/>
  <c r="U36" i="15"/>
  <c r="U20" i="15"/>
  <c r="U5" i="15"/>
  <c r="U178" i="15"/>
  <c r="U114" i="15"/>
  <c r="U117" i="15"/>
  <c r="U34" i="15"/>
  <c r="U168" i="15"/>
  <c r="U104" i="15"/>
  <c r="U173" i="15"/>
  <c r="U45" i="15"/>
  <c r="U77" i="15"/>
  <c r="U40" i="15"/>
  <c r="U35" i="15"/>
  <c r="U4" i="15"/>
  <c r="U210" i="15"/>
  <c r="U216" i="15"/>
  <c r="U284" i="15"/>
  <c r="U268" i="15"/>
  <c r="U252" i="15"/>
  <c r="U236" i="15"/>
  <c r="U234" i="15"/>
  <c r="U261" i="15"/>
  <c r="U248" i="15"/>
  <c r="U235" i="15"/>
  <c r="U196" i="15"/>
  <c r="U180" i="15"/>
  <c r="U164" i="15"/>
  <c r="U148" i="15"/>
  <c r="U132" i="15"/>
  <c r="U116" i="15"/>
  <c r="U100" i="15"/>
  <c r="U84" i="15"/>
  <c r="U181" i="15"/>
  <c r="U202" i="15"/>
  <c r="U138" i="15"/>
  <c r="U63" i="15"/>
  <c r="U47" i="15"/>
  <c r="U31" i="15"/>
  <c r="U15" i="15"/>
  <c r="U201" i="15"/>
  <c r="U185" i="15"/>
  <c r="U169" i="15"/>
  <c r="U153" i="15"/>
  <c r="U137" i="15"/>
  <c r="U121" i="15"/>
  <c r="U105" i="15"/>
  <c r="U89" i="15"/>
  <c r="U73" i="15"/>
  <c r="U58" i="15"/>
  <c r="U192" i="15"/>
  <c r="U128" i="15"/>
  <c r="U6" i="15"/>
  <c r="U64" i="15"/>
  <c r="U70" i="15"/>
  <c r="U215" i="15"/>
  <c r="U205" i="15"/>
  <c r="U211" i="15"/>
  <c r="U258" i="15"/>
  <c r="U285" i="15"/>
  <c r="U272" i="15"/>
  <c r="U259" i="15"/>
  <c r="U162" i="15"/>
  <c r="U98" i="15"/>
  <c r="U109" i="15"/>
  <c r="U18" i="15"/>
  <c r="U152" i="15"/>
  <c r="U88" i="15"/>
  <c r="U69" i="15"/>
  <c r="U29" i="15"/>
  <c r="U24" i="15"/>
  <c r="U149" i="15"/>
  <c r="U282" i="15"/>
  <c r="U245" i="15"/>
  <c r="U232" i="15"/>
  <c r="U283" i="15"/>
  <c r="U85" i="15"/>
  <c r="U186" i="15"/>
  <c r="U122" i="15"/>
  <c r="U189" i="15"/>
  <c r="U42" i="15"/>
  <c r="U176" i="15"/>
  <c r="U112" i="15"/>
  <c r="U72" i="15"/>
  <c r="U53" i="15"/>
  <c r="U199" i="15"/>
  <c r="U183" i="15"/>
  <c r="U167" i="15"/>
  <c r="U151" i="15"/>
  <c r="U135" i="15"/>
  <c r="U119" i="15"/>
  <c r="U103" i="15"/>
  <c r="U87" i="15"/>
  <c r="U71" i="15"/>
  <c r="U141" i="15"/>
  <c r="U48" i="15"/>
  <c r="U198" i="15"/>
  <c r="U182" i="15"/>
  <c r="U166" i="15"/>
  <c r="U150" i="15"/>
  <c r="U134" i="15"/>
  <c r="U118" i="15"/>
  <c r="U102" i="15"/>
  <c r="U86" i="15"/>
  <c r="U59" i="15"/>
  <c r="U19" i="15"/>
  <c r="U67" i="15"/>
  <c r="U220" i="15"/>
  <c r="U204" i="15"/>
  <c r="U218" i="15"/>
  <c r="U224" i="15"/>
  <c r="U279" i="15"/>
  <c r="U263" i="15"/>
  <c r="U247" i="15"/>
  <c r="U231" i="15"/>
  <c r="U242" i="15"/>
  <c r="U269" i="15"/>
  <c r="U256" i="15"/>
  <c r="U243" i="15"/>
  <c r="U195" i="15"/>
  <c r="U60" i="15"/>
  <c r="U44" i="15"/>
  <c r="U28" i="15"/>
  <c r="U12" i="15"/>
  <c r="U146" i="15"/>
  <c r="U82" i="15"/>
  <c r="U66" i="15"/>
  <c r="U200" i="15"/>
  <c r="U136" i="15"/>
  <c r="U13" i="15"/>
  <c r="U9" i="15"/>
  <c r="U27" i="15"/>
  <c r="U213" i="15"/>
  <c r="U219" i="15"/>
  <c r="U276" i="15"/>
  <c r="U260" i="15"/>
  <c r="U244" i="15"/>
  <c r="U228" i="15"/>
  <c r="U266" i="15"/>
  <c r="U229" i="15"/>
  <c r="U280" i="15"/>
  <c r="U267" i="15"/>
  <c r="C88" i="19"/>
  <c r="IG28" i="19"/>
  <c r="IF28" i="19"/>
  <c r="IE28" i="19"/>
  <c r="ID28" i="19"/>
  <c r="IC28" i="19"/>
  <c r="IB28" i="19"/>
  <c r="IA28" i="19"/>
  <c r="HZ28" i="19"/>
  <c r="HY28" i="19"/>
  <c r="HX28" i="19"/>
  <c r="HW28" i="19"/>
  <c r="HV28" i="19"/>
  <c r="HU28" i="19"/>
  <c r="HT28" i="19"/>
  <c r="HS28" i="19"/>
  <c r="HR28" i="19"/>
  <c r="HQ28" i="19"/>
  <c r="HP28" i="19"/>
  <c r="HO28" i="19"/>
  <c r="HN28" i="19"/>
  <c r="HM28" i="19"/>
  <c r="HL28" i="19"/>
  <c r="HK28" i="19"/>
  <c r="HJ28" i="19"/>
  <c r="HI28" i="19"/>
  <c r="HH28" i="19"/>
  <c r="HG28" i="19"/>
  <c r="HF28" i="19"/>
  <c r="HE28" i="19"/>
  <c r="HD28" i="19"/>
  <c r="HC28" i="19"/>
  <c r="HB28" i="19"/>
  <c r="HA28" i="19"/>
  <c r="GZ28" i="19"/>
  <c r="GY28" i="19"/>
  <c r="GX28" i="19"/>
  <c r="GW28" i="19"/>
  <c r="GV28" i="19"/>
  <c r="GU28" i="19"/>
  <c r="GT28" i="19"/>
  <c r="GS28" i="19"/>
  <c r="GR28" i="19"/>
  <c r="GQ28" i="19"/>
  <c r="GP28" i="19"/>
  <c r="GO28" i="19"/>
  <c r="GN28" i="19"/>
  <c r="GM28" i="19"/>
  <c r="GL28" i="19"/>
  <c r="GK28" i="19"/>
  <c r="GJ28" i="19"/>
  <c r="GI28" i="19"/>
  <c r="GH28" i="19"/>
  <c r="GG28" i="19"/>
  <c r="GF28" i="19"/>
  <c r="GE28" i="19"/>
  <c r="GD28" i="19"/>
  <c r="GC28" i="19"/>
  <c r="GB28" i="19"/>
  <c r="GA28" i="19"/>
  <c r="FZ28" i="19"/>
  <c r="FY28" i="19"/>
  <c r="FX28" i="19"/>
  <c r="FW28" i="19"/>
  <c r="FV28" i="19"/>
  <c r="FU28" i="19"/>
  <c r="FT28" i="19"/>
  <c r="FS28" i="19"/>
  <c r="FR28" i="19"/>
  <c r="FQ28" i="19"/>
  <c r="FP28" i="19"/>
  <c r="FO28" i="19"/>
  <c r="FN28" i="19"/>
  <c r="FM28" i="19"/>
  <c r="FL28" i="19"/>
  <c r="FK28" i="19"/>
  <c r="FJ28" i="19"/>
  <c r="FI28" i="19"/>
  <c r="FH28" i="19"/>
  <c r="FG28" i="19"/>
  <c r="FF28" i="19"/>
  <c r="FE28" i="19"/>
  <c r="FD28" i="19"/>
  <c r="FC28" i="19"/>
  <c r="FB28" i="19"/>
  <c r="FA28" i="19"/>
  <c r="EZ28" i="19"/>
  <c r="EY28" i="19"/>
  <c r="EX28" i="19"/>
  <c r="EW28" i="19"/>
  <c r="EV28" i="19"/>
  <c r="EU28" i="19"/>
  <c r="ET28" i="19"/>
  <c r="ES28" i="19"/>
  <c r="ER28" i="19"/>
  <c r="EQ28" i="19"/>
  <c r="EP28" i="19"/>
  <c r="EO28" i="19"/>
  <c r="EN28" i="19"/>
  <c r="EM28" i="19"/>
  <c r="EL28" i="19"/>
  <c r="EK28" i="19"/>
  <c r="EJ28" i="19"/>
  <c r="EI28" i="19"/>
  <c r="EH28" i="19"/>
  <c r="EG28" i="19"/>
  <c r="EF28" i="19"/>
  <c r="EE28" i="19"/>
  <c r="ED28" i="19"/>
  <c r="EC28" i="19"/>
  <c r="EB28" i="19"/>
  <c r="EA28" i="19"/>
  <c r="DZ28" i="19"/>
  <c r="DY28" i="19"/>
  <c r="DX28" i="19"/>
  <c r="DW28" i="19"/>
  <c r="DV28" i="19"/>
  <c r="DU28" i="19"/>
  <c r="DT28" i="19"/>
  <c r="DS28" i="19"/>
  <c r="DR28" i="19"/>
  <c r="DQ28" i="19"/>
  <c r="DP28" i="19"/>
  <c r="DO28" i="19"/>
  <c r="DN28" i="19"/>
  <c r="DM28" i="19"/>
  <c r="DL28" i="19"/>
  <c r="DK28" i="19"/>
  <c r="DJ28" i="19"/>
  <c r="DI28" i="19"/>
  <c r="DH28" i="19"/>
  <c r="DG28" i="19"/>
  <c r="DF28" i="19"/>
  <c r="DE28" i="19"/>
  <c r="DD28" i="19"/>
  <c r="DC28" i="19"/>
  <c r="DB28" i="19"/>
  <c r="DA28" i="19"/>
  <c r="CZ28" i="19"/>
  <c r="CY28" i="19"/>
  <c r="CX28" i="19"/>
  <c r="CW28" i="19"/>
  <c r="CV28" i="19"/>
  <c r="CU28" i="19"/>
  <c r="CT28" i="19"/>
  <c r="CS28" i="19"/>
  <c r="CR28" i="19"/>
  <c r="CQ28" i="19"/>
  <c r="CP28" i="19"/>
  <c r="CO28" i="19"/>
  <c r="CN28" i="19"/>
  <c r="CM28" i="19"/>
  <c r="CL28" i="19"/>
  <c r="CK28" i="19"/>
  <c r="CJ28" i="19"/>
  <c r="CI28" i="19"/>
  <c r="CH28" i="19"/>
  <c r="CG28" i="19"/>
  <c r="CF28" i="19"/>
  <c r="CE28" i="19"/>
  <c r="CD28" i="19"/>
  <c r="CC28" i="19"/>
  <c r="CB28" i="19"/>
  <c r="CA28" i="19"/>
  <c r="BZ28" i="19"/>
  <c r="BY28" i="19"/>
  <c r="BX28" i="19"/>
  <c r="BW28" i="19"/>
  <c r="BV28" i="19"/>
  <c r="BU28" i="19"/>
  <c r="BT28" i="19"/>
  <c r="BS28" i="19"/>
  <c r="BR28" i="19"/>
  <c r="BQ28" i="19"/>
  <c r="BP28" i="19"/>
  <c r="BO28" i="19"/>
  <c r="BN28" i="19"/>
  <c r="BM28" i="19"/>
  <c r="BL28" i="19"/>
  <c r="BK28" i="19"/>
  <c r="BJ28" i="19"/>
  <c r="BI28" i="19"/>
  <c r="BH28" i="19"/>
  <c r="BG28" i="19"/>
  <c r="BF28" i="19"/>
  <c r="BE28" i="19"/>
  <c r="BD28" i="19"/>
  <c r="BC28" i="19"/>
  <c r="BB28" i="19"/>
  <c r="BA28" i="19"/>
  <c r="AZ28" i="19"/>
  <c r="AY28" i="19"/>
  <c r="AX28" i="19"/>
  <c r="AW28" i="19"/>
  <c r="AV28" i="19"/>
  <c r="AU28" i="19"/>
  <c r="AT28" i="19"/>
  <c r="AS28" i="19"/>
  <c r="AR28" i="19"/>
  <c r="AQ28" i="19"/>
  <c r="AP28" i="19"/>
  <c r="AO28" i="19"/>
  <c r="AN28" i="19"/>
  <c r="AM28" i="19"/>
  <c r="AL28" i="19"/>
  <c r="AK28" i="19"/>
  <c r="AJ28" i="19"/>
  <c r="AI28" i="19"/>
  <c r="AH28" i="19"/>
  <c r="AG28" i="19"/>
  <c r="AF28" i="19"/>
  <c r="AE28" i="19"/>
  <c r="AD28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AR85" i="19" l="1"/>
  <c r="AB86" i="19"/>
  <c r="AA86" i="19"/>
  <c r="AA85" i="19"/>
  <c r="AA83" i="19"/>
  <c r="AA82" i="19"/>
  <c r="AA81" i="19"/>
  <c r="AA80" i="19"/>
  <c r="AA84" i="19"/>
  <c r="AA79" i="19"/>
  <c r="B28" i="19"/>
  <c r="B60" i="19" s="1"/>
  <c r="AB85" i="19"/>
  <c r="AC84" i="19"/>
  <c r="AB69" i="19"/>
  <c r="AN81" i="19"/>
  <c r="AA74" i="19"/>
  <c r="AS84" i="19"/>
  <c r="AC81" i="19"/>
  <c r="AO84" i="19"/>
  <c r="AI83" i="19"/>
  <c r="AN83" i="19"/>
  <c r="AG86" i="19"/>
  <c r="AE71" i="19"/>
  <c r="AK78" i="19"/>
  <c r="AE78" i="19"/>
  <c r="AF76" i="19"/>
  <c r="AI76" i="19"/>
  <c r="AQ86" i="19"/>
  <c r="AM84" i="19"/>
  <c r="AE86" i="19"/>
  <c r="AH79" i="19"/>
  <c r="AI77" i="19"/>
  <c r="AD71" i="19"/>
  <c r="AF83" i="19"/>
  <c r="AQ84" i="19"/>
  <c r="AK86" i="19"/>
  <c r="AR84" i="19"/>
  <c r="AC71" i="19"/>
  <c r="AF72" i="19"/>
  <c r="AL83" i="19"/>
  <c r="AD78" i="19"/>
  <c r="AH85" i="19"/>
  <c r="AG72" i="19"/>
  <c r="AK85" i="19"/>
  <c r="AT86" i="19"/>
  <c r="AD70" i="19"/>
  <c r="AN79" i="19"/>
  <c r="AE74" i="19"/>
  <c r="AG78" i="19"/>
  <c r="AK81" i="19"/>
  <c r="AG80" i="19"/>
  <c r="AE79" i="19"/>
  <c r="AI84" i="19"/>
  <c r="AP84" i="19"/>
  <c r="AB83" i="19"/>
  <c r="AJ85" i="19"/>
  <c r="AC77" i="19"/>
  <c r="AJ79" i="19"/>
  <c r="AM80" i="19"/>
  <c r="AD84" i="19"/>
  <c r="AI79" i="19"/>
  <c r="AO81" i="19"/>
  <c r="AG85" i="19"/>
  <c r="AB82" i="19"/>
  <c r="AL80" i="19"/>
  <c r="AF75" i="19"/>
  <c r="AA78" i="19"/>
  <c r="AJ76" i="19"/>
  <c r="AD83" i="19"/>
  <c r="AQ83" i="19"/>
  <c r="AH76" i="19"/>
  <c r="AC76" i="19"/>
  <c r="AL85" i="19"/>
  <c r="AD81" i="19"/>
  <c r="AL84" i="19"/>
  <c r="AF79" i="19"/>
  <c r="AJ80" i="19"/>
  <c r="AE70" i="19"/>
  <c r="AR83" i="19"/>
  <c r="AH80" i="19"/>
  <c r="AC80" i="19"/>
  <c r="AN80" i="19"/>
  <c r="AF84" i="19"/>
  <c r="AB74" i="19"/>
  <c r="AK82" i="19"/>
  <c r="AE75" i="19"/>
  <c r="AA70" i="19"/>
  <c r="AI80" i="19"/>
  <c r="AC85" i="19"/>
  <c r="AO86" i="19"/>
  <c r="AG82" i="19"/>
  <c r="AB79" i="19"/>
  <c r="AK79" i="19"/>
  <c r="AD73" i="19"/>
  <c r="AM85" i="19"/>
  <c r="AG74" i="19"/>
  <c r="AB71" i="19"/>
  <c r="AJ82" i="19"/>
  <c r="AC83" i="19"/>
  <c r="AB75" i="19"/>
  <c r="AK83" i="19"/>
  <c r="AE84" i="19"/>
  <c r="AA71" i="19"/>
  <c r="AI81" i="19"/>
  <c r="AD76" i="19"/>
  <c r="AP81" i="19"/>
  <c r="AG83" i="19"/>
  <c r="AC69" i="19"/>
  <c r="AL86" i="19"/>
  <c r="AF73" i="19"/>
  <c r="AH83" i="19"/>
  <c r="AI85" i="19"/>
  <c r="AD80" i="19"/>
  <c r="AP85" i="19"/>
  <c r="AH73" i="19"/>
  <c r="AC73" i="19"/>
  <c r="AM81" i="19"/>
  <c r="AF77" i="19"/>
  <c r="AB67" i="19"/>
  <c r="AJ86" i="19"/>
  <c r="AD85" i="19"/>
  <c r="AS86" i="19"/>
  <c r="AH86" i="19"/>
  <c r="AC78" i="19"/>
  <c r="AN86" i="19"/>
  <c r="AG75" i="19"/>
  <c r="AB72" i="19"/>
  <c r="AL78" i="19"/>
  <c r="AE81" i="19"/>
  <c r="AA68" i="19"/>
  <c r="AH75" i="19"/>
  <c r="AB78" i="19"/>
  <c r="AC82" i="19"/>
  <c r="AO83" i="19"/>
  <c r="AG79" i="19"/>
  <c r="AB76" i="19"/>
  <c r="AL82" i="19"/>
  <c r="AE85" i="19"/>
  <c r="AA72" i="19"/>
  <c r="AJ78" i="19"/>
  <c r="AD77" i="19"/>
  <c r="AP82" i="19"/>
  <c r="AH78" i="19"/>
  <c r="AC70" i="19"/>
  <c r="AM78" i="19"/>
  <c r="AF82" i="19"/>
  <c r="AJ83" i="19"/>
  <c r="AE73" i="19"/>
  <c r="AR86" i="19"/>
  <c r="AG81" i="19"/>
  <c r="AA75" i="19"/>
  <c r="AP86" i="19"/>
  <c r="AH82" i="19"/>
  <c r="AC74" i="19"/>
  <c r="AM82" i="19"/>
  <c r="AF86" i="19"/>
  <c r="AB68" i="19"/>
  <c r="AK76" i="19"/>
  <c r="AE77" i="19"/>
  <c r="AT85" i="19"/>
  <c r="AI74" i="19"/>
  <c r="AD69" i="19"/>
  <c r="AO80" i="19"/>
  <c r="AG76" i="19"/>
  <c r="AB81" i="19"/>
  <c r="AL79" i="19"/>
  <c r="AE82" i="19"/>
  <c r="AA77" i="19"/>
  <c r="AJ75" i="19"/>
  <c r="AD74" i="19"/>
  <c r="AN84" i="19"/>
  <c r="AF80" i="19"/>
  <c r="AA66" i="19"/>
  <c r="AJ81" i="19"/>
  <c r="AF71" i="19"/>
  <c r="AB77" i="19"/>
  <c r="AN82" i="19"/>
  <c r="AH81" i="19"/>
  <c r="AD79" i="19"/>
  <c r="AA73" i="19"/>
  <c r="AK84" i="19"/>
  <c r="AF85" i="19"/>
  <c r="AC72" i="19"/>
  <c r="AP83" i="19"/>
  <c r="AI82" i="19"/>
  <c r="AE76" i="19"/>
  <c r="AA67" i="19"/>
  <c r="AM79" i="19"/>
  <c r="AG84" i="19"/>
  <c r="AC86" i="19"/>
  <c r="AS85" i="19"/>
  <c r="AJ84" i="19"/>
  <c r="AF74" i="19"/>
  <c r="AB80" i="19"/>
  <c r="AN85" i="19"/>
  <c r="AH84" i="19"/>
  <c r="AD82" i="19"/>
  <c r="AA76" i="19"/>
  <c r="AL77" i="19"/>
  <c r="AG73" i="19"/>
  <c r="AC75" i="19"/>
  <c r="AQ82" i="19"/>
  <c r="AI86" i="19"/>
  <c r="AE80" i="19"/>
  <c r="AB70" i="19"/>
  <c r="AM83" i="19"/>
  <c r="AH74" i="19"/>
  <c r="AD72" i="19"/>
  <c r="AU86" i="19"/>
  <c r="AK77" i="19"/>
  <c r="AF78" i="19"/>
  <c r="AB84" i="19"/>
  <c r="AO82" i="19"/>
  <c r="AI75" i="19"/>
  <c r="AD86" i="19"/>
  <c r="AL81" i="19"/>
  <c r="AG77" i="19"/>
  <c r="AC79" i="19"/>
  <c r="AQ85" i="19"/>
  <c r="AJ77" i="19"/>
  <c r="AE83" i="19"/>
  <c r="AB73" i="19"/>
  <c r="AM86" i="19"/>
  <c r="AH77" i="19"/>
  <c r="AD75" i="19"/>
  <c r="AA69" i="19"/>
  <c r="AK80" i="19"/>
  <c r="AF81" i="19"/>
  <c r="AC68" i="19"/>
  <c r="AO85" i="19"/>
  <c r="AI78" i="19"/>
  <c r="AE72" i="19"/>
  <c r="B5" i="19"/>
  <c r="B37" i="19" s="1"/>
  <c r="B6" i="19"/>
  <c r="B38" i="19" s="1"/>
  <c r="B7" i="19"/>
  <c r="B39" i="19" s="1"/>
  <c r="B8" i="19"/>
  <c r="B40" i="19" s="1"/>
  <c r="B9" i="19"/>
  <c r="B41" i="19" s="1"/>
  <c r="B10" i="19"/>
  <c r="B42" i="19" s="1"/>
  <c r="B11" i="19"/>
  <c r="B43" i="19" s="1"/>
  <c r="B12" i="19"/>
  <c r="B44" i="19" s="1"/>
  <c r="B13" i="19"/>
  <c r="B45" i="19" s="1"/>
  <c r="B14" i="19"/>
  <c r="B46" i="19" s="1"/>
  <c r="B15" i="19"/>
  <c r="B47" i="19" s="1"/>
  <c r="B16" i="19"/>
  <c r="B48" i="19" s="1"/>
  <c r="B17" i="19"/>
  <c r="B49" i="19" s="1"/>
  <c r="B18" i="19"/>
  <c r="B50" i="19" s="1"/>
  <c r="B19" i="19"/>
  <c r="B51" i="19" s="1"/>
  <c r="B20" i="19"/>
  <c r="B52" i="19" s="1"/>
  <c r="B21" i="19"/>
  <c r="B53" i="19" s="1"/>
  <c r="B22" i="19"/>
  <c r="B54" i="19" s="1"/>
  <c r="B23" i="19"/>
  <c r="B55" i="19" s="1"/>
  <c r="B24" i="19"/>
  <c r="B56" i="19" s="1"/>
  <c r="B25" i="19"/>
  <c r="B57" i="19" s="1"/>
  <c r="B4" i="19"/>
  <c r="B36" i="19" s="1"/>
  <c r="B33" i="19" l="1"/>
  <c r="D26" i="19"/>
  <c r="D27" i="19" s="1"/>
  <c r="E26" i="19"/>
  <c r="E27" i="19" s="1"/>
  <c r="F26" i="19"/>
  <c r="F27" i="19" s="1"/>
  <c r="G26" i="19"/>
  <c r="G27" i="19" s="1"/>
  <c r="H26" i="19"/>
  <c r="H27" i="19" s="1"/>
  <c r="I26" i="19"/>
  <c r="I27" i="19" s="1"/>
  <c r="J26" i="19"/>
  <c r="J27" i="19" s="1"/>
  <c r="K26" i="19"/>
  <c r="K27" i="19" s="1"/>
  <c r="L26" i="19"/>
  <c r="L27" i="19" s="1"/>
  <c r="M26" i="19"/>
  <c r="M27" i="19" s="1"/>
  <c r="N26" i="19"/>
  <c r="N27" i="19" s="1"/>
  <c r="O26" i="19"/>
  <c r="O27" i="19" s="1"/>
  <c r="P26" i="19"/>
  <c r="P27" i="19" s="1"/>
  <c r="Q26" i="19"/>
  <c r="Q27" i="19" s="1"/>
  <c r="R26" i="19"/>
  <c r="R27" i="19" s="1"/>
  <c r="S26" i="19"/>
  <c r="S27" i="19" s="1"/>
  <c r="T26" i="19"/>
  <c r="T27" i="19" s="1"/>
  <c r="U26" i="19"/>
  <c r="U27" i="19" s="1"/>
  <c r="V26" i="19"/>
  <c r="V27" i="19" s="1"/>
  <c r="W26" i="19"/>
  <c r="W27" i="19" s="1"/>
  <c r="X26" i="19"/>
  <c r="X27" i="19" s="1"/>
  <c r="Y26" i="19"/>
  <c r="Y27" i="19" s="1"/>
  <c r="Z26" i="19"/>
  <c r="Z27" i="19" s="1"/>
  <c r="AA26" i="19"/>
  <c r="AA27" i="19" s="1"/>
  <c r="AB26" i="19"/>
  <c r="AB27" i="19" s="1"/>
  <c r="AC26" i="19"/>
  <c r="AC27" i="19" s="1"/>
  <c r="AD26" i="19"/>
  <c r="AD27" i="19" s="1"/>
  <c r="AE26" i="19"/>
  <c r="AE27" i="19" s="1"/>
  <c r="AF26" i="19"/>
  <c r="AF27" i="19" s="1"/>
  <c r="AG26" i="19"/>
  <c r="AG27" i="19" s="1"/>
  <c r="AH26" i="19"/>
  <c r="AH27" i="19" s="1"/>
  <c r="AI26" i="19"/>
  <c r="AI27" i="19" s="1"/>
  <c r="AJ26" i="19"/>
  <c r="AJ27" i="19" s="1"/>
  <c r="AK26" i="19"/>
  <c r="AK27" i="19" s="1"/>
  <c r="AL26" i="19"/>
  <c r="AL27" i="19" s="1"/>
  <c r="AM26" i="19"/>
  <c r="AM27" i="19" s="1"/>
  <c r="AN26" i="19"/>
  <c r="AN27" i="19" s="1"/>
  <c r="AO26" i="19"/>
  <c r="AO27" i="19" s="1"/>
  <c r="AP26" i="19"/>
  <c r="AP27" i="19" s="1"/>
  <c r="AQ26" i="19"/>
  <c r="AQ27" i="19" s="1"/>
  <c r="AR26" i="19"/>
  <c r="AR27" i="19" s="1"/>
  <c r="AS26" i="19"/>
  <c r="AS27" i="19" s="1"/>
  <c r="AT26" i="19"/>
  <c r="AT27" i="19" s="1"/>
  <c r="AU26" i="19"/>
  <c r="AU27" i="19" s="1"/>
  <c r="AV26" i="19"/>
  <c r="AV27" i="19" s="1"/>
  <c r="AW26" i="19"/>
  <c r="AW27" i="19" s="1"/>
  <c r="AX26" i="19"/>
  <c r="AX27" i="19" s="1"/>
  <c r="AY26" i="19"/>
  <c r="AY27" i="19" s="1"/>
  <c r="AZ26" i="19"/>
  <c r="AZ27" i="19" s="1"/>
  <c r="BA26" i="19"/>
  <c r="BA27" i="19" s="1"/>
  <c r="BB26" i="19"/>
  <c r="BB27" i="19" s="1"/>
  <c r="BC26" i="19"/>
  <c r="BC27" i="19" s="1"/>
  <c r="BD26" i="19"/>
  <c r="BD27" i="19" s="1"/>
  <c r="BE26" i="19"/>
  <c r="BE27" i="19" s="1"/>
  <c r="BF26" i="19"/>
  <c r="BF27" i="19" s="1"/>
  <c r="BG26" i="19"/>
  <c r="BG27" i="19" s="1"/>
  <c r="BH26" i="19"/>
  <c r="BH27" i="19" s="1"/>
  <c r="BI26" i="19"/>
  <c r="BI27" i="19" s="1"/>
  <c r="BJ26" i="19"/>
  <c r="BJ27" i="19" s="1"/>
  <c r="BK26" i="19"/>
  <c r="BK27" i="19" s="1"/>
  <c r="BL26" i="19"/>
  <c r="BL27" i="19" s="1"/>
  <c r="BM26" i="19"/>
  <c r="BM27" i="19" s="1"/>
  <c r="BN26" i="19"/>
  <c r="BN27" i="19" s="1"/>
  <c r="BO26" i="19"/>
  <c r="BO27" i="19" s="1"/>
  <c r="BP26" i="19"/>
  <c r="BP27" i="19" s="1"/>
  <c r="BQ26" i="19"/>
  <c r="BQ27" i="19" s="1"/>
  <c r="BR26" i="19"/>
  <c r="BR27" i="19" s="1"/>
  <c r="BS26" i="19"/>
  <c r="BS27" i="19" s="1"/>
  <c r="BT26" i="19"/>
  <c r="BT27" i="19" s="1"/>
  <c r="BU26" i="19"/>
  <c r="BU27" i="19" s="1"/>
  <c r="BV26" i="19"/>
  <c r="BV27" i="19" s="1"/>
  <c r="BW26" i="19"/>
  <c r="BW27" i="19" s="1"/>
  <c r="BX26" i="19"/>
  <c r="BX27" i="19" s="1"/>
  <c r="BY26" i="19"/>
  <c r="BY27" i="19" s="1"/>
  <c r="BZ26" i="19"/>
  <c r="BZ27" i="19" s="1"/>
  <c r="CA26" i="19"/>
  <c r="CA27" i="19" s="1"/>
  <c r="CB26" i="19"/>
  <c r="CB27" i="19" s="1"/>
  <c r="CC26" i="19"/>
  <c r="CC27" i="19" s="1"/>
  <c r="CD26" i="19"/>
  <c r="CD27" i="19" s="1"/>
  <c r="CE26" i="19"/>
  <c r="CE27" i="19" s="1"/>
  <c r="CF26" i="19"/>
  <c r="CF27" i="19" s="1"/>
  <c r="CG26" i="19"/>
  <c r="CG27" i="19" s="1"/>
  <c r="CH26" i="19"/>
  <c r="CH27" i="19" s="1"/>
  <c r="CI26" i="19"/>
  <c r="CI27" i="19" s="1"/>
  <c r="CJ26" i="19"/>
  <c r="CJ27" i="19" s="1"/>
  <c r="CK26" i="19"/>
  <c r="CK27" i="19" s="1"/>
  <c r="CL26" i="19"/>
  <c r="CL27" i="19" s="1"/>
  <c r="CM26" i="19"/>
  <c r="CM27" i="19" s="1"/>
  <c r="CN26" i="19"/>
  <c r="CN27" i="19" s="1"/>
  <c r="CO26" i="19"/>
  <c r="CO27" i="19" s="1"/>
  <c r="CP26" i="19"/>
  <c r="CP27" i="19" s="1"/>
  <c r="CQ26" i="19"/>
  <c r="CQ27" i="19" s="1"/>
  <c r="CR26" i="19"/>
  <c r="CR27" i="19" s="1"/>
  <c r="CS26" i="19"/>
  <c r="CS27" i="19" s="1"/>
  <c r="CT26" i="19"/>
  <c r="CT27" i="19" s="1"/>
  <c r="CU26" i="19"/>
  <c r="CU27" i="19" s="1"/>
  <c r="CV26" i="19"/>
  <c r="CV27" i="19" s="1"/>
  <c r="CW26" i="19"/>
  <c r="CW27" i="19" s="1"/>
  <c r="CX26" i="19"/>
  <c r="CX27" i="19" s="1"/>
  <c r="CY26" i="19"/>
  <c r="CY27" i="19" s="1"/>
  <c r="CZ26" i="19"/>
  <c r="CZ27" i="19" s="1"/>
  <c r="DA26" i="19"/>
  <c r="DA27" i="19" s="1"/>
  <c r="DB26" i="19"/>
  <c r="DB27" i="19" s="1"/>
  <c r="DC26" i="19"/>
  <c r="DC27" i="19" s="1"/>
  <c r="DD26" i="19"/>
  <c r="DD27" i="19" s="1"/>
  <c r="DE26" i="19"/>
  <c r="DE27" i="19" s="1"/>
  <c r="DF26" i="19"/>
  <c r="DF27" i="19" s="1"/>
  <c r="DG26" i="19"/>
  <c r="DG27" i="19" s="1"/>
  <c r="DH26" i="19"/>
  <c r="DH27" i="19" s="1"/>
  <c r="DI26" i="19"/>
  <c r="DI27" i="19" s="1"/>
  <c r="DJ26" i="19"/>
  <c r="DJ27" i="19" s="1"/>
  <c r="DK26" i="19"/>
  <c r="DK27" i="19" s="1"/>
  <c r="DL26" i="19"/>
  <c r="DL27" i="19" s="1"/>
  <c r="DM26" i="19"/>
  <c r="DM27" i="19" s="1"/>
  <c r="DN26" i="19"/>
  <c r="DN27" i="19" s="1"/>
  <c r="DO26" i="19"/>
  <c r="DO27" i="19" s="1"/>
  <c r="DP26" i="19"/>
  <c r="DP27" i="19" s="1"/>
  <c r="DQ26" i="19"/>
  <c r="DQ27" i="19" s="1"/>
  <c r="DR26" i="19"/>
  <c r="DR27" i="19" s="1"/>
  <c r="DS26" i="19"/>
  <c r="DS27" i="19" s="1"/>
  <c r="DT26" i="19"/>
  <c r="DT27" i="19" s="1"/>
  <c r="DU26" i="19"/>
  <c r="DU27" i="19" s="1"/>
  <c r="DV26" i="19"/>
  <c r="DV27" i="19" s="1"/>
  <c r="DW26" i="19"/>
  <c r="DW27" i="19" s="1"/>
  <c r="DX26" i="19"/>
  <c r="DX27" i="19" s="1"/>
  <c r="DY26" i="19"/>
  <c r="DY27" i="19" s="1"/>
  <c r="DZ26" i="19"/>
  <c r="DZ27" i="19" s="1"/>
  <c r="EA26" i="19"/>
  <c r="EA27" i="19" s="1"/>
  <c r="EB26" i="19"/>
  <c r="EB27" i="19" s="1"/>
  <c r="EC26" i="19"/>
  <c r="EC27" i="19" s="1"/>
  <c r="ED26" i="19"/>
  <c r="ED27" i="19" s="1"/>
  <c r="EE26" i="19"/>
  <c r="EE27" i="19" s="1"/>
  <c r="EF26" i="19"/>
  <c r="EF27" i="19" s="1"/>
  <c r="EG26" i="19"/>
  <c r="EG27" i="19" s="1"/>
  <c r="EH26" i="19"/>
  <c r="EH27" i="19" s="1"/>
  <c r="EI26" i="19"/>
  <c r="EI27" i="19" s="1"/>
  <c r="EJ26" i="19"/>
  <c r="EJ27" i="19" s="1"/>
  <c r="EK26" i="19"/>
  <c r="EK27" i="19" s="1"/>
  <c r="EL26" i="19"/>
  <c r="EL27" i="19" s="1"/>
  <c r="EM26" i="19"/>
  <c r="EM27" i="19" s="1"/>
  <c r="EN26" i="19"/>
  <c r="EN27" i="19" s="1"/>
  <c r="EO26" i="19"/>
  <c r="EO27" i="19" s="1"/>
  <c r="EP26" i="19"/>
  <c r="EP27" i="19" s="1"/>
  <c r="EQ26" i="19"/>
  <c r="EQ27" i="19" s="1"/>
  <c r="ER26" i="19"/>
  <c r="ER27" i="19" s="1"/>
  <c r="ES26" i="19"/>
  <c r="ES27" i="19" s="1"/>
  <c r="ET26" i="19"/>
  <c r="ET27" i="19" s="1"/>
  <c r="EU26" i="19"/>
  <c r="EU27" i="19" s="1"/>
  <c r="EV26" i="19"/>
  <c r="EV27" i="19" s="1"/>
  <c r="EW26" i="19"/>
  <c r="EW27" i="19" s="1"/>
  <c r="EX26" i="19"/>
  <c r="EX27" i="19" s="1"/>
  <c r="EY26" i="19"/>
  <c r="EY27" i="19" s="1"/>
  <c r="EZ26" i="19"/>
  <c r="EZ27" i="19" s="1"/>
  <c r="FA26" i="19"/>
  <c r="FA27" i="19" s="1"/>
  <c r="FB26" i="19"/>
  <c r="FB27" i="19" s="1"/>
  <c r="FC26" i="19"/>
  <c r="FC27" i="19" s="1"/>
  <c r="FD26" i="19"/>
  <c r="FD27" i="19" s="1"/>
  <c r="FE26" i="19"/>
  <c r="FE27" i="19" s="1"/>
  <c r="FF26" i="19"/>
  <c r="FF27" i="19" s="1"/>
  <c r="FG26" i="19"/>
  <c r="FG27" i="19" s="1"/>
  <c r="FH26" i="19"/>
  <c r="FH27" i="19" s="1"/>
  <c r="FI26" i="19"/>
  <c r="FI27" i="19" s="1"/>
  <c r="FJ26" i="19"/>
  <c r="FJ27" i="19" s="1"/>
  <c r="FK26" i="19"/>
  <c r="FK27" i="19" s="1"/>
  <c r="FL26" i="19"/>
  <c r="FL27" i="19" s="1"/>
  <c r="FM26" i="19"/>
  <c r="FM27" i="19" s="1"/>
  <c r="FN26" i="19"/>
  <c r="FN27" i="19" s="1"/>
  <c r="FO26" i="19"/>
  <c r="FO27" i="19" s="1"/>
  <c r="FP26" i="19"/>
  <c r="FP27" i="19" s="1"/>
  <c r="FQ26" i="19"/>
  <c r="FQ27" i="19" s="1"/>
  <c r="FR26" i="19"/>
  <c r="FR27" i="19" s="1"/>
  <c r="FS26" i="19"/>
  <c r="FS27" i="19" s="1"/>
  <c r="FT26" i="19"/>
  <c r="FT27" i="19" s="1"/>
  <c r="FU26" i="19"/>
  <c r="FU27" i="19" s="1"/>
  <c r="FV26" i="19"/>
  <c r="FV27" i="19" s="1"/>
  <c r="FW26" i="19"/>
  <c r="FW27" i="19" s="1"/>
  <c r="FX26" i="19"/>
  <c r="FX27" i="19" s="1"/>
  <c r="FY26" i="19"/>
  <c r="FY27" i="19" s="1"/>
  <c r="FZ26" i="19"/>
  <c r="FZ27" i="19" s="1"/>
  <c r="GA26" i="19"/>
  <c r="GA27" i="19" s="1"/>
  <c r="GB26" i="19"/>
  <c r="GB27" i="19" s="1"/>
  <c r="GC26" i="19"/>
  <c r="GC27" i="19" s="1"/>
  <c r="GD26" i="19"/>
  <c r="GD27" i="19" s="1"/>
  <c r="GE26" i="19"/>
  <c r="GE27" i="19" s="1"/>
  <c r="GF26" i="19"/>
  <c r="GF27" i="19" s="1"/>
  <c r="GG26" i="19"/>
  <c r="GG27" i="19" s="1"/>
  <c r="GH26" i="19"/>
  <c r="GH27" i="19" s="1"/>
  <c r="GI26" i="19"/>
  <c r="GI27" i="19" s="1"/>
  <c r="GJ26" i="19"/>
  <c r="GJ27" i="19" s="1"/>
  <c r="GK26" i="19"/>
  <c r="GK27" i="19" s="1"/>
  <c r="GL26" i="19"/>
  <c r="GL27" i="19" s="1"/>
  <c r="GM26" i="19"/>
  <c r="GM27" i="19" s="1"/>
  <c r="GN26" i="19"/>
  <c r="GN27" i="19" s="1"/>
  <c r="GO26" i="19"/>
  <c r="GO27" i="19" s="1"/>
  <c r="GP26" i="19"/>
  <c r="GP27" i="19" s="1"/>
  <c r="GQ26" i="19"/>
  <c r="GQ27" i="19" s="1"/>
  <c r="GR26" i="19"/>
  <c r="GR27" i="19" s="1"/>
  <c r="GS26" i="19"/>
  <c r="GS27" i="19" s="1"/>
  <c r="GT26" i="19"/>
  <c r="GT27" i="19" s="1"/>
  <c r="GU26" i="19"/>
  <c r="GU27" i="19" s="1"/>
  <c r="GV26" i="19"/>
  <c r="GV27" i="19" s="1"/>
  <c r="GW26" i="19"/>
  <c r="GW27" i="19" s="1"/>
  <c r="GX26" i="19"/>
  <c r="GX27" i="19" s="1"/>
  <c r="GY26" i="19"/>
  <c r="GY27" i="19" s="1"/>
  <c r="GZ26" i="19"/>
  <c r="GZ27" i="19" s="1"/>
  <c r="HA26" i="19"/>
  <c r="HA27" i="19" s="1"/>
  <c r="HB26" i="19"/>
  <c r="HB27" i="19" s="1"/>
  <c r="HC26" i="19"/>
  <c r="HC27" i="19" s="1"/>
  <c r="HD26" i="19"/>
  <c r="HD27" i="19" s="1"/>
  <c r="HE26" i="19"/>
  <c r="HE27" i="19" s="1"/>
  <c r="HF26" i="19"/>
  <c r="HF27" i="19" s="1"/>
  <c r="HG26" i="19"/>
  <c r="HG27" i="19" s="1"/>
  <c r="HH26" i="19"/>
  <c r="HH27" i="19" s="1"/>
  <c r="HI26" i="19"/>
  <c r="HI27" i="19" s="1"/>
  <c r="HJ26" i="19"/>
  <c r="HJ27" i="19" s="1"/>
  <c r="HK26" i="19"/>
  <c r="HK27" i="19" s="1"/>
  <c r="HL26" i="19"/>
  <c r="HL27" i="19" s="1"/>
  <c r="HM26" i="19"/>
  <c r="HM27" i="19" s="1"/>
  <c r="HN26" i="19"/>
  <c r="HN27" i="19" s="1"/>
  <c r="HO26" i="19"/>
  <c r="HO27" i="19" s="1"/>
  <c r="HP26" i="19"/>
  <c r="HP27" i="19" s="1"/>
  <c r="HQ26" i="19"/>
  <c r="HQ27" i="19" s="1"/>
  <c r="HR26" i="19"/>
  <c r="HR27" i="19" s="1"/>
  <c r="HS26" i="19"/>
  <c r="HS27" i="19" s="1"/>
  <c r="HT26" i="19"/>
  <c r="HT27" i="19" s="1"/>
  <c r="HU26" i="19"/>
  <c r="HU27" i="19" s="1"/>
  <c r="HV26" i="19"/>
  <c r="HV27" i="19" s="1"/>
  <c r="HW26" i="19"/>
  <c r="HW27" i="19" s="1"/>
  <c r="HX26" i="19"/>
  <c r="HX27" i="19" s="1"/>
  <c r="HY26" i="19"/>
  <c r="HY27" i="19" s="1"/>
  <c r="HZ26" i="19"/>
  <c r="HZ27" i="19" s="1"/>
  <c r="IA26" i="19"/>
  <c r="IA27" i="19" s="1"/>
  <c r="IB26" i="19"/>
  <c r="IB27" i="19" s="1"/>
  <c r="IC26" i="19"/>
  <c r="IC27" i="19" s="1"/>
  <c r="ID26" i="19"/>
  <c r="ID27" i="19" s="1"/>
  <c r="IE26" i="19"/>
  <c r="IE27" i="19" s="1"/>
  <c r="IF26" i="19"/>
  <c r="IF27" i="19" s="1"/>
  <c r="IG26" i="19"/>
  <c r="IG27" i="19" s="1"/>
  <c r="C26" i="19"/>
  <c r="C27" i="19" s="1"/>
  <c r="AW55" i="19" l="1"/>
  <c r="HU60" i="19"/>
  <c r="HG60" i="19"/>
  <c r="HY60" i="19"/>
  <c r="FW60" i="19"/>
  <c r="AG49" i="19"/>
  <c r="CS49" i="19"/>
  <c r="FE49" i="19"/>
  <c r="HQ49" i="19"/>
  <c r="AX49" i="19"/>
  <c r="DJ49" i="19"/>
  <c r="FV49" i="19"/>
  <c r="C49" i="19"/>
  <c r="BO49" i="19"/>
  <c r="EA49" i="19"/>
  <c r="GM49" i="19"/>
  <c r="T49" i="19"/>
  <c r="CF49" i="19"/>
  <c r="ER49" i="19"/>
  <c r="HD49" i="19"/>
  <c r="AK49" i="19"/>
  <c r="CW49" i="19"/>
  <c r="FI49" i="19"/>
  <c r="HU49" i="19"/>
  <c r="BB49" i="19"/>
  <c r="DN49" i="19"/>
  <c r="FZ49" i="19"/>
  <c r="G49" i="19"/>
  <c r="BS49" i="19"/>
  <c r="EE49" i="19"/>
  <c r="GQ49" i="19"/>
  <c r="X49" i="19"/>
  <c r="CJ49" i="19"/>
  <c r="EV49" i="19"/>
  <c r="HH49" i="19"/>
  <c r="GH60" i="19"/>
  <c r="FD60" i="19"/>
  <c r="DJ60" i="19"/>
  <c r="DT60" i="19"/>
  <c r="CY60" i="19"/>
  <c r="DQ60" i="19"/>
  <c r="BO60" i="19"/>
  <c r="CC40" i="19"/>
  <c r="EW40" i="19"/>
  <c r="DI40" i="19"/>
  <c r="GK40" i="19"/>
  <c r="AE40" i="19"/>
  <c r="CQ40" i="19"/>
  <c r="FC40" i="19"/>
  <c r="HO40" i="19"/>
  <c r="AV40" i="19"/>
  <c r="DH40" i="19"/>
  <c r="FT40" i="19"/>
  <c r="IF40" i="19"/>
  <c r="BN40" i="19"/>
  <c r="DZ40" i="19"/>
  <c r="GL40" i="19"/>
  <c r="S40" i="19"/>
  <c r="CE40" i="19"/>
  <c r="EQ40" i="19"/>
  <c r="HC40" i="19"/>
  <c r="AJ40" i="19"/>
  <c r="CV40" i="19"/>
  <c r="FH40" i="19"/>
  <c r="HT40" i="19"/>
  <c r="BA40" i="19"/>
  <c r="DM40" i="19"/>
  <c r="FY40" i="19"/>
  <c r="F40" i="19"/>
  <c r="BR40" i="19"/>
  <c r="ED40" i="19"/>
  <c r="GP40" i="19"/>
  <c r="T48" i="19"/>
  <c r="DB48" i="19"/>
  <c r="BK48" i="19"/>
  <c r="AL48" i="19"/>
  <c r="O48" i="19"/>
  <c r="CP48" i="19"/>
  <c r="BP48" i="19"/>
  <c r="AW48" i="19"/>
  <c r="AH48" i="19"/>
  <c r="K48" i="19"/>
  <c r="CH48" i="19"/>
  <c r="CZ48" i="19"/>
  <c r="FL48" i="19"/>
  <c r="HX48" i="19"/>
  <c r="DA48" i="19"/>
  <c r="FM48" i="19"/>
  <c r="HY48" i="19"/>
  <c r="FF48" i="19"/>
  <c r="HR48" i="19"/>
  <c r="DS48" i="19"/>
  <c r="GE48" i="19"/>
  <c r="DT48" i="19"/>
  <c r="GF48" i="19"/>
  <c r="DM48" i="19"/>
  <c r="FY48" i="19"/>
  <c r="DN48" i="19"/>
  <c r="FZ48" i="19"/>
  <c r="CA48" i="19"/>
  <c r="EM48" i="19"/>
  <c r="GY48" i="19"/>
  <c r="FG56" i="19"/>
  <c r="AY56" i="19"/>
  <c r="BO56" i="19"/>
  <c r="AI56" i="19"/>
  <c r="HK56" i="19"/>
  <c r="BH56" i="19"/>
  <c r="DT56" i="19"/>
  <c r="GF56" i="19"/>
  <c r="M56" i="19"/>
  <c r="BY56" i="19"/>
  <c r="EK56" i="19"/>
  <c r="GW56" i="19"/>
  <c r="AD56" i="19"/>
  <c r="CP56" i="19"/>
  <c r="FB56" i="19"/>
  <c r="HN56" i="19"/>
  <c r="AU56" i="19"/>
  <c r="DG56" i="19"/>
  <c r="FS56" i="19"/>
  <c r="IE56" i="19"/>
  <c r="BL56" i="19"/>
  <c r="DX56" i="19"/>
  <c r="GJ56" i="19"/>
  <c r="Q56" i="19"/>
  <c r="CC56" i="19"/>
  <c r="EO56" i="19"/>
  <c r="HA56" i="19"/>
  <c r="CD56" i="19"/>
  <c r="EP56" i="19"/>
  <c r="HB56" i="19"/>
  <c r="D57" i="19"/>
  <c r="GY57" i="19"/>
  <c r="EM57" i="19"/>
  <c r="BQ57" i="19"/>
  <c r="FO57" i="19"/>
  <c r="AD57" i="19"/>
  <c r="DQ57" i="19"/>
  <c r="HS57" i="19"/>
  <c r="BS57" i="19"/>
  <c r="FR57" i="19"/>
  <c r="AF57" i="19"/>
  <c r="DU57" i="19"/>
  <c r="HV57" i="19"/>
  <c r="BW57" i="19"/>
  <c r="FU57" i="19"/>
  <c r="AQ57" i="19"/>
  <c r="EW57" i="19"/>
  <c r="AI57" i="19"/>
  <c r="EY57" i="19"/>
  <c r="CV57" i="19"/>
  <c r="GF57" i="19"/>
  <c r="HW57" i="19"/>
  <c r="DP57" i="19"/>
  <c r="GZ57" i="19"/>
  <c r="CD57" i="19"/>
  <c r="FN57" i="19"/>
  <c r="BI55" i="19"/>
  <c r="DQ55" i="19"/>
  <c r="CS55" i="19"/>
  <c r="BA55" i="19"/>
  <c r="HR55" i="19"/>
  <c r="DX55" i="19"/>
  <c r="BY55" i="19"/>
  <c r="DZ55" i="19"/>
  <c r="BB60" i="19"/>
  <c r="X60" i="19"/>
  <c r="AG60" i="19"/>
  <c r="AC60" i="19"/>
  <c r="AO49" i="19"/>
  <c r="DA49" i="19"/>
  <c r="FM49" i="19"/>
  <c r="HY49" i="19"/>
  <c r="BF49" i="19"/>
  <c r="DR49" i="19"/>
  <c r="GD49" i="19"/>
  <c r="K49" i="19"/>
  <c r="BW49" i="19"/>
  <c r="EI49" i="19"/>
  <c r="GU49" i="19"/>
  <c r="AB49" i="19"/>
  <c r="CN49" i="19"/>
  <c r="EZ49" i="19"/>
  <c r="HL49" i="19"/>
  <c r="AS49" i="19"/>
  <c r="DE49" i="19"/>
  <c r="FQ49" i="19"/>
  <c r="IC49" i="19"/>
  <c r="BJ49" i="19"/>
  <c r="DV49" i="19"/>
  <c r="GH49" i="19"/>
  <c r="O49" i="19"/>
  <c r="CA49" i="19"/>
  <c r="EM49" i="19"/>
  <c r="GY49" i="19"/>
  <c r="AF49" i="19"/>
  <c r="CR49" i="19"/>
  <c r="FD49" i="19"/>
  <c r="HP49" i="19"/>
  <c r="BI60" i="19"/>
  <c r="HP60" i="19"/>
  <c r="FV60" i="19"/>
  <c r="DE60" i="19"/>
  <c r="FK60" i="19"/>
  <c r="GC60" i="19"/>
  <c r="EA60" i="19"/>
  <c r="EO40" i="19"/>
  <c r="AO40" i="19"/>
  <c r="FU40" i="19"/>
  <c r="I40" i="19"/>
  <c r="AM40" i="19"/>
  <c r="CY40" i="19"/>
  <c r="FK40" i="19"/>
  <c r="HW40" i="19"/>
  <c r="BD40" i="19"/>
  <c r="DP40" i="19"/>
  <c r="GB40" i="19"/>
  <c r="J40" i="19"/>
  <c r="BV40" i="19"/>
  <c r="EH40" i="19"/>
  <c r="GT40" i="19"/>
  <c r="AA40" i="19"/>
  <c r="CM40" i="19"/>
  <c r="EY40" i="19"/>
  <c r="HK40" i="19"/>
  <c r="AR40" i="19"/>
  <c r="DD40" i="19"/>
  <c r="FP40" i="19"/>
  <c r="IB40" i="19"/>
  <c r="BI40" i="19"/>
  <c r="DU40" i="19"/>
  <c r="GG40" i="19"/>
  <c r="N40" i="19"/>
  <c r="BZ40" i="19"/>
  <c r="EL40" i="19"/>
  <c r="GX40" i="19"/>
  <c r="AB48" i="19"/>
  <c r="E48" i="19"/>
  <c r="BX48" i="19"/>
  <c r="AT48" i="19"/>
  <c r="W48" i="19"/>
  <c r="H48" i="19"/>
  <c r="CD48" i="19"/>
  <c r="BG48" i="19"/>
  <c r="AP48" i="19"/>
  <c r="S48" i="19"/>
  <c r="CX48" i="19"/>
  <c r="DH48" i="19"/>
  <c r="FT48" i="19"/>
  <c r="IF48" i="19"/>
  <c r="DI48" i="19"/>
  <c r="FU48" i="19"/>
  <c r="IG48" i="19"/>
  <c r="FN48" i="19"/>
  <c r="HZ48" i="19"/>
  <c r="EA48" i="19"/>
  <c r="GM48" i="19"/>
  <c r="EB48" i="19"/>
  <c r="GN48" i="19"/>
  <c r="DU48" i="19"/>
  <c r="GG48" i="19"/>
  <c r="DV48" i="19"/>
  <c r="GH48" i="19"/>
  <c r="CI48" i="19"/>
  <c r="EU48" i="19"/>
  <c r="HG48" i="19"/>
  <c r="HS56" i="19"/>
  <c r="DK56" i="19"/>
  <c r="EA56" i="19"/>
  <c r="CE56" i="19"/>
  <c r="D56" i="19"/>
  <c r="BP56" i="19"/>
  <c r="EB56" i="19"/>
  <c r="GN56" i="19"/>
  <c r="U56" i="19"/>
  <c r="CG56" i="19"/>
  <c r="ES56" i="19"/>
  <c r="HE56" i="19"/>
  <c r="AL56" i="19"/>
  <c r="CX56" i="19"/>
  <c r="FJ56" i="19"/>
  <c r="HV56" i="19"/>
  <c r="BC56" i="19"/>
  <c r="DO56" i="19"/>
  <c r="GA56" i="19"/>
  <c r="H56" i="19"/>
  <c r="BT56" i="19"/>
  <c r="EF56" i="19"/>
  <c r="GR56" i="19"/>
  <c r="Y56" i="19"/>
  <c r="CK56" i="19"/>
  <c r="EW56" i="19"/>
  <c r="HI56" i="19"/>
  <c r="CL56" i="19"/>
  <c r="EX56" i="19"/>
  <c r="HJ56" i="19"/>
  <c r="CA57" i="19"/>
  <c r="AB57" i="19"/>
  <c r="E57" i="19"/>
  <c r="CC57" i="19"/>
  <c r="GA57" i="19"/>
  <c r="AL57" i="19"/>
  <c r="ED57" i="19"/>
  <c r="G57" i="19"/>
  <c r="CG57" i="19"/>
  <c r="GE57" i="19"/>
  <c r="AN57" i="19"/>
  <c r="EG57" i="19"/>
  <c r="I57" i="19"/>
  <c r="CI57" i="19"/>
  <c r="GH57" i="19"/>
  <c r="BA57" i="19"/>
  <c r="FJ57" i="19"/>
  <c r="AR57" i="19"/>
  <c r="FY57" i="19"/>
  <c r="DD57" i="19"/>
  <c r="GN57" i="19"/>
  <c r="AV57" i="19"/>
  <c r="DX57" i="19"/>
  <c r="HH57" i="19"/>
  <c r="CT57" i="19"/>
  <c r="FV57" i="19"/>
  <c r="GD55" i="19"/>
  <c r="EG55" i="19"/>
  <c r="DF55" i="19"/>
  <c r="BL55" i="19"/>
  <c r="V55" i="19"/>
  <c r="EN55" i="19"/>
  <c r="CX55" i="19"/>
  <c r="IG55" i="19"/>
  <c r="DN60" i="19"/>
  <c r="CJ60" i="19"/>
  <c r="AP60" i="19"/>
  <c r="AZ60" i="19"/>
  <c r="AW49" i="19"/>
  <c r="DI49" i="19"/>
  <c r="FU49" i="19"/>
  <c r="IG49" i="19"/>
  <c r="BN49" i="19"/>
  <c r="DZ49" i="19"/>
  <c r="GL49" i="19"/>
  <c r="S49" i="19"/>
  <c r="CE49" i="19"/>
  <c r="EQ49" i="19"/>
  <c r="HC49" i="19"/>
  <c r="AJ49" i="19"/>
  <c r="CV49" i="19"/>
  <c r="FH49" i="19"/>
  <c r="HT49" i="19"/>
  <c r="BA49" i="19"/>
  <c r="DM49" i="19"/>
  <c r="FY49" i="19"/>
  <c r="F49" i="19"/>
  <c r="BR49" i="19"/>
  <c r="ED49" i="19"/>
  <c r="GP49" i="19"/>
  <c r="W49" i="19"/>
  <c r="CI49" i="19"/>
  <c r="EU49" i="19"/>
  <c r="HG49" i="19"/>
  <c r="AN49" i="19"/>
  <c r="CZ49" i="19"/>
  <c r="FL49" i="19"/>
  <c r="HX49" i="19"/>
  <c r="AE60" i="19"/>
  <c r="Y60" i="19"/>
  <c r="AK60" i="19"/>
  <c r="F60" i="19"/>
  <c r="HW60" i="19"/>
  <c r="U60" i="19"/>
  <c r="GM60" i="19"/>
  <c r="HA40" i="19"/>
  <c r="DA40" i="19"/>
  <c r="IG40" i="19"/>
  <c r="BU40" i="19"/>
  <c r="AU40" i="19"/>
  <c r="DG40" i="19"/>
  <c r="FS40" i="19"/>
  <c r="IE40" i="19"/>
  <c r="BL40" i="19"/>
  <c r="DX40" i="19"/>
  <c r="GJ40" i="19"/>
  <c r="R40" i="19"/>
  <c r="CD40" i="19"/>
  <c r="EP40" i="19"/>
  <c r="HB40" i="19"/>
  <c r="AI40" i="19"/>
  <c r="CU40" i="19"/>
  <c r="FG40" i="19"/>
  <c r="HS40" i="19"/>
  <c r="AZ40" i="19"/>
  <c r="DL40" i="19"/>
  <c r="FX40" i="19"/>
  <c r="E40" i="19"/>
  <c r="BQ40" i="19"/>
  <c r="EC40" i="19"/>
  <c r="GO40" i="19"/>
  <c r="V40" i="19"/>
  <c r="CH40" i="19"/>
  <c r="ET40" i="19"/>
  <c r="HF40" i="19"/>
  <c r="AJ48" i="19"/>
  <c r="M48" i="19"/>
  <c r="CN48" i="19"/>
  <c r="BB48" i="19"/>
  <c r="AE48" i="19"/>
  <c r="P48" i="19"/>
  <c r="CT48" i="19"/>
  <c r="BQ48" i="19"/>
  <c r="AX48" i="19"/>
  <c r="AA48" i="19"/>
  <c r="BD48" i="19"/>
  <c r="DP48" i="19"/>
  <c r="GB48" i="19"/>
  <c r="BE48" i="19"/>
  <c r="DQ48" i="19"/>
  <c r="GC48" i="19"/>
  <c r="DJ48" i="19"/>
  <c r="FV48" i="19"/>
  <c r="BW48" i="19"/>
  <c r="EI48" i="19"/>
  <c r="GU48" i="19"/>
  <c r="EJ48" i="19"/>
  <c r="GV48" i="19"/>
  <c r="EC48" i="19"/>
  <c r="GO48" i="19"/>
  <c r="ED48" i="19"/>
  <c r="GP48" i="19"/>
  <c r="CQ48" i="19"/>
  <c r="FC48" i="19"/>
  <c r="HO48" i="19"/>
  <c r="R56" i="19"/>
  <c r="FW56" i="19"/>
  <c r="GM56" i="19"/>
  <c r="EQ56" i="19"/>
  <c r="L56" i="19"/>
  <c r="BX56" i="19"/>
  <c r="EJ56" i="19"/>
  <c r="GV56" i="19"/>
  <c r="AC56" i="19"/>
  <c r="CO56" i="19"/>
  <c r="FA56" i="19"/>
  <c r="HM56" i="19"/>
  <c r="AT56" i="19"/>
  <c r="DF56" i="19"/>
  <c r="FR56" i="19"/>
  <c r="ID56" i="19"/>
  <c r="BK56" i="19"/>
  <c r="DW56" i="19"/>
  <c r="GI56" i="19"/>
  <c r="P56" i="19"/>
  <c r="CB56" i="19"/>
  <c r="EN56" i="19"/>
  <c r="GZ56" i="19"/>
  <c r="AG56" i="19"/>
  <c r="CS56" i="19"/>
  <c r="FE56" i="19"/>
  <c r="HQ56" i="19"/>
  <c r="CT56" i="19"/>
  <c r="FF56" i="19"/>
  <c r="HR56" i="19"/>
  <c r="FZ57" i="19"/>
  <c r="DN57" i="19"/>
  <c r="M57" i="19"/>
  <c r="CP57" i="19"/>
  <c r="GO57" i="19"/>
  <c r="AU57" i="19"/>
  <c r="EQ57" i="19"/>
  <c r="O57" i="19"/>
  <c r="CS57" i="19"/>
  <c r="GQ57" i="19"/>
  <c r="AY57" i="19"/>
  <c r="ET57" i="19"/>
  <c r="Q57" i="19"/>
  <c r="CW57" i="19"/>
  <c r="GU57" i="19"/>
  <c r="BK57" i="19"/>
  <c r="GI57" i="19"/>
  <c r="BB57" i="19"/>
  <c r="GK57" i="19"/>
  <c r="DT57" i="19"/>
  <c r="GV57" i="19"/>
  <c r="BD57" i="19"/>
  <c r="EN57" i="19"/>
  <c r="HP57" i="19"/>
  <c r="DB57" i="19"/>
  <c r="GL57" i="19"/>
  <c r="BT55" i="19"/>
  <c r="I55" i="19"/>
  <c r="EH55" i="19"/>
  <c r="BV55" i="19"/>
  <c r="AG55" i="19"/>
  <c r="GS55" i="19"/>
  <c r="DY55" i="19"/>
  <c r="AK55" i="19"/>
  <c r="FZ60" i="19"/>
  <c r="EV60" i="19"/>
  <c r="DB60" i="19"/>
  <c r="DL60" i="19"/>
  <c r="BE49" i="19"/>
  <c r="DQ49" i="19"/>
  <c r="GC49" i="19"/>
  <c r="J49" i="19"/>
  <c r="BV49" i="19"/>
  <c r="EH49" i="19"/>
  <c r="GT49" i="19"/>
  <c r="AA49" i="19"/>
  <c r="CM49" i="19"/>
  <c r="EY49" i="19"/>
  <c r="HK49" i="19"/>
  <c r="AR49" i="19"/>
  <c r="DD49" i="19"/>
  <c r="FP49" i="19"/>
  <c r="IB49" i="19"/>
  <c r="BI49" i="19"/>
  <c r="DU49" i="19"/>
  <c r="GG49" i="19"/>
  <c r="N49" i="19"/>
  <c r="BZ49" i="19"/>
  <c r="EL49" i="19"/>
  <c r="GX49" i="19"/>
  <c r="AE49" i="19"/>
  <c r="CQ49" i="19"/>
  <c r="FC49" i="19"/>
  <c r="HO49" i="19"/>
  <c r="AV49" i="19"/>
  <c r="DH49" i="19"/>
  <c r="FT49" i="19"/>
  <c r="IF49" i="19"/>
  <c r="CQ60" i="19"/>
  <c r="DI60" i="19"/>
  <c r="BG60" i="19"/>
  <c r="BR60" i="19"/>
  <c r="AN60" i="19"/>
  <c r="BM60" i="19"/>
  <c r="D60" i="19"/>
  <c r="Y40" i="19"/>
  <c r="FM40" i="19"/>
  <c r="BE40" i="19"/>
  <c r="EG40" i="19"/>
  <c r="BC40" i="19"/>
  <c r="DO40" i="19"/>
  <c r="GA40" i="19"/>
  <c r="H40" i="19"/>
  <c r="BT40" i="19"/>
  <c r="EF40" i="19"/>
  <c r="GR40" i="19"/>
  <c r="Z40" i="19"/>
  <c r="CL40" i="19"/>
  <c r="EX40" i="19"/>
  <c r="HJ40" i="19"/>
  <c r="AQ40" i="19"/>
  <c r="DC40" i="19"/>
  <c r="FO40" i="19"/>
  <c r="IA40" i="19"/>
  <c r="BH40" i="19"/>
  <c r="DT40" i="19"/>
  <c r="GF40" i="19"/>
  <c r="M40" i="19"/>
  <c r="BY40" i="19"/>
  <c r="EK40" i="19"/>
  <c r="GW40" i="19"/>
  <c r="AD40" i="19"/>
  <c r="CP40" i="19"/>
  <c r="FB40" i="19"/>
  <c r="HN40" i="19"/>
  <c r="AR48" i="19"/>
  <c r="U48" i="19"/>
  <c r="DD48" i="19"/>
  <c r="BN48" i="19"/>
  <c r="AM48" i="19"/>
  <c r="X48" i="19"/>
  <c r="I48" i="19"/>
  <c r="CF48" i="19"/>
  <c r="BH48" i="19"/>
  <c r="AI48" i="19"/>
  <c r="BL48" i="19"/>
  <c r="DX48" i="19"/>
  <c r="GJ48" i="19"/>
  <c r="BM48" i="19"/>
  <c r="DY48" i="19"/>
  <c r="GK48" i="19"/>
  <c r="DR48" i="19"/>
  <c r="GD48" i="19"/>
  <c r="CE48" i="19"/>
  <c r="EQ48" i="19"/>
  <c r="HC48" i="19"/>
  <c r="ER48" i="19"/>
  <c r="HD48" i="19"/>
  <c r="EK48" i="19"/>
  <c r="GW48" i="19"/>
  <c r="EL48" i="19"/>
  <c r="GX48" i="19"/>
  <c r="CY48" i="19"/>
  <c r="FK48" i="19"/>
  <c r="HW48" i="19"/>
  <c r="AX56" i="19"/>
  <c r="Z56" i="19"/>
  <c r="AH56" i="19"/>
  <c r="HC56" i="19"/>
  <c r="T56" i="19"/>
  <c r="CF56" i="19"/>
  <c r="ER56" i="19"/>
  <c r="HD56" i="19"/>
  <c r="AK56" i="19"/>
  <c r="CW56" i="19"/>
  <c r="FI56" i="19"/>
  <c r="HU56" i="19"/>
  <c r="BB56" i="19"/>
  <c r="DN56" i="19"/>
  <c r="FZ56" i="19"/>
  <c r="G56" i="19"/>
  <c r="BS56" i="19"/>
  <c r="EE56" i="19"/>
  <c r="GQ56" i="19"/>
  <c r="X56" i="19"/>
  <c r="CJ56" i="19"/>
  <c r="EV56" i="19"/>
  <c r="HH56" i="19"/>
  <c r="AO56" i="19"/>
  <c r="DA56" i="19"/>
  <c r="FM56" i="19"/>
  <c r="HY56" i="19"/>
  <c r="DB56" i="19"/>
  <c r="FN56" i="19"/>
  <c r="HZ56" i="19"/>
  <c r="L57" i="19"/>
  <c r="HN57" i="19"/>
  <c r="U57" i="19"/>
  <c r="DC57" i="19"/>
  <c r="HA57" i="19"/>
  <c r="BG57" i="19"/>
  <c r="FC57" i="19"/>
  <c r="W57" i="19"/>
  <c r="DF57" i="19"/>
  <c r="HE57" i="19"/>
  <c r="BI57" i="19"/>
  <c r="FG57" i="19"/>
  <c r="Y57" i="19"/>
  <c r="DI57" i="19"/>
  <c r="HI57" i="19"/>
  <c r="CK57" i="19"/>
  <c r="GW57" i="19"/>
  <c r="BZ57" i="19"/>
  <c r="GX57" i="19"/>
  <c r="EB57" i="19"/>
  <c r="HL57" i="19"/>
  <c r="BL57" i="19"/>
  <c r="EV57" i="19"/>
  <c r="IF57" i="19"/>
  <c r="DJ57" i="19"/>
  <c r="GT57" i="19"/>
  <c r="CD55" i="19"/>
  <c r="T55" i="19"/>
  <c r="FE55" i="19"/>
  <c r="CT55" i="19"/>
  <c r="AR55" i="19"/>
  <c r="HY55" i="19"/>
  <c r="FN55" i="19"/>
  <c r="CB55" i="19"/>
  <c r="M60" i="19"/>
  <c r="HH60" i="19"/>
  <c r="FN60" i="19"/>
  <c r="FX60" i="19"/>
  <c r="BM49" i="19"/>
  <c r="DY49" i="19"/>
  <c r="GK49" i="19"/>
  <c r="R49" i="19"/>
  <c r="CD49" i="19"/>
  <c r="EP49" i="19"/>
  <c r="HB49" i="19"/>
  <c r="AI49" i="19"/>
  <c r="CU49" i="19"/>
  <c r="FG49" i="19"/>
  <c r="HS49" i="19"/>
  <c r="AZ49" i="19"/>
  <c r="DL49" i="19"/>
  <c r="FX49" i="19"/>
  <c r="E49" i="19"/>
  <c r="BQ49" i="19"/>
  <c r="EC49" i="19"/>
  <c r="GO49" i="19"/>
  <c r="V49" i="19"/>
  <c r="CH49" i="19"/>
  <c r="ET49" i="19"/>
  <c r="HF49" i="19"/>
  <c r="AM49" i="19"/>
  <c r="CY49" i="19"/>
  <c r="FK49" i="19"/>
  <c r="HW49" i="19"/>
  <c r="BD49" i="19"/>
  <c r="DP49" i="19"/>
  <c r="GB49" i="19"/>
  <c r="AS60" i="19"/>
  <c r="FC60" i="19"/>
  <c r="FU60" i="19"/>
  <c r="DS60" i="19"/>
  <c r="ED60" i="19"/>
  <c r="CZ60" i="19"/>
  <c r="BF60" i="19"/>
  <c r="BP60" i="19"/>
  <c r="AG40" i="19"/>
  <c r="HY40" i="19"/>
  <c r="DQ40" i="19"/>
  <c r="GS40" i="19"/>
  <c r="BK40" i="19"/>
  <c r="DW40" i="19"/>
  <c r="GI40" i="19"/>
  <c r="P40" i="19"/>
  <c r="CB40" i="19"/>
  <c r="EN40" i="19"/>
  <c r="GZ40" i="19"/>
  <c r="AH40" i="19"/>
  <c r="CT40" i="19"/>
  <c r="FF40" i="19"/>
  <c r="HR40" i="19"/>
  <c r="AY40" i="19"/>
  <c r="DK40" i="19"/>
  <c r="FW40" i="19"/>
  <c r="D40" i="19"/>
  <c r="BP40" i="19"/>
  <c r="EB40" i="19"/>
  <c r="GN40" i="19"/>
  <c r="U40" i="19"/>
  <c r="CG40" i="19"/>
  <c r="ES40" i="19"/>
  <c r="HE40" i="19"/>
  <c r="AL40" i="19"/>
  <c r="CX40" i="19"/>
  <c r="FJ40" i="19"/>
  <c r="HV40" i="19"/>
  <c r="AZ48" i="19"/>
  <c r="AC48" i="19"/>
  <c r="F48" i="19"/>
  <c r="BY48" i="19"/>
  <c r="AU48" i="19"/>
  <c r="AF48" i="19"/>
  <c r="Q48" i="19"/>
  <c r="CV48" i="19"/>
  <c r="BR48" i="19"/>
  <c r="AQ48" i="19"/>
  <c r="BT48" i="19"/>
  <c r="EF48" i="19"/>
  <c r="GR48" i="19"/>
  <c r="BU48" i="19"/>
  <c r="EG48" i="19"/>
  <c r="GS48" i="19"/>
  <c r="DZ48" i="19"/>
  <c r="GL48" i="19"/>
  <c r="CM48" i="19"/>
  <c r="EY48" i="19"/>
  <c r="HK48" i="19"/>
  <c r="EZ48" i="19"/>
  <c r="HL48" i="19"/>
  <c r="ES48" i="19"/>
  <c r="HE48" i="19"/>
  <c r="ET48" i="19"/>
  <c r="HF48" i="19"/>
  <c r="DG48" i="19"/>
  <c r="FS48" i="19"/>
  <c r="IE48" i="19"/>
  <c r="DC56" i="19"/>
  <c r="BG56" i="19"/>
  <c r="BW56" i="19"/>
  <c r="J56" i="19"/>
  <c r="AB56" i="19"/>
  <c r="CN56" i="19"/>
  <c r="EZ56" i="19"/>
  <c r="HL56" i="19"/>
  <c r="AS56" i="19"/>
  <c r="DE56" i="19"/>
  <c r="FQ56" i="19"/>
  <c r="IC56" i="19"/>
  <c r="BJ56" i="19"/>
  <c r="DV56" i="19"/>
  <c r="GH56" i="19"/>
  <c r="O56" i="19"/>
  <c r="CA56" i="19"/>
  <c r="EM56" i="19"/>
  <c r="GY56" i="19"/>
  <c r="AF56" i="19"/>
  <c r="CR56" i="19"/>
  <c r="FD56" i="19"/>
  <c r="HP56" i="19"/>
  <c r="AW56" i="19"/>
  <c r="DI56" i="19"/>
  <c r="FU56" i="19"/>
  <c r="IG56" i="19"/>
  <c r="DJ56" i="19"/>
  <c r="FV56" i="19"/>
  <c r="BC57" i="19"/>
  <c r="CO57" i="19"/>
  <c r="AJ57" i="19"/>
  <c r="AC57" i="19"/>
  <c r="DO57" i="19"/>
  <c r="HQ57" i="19"/>
  <c r="BR57" i="19"/>
  <c r="FQ57" i="19"/>
  <c r="AE57" i="19"/>
  <c r="DS57" i="19"/>
  <c r="HU57" i="19"/>
  <c r="BU57" i="19"/>
  <c r="FS57" i="19"/>
  <c r="AG57" i="19"/>
  <c r="DV57" i="19"/>
  <c r="J57" i="19"/>
  <c r="CX57" i="19"/>
  <c r="HK57" i="19"/>
  <c r="CM57" i="19"/>
  <c r="IC57" i="19"/>
  <c r="EJ57" i="19"/>
  <c r="HT57" i="19"/>
  <c r="CB57" i="19"/>
  <c r="FD57" i="19"/>
  <c r="AP57" i="19"/>
  <c r="DZ57" i="19"/>
  <c r="HB57" i="19"/>
  <c r="H55" i="19"/>
  <c r="AO55" i="19"/>
  <c r="GK55" i="19"/>
  <c r="DH55" i="19"/>
  <c r="BM55" i="19"/>
  <c r="M55" i="19"/>
  <c r="HZ55" i="19"/>
  <c r="EB55" i="19"/>
  <c r="W60" i="19"/>
  <c r="I60" i="19"/>
  <c r="HZ60" i="19"/>
  <c r="I49" i="19"/>
  <c r="BU49" i="19"/>
  <c r="EG49" i="19"/>
  <c r="GS49" i="19"/>
  <c r="Z49" i="19"/>
  <c r="CL49" i="19"/>
  <c r="EX49" i="19"/>
  <c r="HJ49" i="19"/>
  <c r="AQ49" i="19"/>
  <c r="DC49" i="19"/>
  <c r="FO49" i="19"/>
  <c r="IA49" i="19"/>
  <c r="BH49" i="19"/>
  <c r="DT49" i="19"/>
  <c r="GF49" i="19"/>
  <c r="M49" i="19"/>
  <c r="BY49" i="19"/>
  <c r="EK49" i="19"/>
  <c r="GW49" i="19"/>
  <c r="AD49" i="19"/>
  <c r="CP49" i="19"/>
  <c r="FB49" i="19"/>
  <c r="HN49" i="19"/>
  <c r="AU49" i="19"/>
  <c r="DG49" i="19"/>
  <c r="FS49" i="19"/>
  <c r="IE49" i="19"/>
  <c r="BL49" i="19"/>
  <c r="DX49" i="19"/>
  <c r="GJ49" i="19"/>
  <c r="IC60" i="19"/>
  <c r="HO60" i="19"/>
  <c r="IG60" i="19"/>
  <c r="GE60" i="19"/>
  <c r="GP60" i="19"/>
  <c r="FL60" i="19"/>
  <c r="DR60" i="19"/>
  <c r="EB60" i="19"/>
  <c r="CS40" i="19"/>
  <c r="CK40" i="19"/>
  <c r="GC40" i="19"/>
  <c r="G40" i="19"/>
  <c r="BS40" i="19"/>
  <c r="EE40" i="19"/>
  <c r="GQ40" i="19"/>
  <c r="X40" i="19"/>
  <c r="CJ40" i="19"/>
  <c r="EV40" i="19"/>
  <c r="HH40" i="19"/>
  <c r="AP40" i="19"/>
  <c r="DB40" i="19"/>
  <c r="FN40" i="19"/>
  <c r="HZ40" i="19"/>
  <c r="BG40" i="19"/>
  <c r="DS40" i="19"/>
  <c r="GE40" i="19"/>
  <c r="L40" i="19"/>
  <c r="BX40" i="19"/>
  <c r="EJ40" i="19"/>
  <c r="GV40" i="19"/>
  <c r="AC40" i="19"/>
  <c r="CO40" i="19"/>
  <c r="FA40" i="19"/>
  <c r="HM40" i="19"/>
  <c r="AT40" i="19"/>
  <c r="DF40" i="19"/>
  <c r="FR40" i="19"/>
  <c r="ID40" i="19"/>
  <c r="BJ48" i="19"/>
  <c r="AK48" i="19"/>
  <c r="N48" i="19"/>
  <c r="CO48" i="19"/>
  <c r="BC48" i="19"/>
  <c r="AN48" i="19"/>
  <c r="Y48" i="19"/>
  <c r="J48" i="19"/>
  <c r="CG48" i="19"/>
  <c r="AY48" i="19"/>
  <c r="CB48" i="19"/>
  <c r="EN48" i="19"/>
  <c r="GZ48" i="19"/>
  <c r="CC48" i="19"/>
  <c r="EO48" i="19"/>
  <c r="HA48" i="19"/>
  <c r="EH48" i="19"/>
  <c r="GT48" i="19"/>
  <c r="CU48" i="19"/>
  <c r="FG48" i="19"/>
  <c r="HS48" i="19"/>
  <c r="FH48" i="19"/>
  <c r="HT48" i="19"/>
  <c r="FA48" i="19"/>
  <c r="HM48" i="19"/>
  <c r="FB48" i="19"/>
  <c r="HN48" i="19"/>
  <c r="DO48" i="19"/>
  <c r="GA48" i="19"/>
  <c r="K56" i="19"/>
  <c r="FO56" i="19"/>
  <c r="DS56" i="19"/>
  <c r="EI56" i="19"/>
  <c r="AP56" i="19"/>
  <c r="AJ56" i="19"/>
  <c r="CV56" i="19"/>
  <c r="FH56" i="19"/>
  <c r="HT56" i="19"/>
  <c r="BA56" i="19"/>
  <c r="DM56" i="19"/>
  <c r="FY56" i="19"/>
  <c r="F56" i="19"/>
  <c r="BR56" i="19"/>
  <c r="ED56" i="19"/>
  <c r="GP56" i="19"/>
  <c r="W56" i="19"/>
  <c r="CI56" i="19"/>
  <c r="EU56" i="19"/>
  <c r="HG56" i="19"/>
  <c r="AN56" i="19"/>
  <c r="CZ56" i="19"/>
  <c r="FL56" i="19"/>
  <c r="HX56" i="19"/>
  <c r="BE56" i="19"/>
  <c r="DQ56" i="19"/>
  <c r="GC56" i="19"/>
  <c r="BF56" i="19"/>
  <c r="DR56" i="19"/>
  <c r="GD56" i="19"/>
  <c r="FA57" i="19"/>
  <c r="GM57" i="19"/>
  <c r="EA57" i="19"/>
  <c r="AK57" i="19"/>
  <c r="EC57" i="19"/>
  <c r="F57" i="19"/>
  <c r="CE57" i="19"/>
  <c r="GC57" i="19"/>
  <c r="AM57" i="19"/>
  <c r="EE57" i="19"/>
  <c r="H57" i="19"/>
  <c r="CH57" i="19"/>
  <c r="GG57" i="19"/>
  <c r="AO57" i="19"/>
  <c r="EI57" i="19"/>
  <c r="R57" i="19"/>
  <c r="DK57" i="19"/>
  <c r="C57" i="19"/>
  <c r="CY57" i="19"/>
  <c r="BP57" i="19"/>
  <c r="EZ57" i="19"/>
  <c r="IB57" i="19"/>
  <c r="CJ57" i="19"/>
  <c r="FT57" i="19"/>
  <c r="AX57" i="19"/>
  <c r="EH57" i="19"/>
  <c r="HR57" i="19"/>
  <c r="CR55" i="19"/>
  <c r="AZ55" i="19"/>
  <c r="J55" i="19"/>
  <c r="DT55" i="19"/>
  <c r="BX55" i="19"/>
  <c r="AH55" i="19"/>
  <c r="N55" i="19"/>
  <c r="F55" i="19"/>
  <c r="CI60" i="19"/>
  <c r="DA60" i="19"/>
  <c r="AY60" i="19"/>
  <c r="Q49" i="19"/>
  <c r="CC49" i="19"/>
  <c r="EO49" i="19"/>
  <c r="HA49" i="19"/>
  <c r="AH49" i="19"/>
  <c r="CT49" i="19"/>
  <c r="FF49" i="19"/>
  <c r="HR49" i="19"/>
  <c r="AY49" i="19"/>
  <c r="DK49" i="19"/>
  <c r="FW49" i="19"/>
  <c r="D49" i="19"/>
  <c r="BP49" i="19"/>
  <c r="EB49" i="19"/>
  <c r="GN49" i="19"/>
  <c r="U49" i="19"/>
  <c r="CG49" i="19"/>
  <c r="ES49" i="19"/>
  <c r="HE49" i="19"/>
  <c r="AL49" i="19"/>
  <c r="CX49" i="19"/>
  <c r="FJ49" i="19"/>
  <c r="HV49" i="19"/>
  <c r="BC49" i="19"/>
  <c r="DO49" i="19"/>
  <c r="GA49" i="19"/>
  <c r="H49" i="19"/>
  <c r="BT49" i="19"/>
  <c r="EF49" i="19"/>
  <c r="GR49" i="19"/>
  <c r="BJ60" i="19"/>
  <c r="AF60" i="19"/>
  <c r="AW60" i="19"/>
  <c r="CG60" i="19"/>
  <c r="DM60" i="19"/>
  <c r="HX60" i="19"/>
  <c r="GD60" i="19"/>
  <c r="GN60" i="19"/>
  <c r="FE40" i="19"/>
  <c r="HI40" i="19"/>
  <c r="BM40" i="19"/>
  <c r="O40" i="19"/>
  <c r="CA40" i="19"/>
  <c r="EM40" i="19"/>
  <c r="GY40" i="19"/>
  <c r="AF40" i="19"/>
  <c r="CR40" i="19"/>
  <c r="FD40" i="19"/>
  <c r="HP40" i="19"/>
  <c r="AX40" i="19"/>
  <c r="DJ40" i="19"/>
  <c r="FV40" i="19"/>
  <c r="C40" i="19"/>
  <c r="BO40" i="19"/>
  <c r="EA40" i="19"/>
  <c r="GM40" i="19"/>
  <c r="T40" i="19"/>
  <c r="CF40" i="19"/>
  <c r="ER40" i="19"/>
  <c r="HD40" i="19"/>
  <c r="AK40" i="19"/>
  <c r="CW40" i="19"/>
  <c r="FI40" i="19"/>
  <c r="HU40" i="19"/>
  <c r="BB40" i="19"/>
  <c r="DN40" i="19"/>
  <c r="FZ40" i="19"/>
  <c r="D48" i="19"/>
  <c r="BV48" i="19"/>
  <c r="AS48" i="19"/>
  <c r="V48" i="19"/>
  <c r="DF48" i="19"/>
  <c r="BO48" i="19"/>
  <c r="AV48" i="19"/>
  <c r="AG48" i="19"/>
  <c r="R48" i="19"/>
  <c r="CW48" i="19"/>
  <c r="BI48" i="19"/>
  <c r="CJ48" i="19"/>
  <c r="EV48" i="19"/>
  <c r="HH48" i="19"/>
  <c r="CK48" i="19"/>
  <c r="EW48" i="19"/>
  <c r="HI48" i="19"/>
  <c r="EP48" i="19"/>
  <c r="HB48" i="19"/>
  <c r="DC48" i="19"/>
  <c r="FO48" i="19"/>
  <c r="IA48" i="19"/>
  <c r="FP48" i="19"/>
  <c r="IB48" i="19"/>
  <c r="FI48" i="19"/>
  <c r="HU48" i="19"/>
  <c r="FJ48" i="19"/>
  <c r="HV48" i="19"/>
  <c r="DW48" i="19"/>
  <c r="GI48" i="19"/>
  <c r="AQ56" i="19"/>
  <c r="IA56" i="19"/>
  <c r="GE56" i="19"/>
  <c r="GU56" i="19"/>
  <c r="CM56" i="19"/>
  <c r="AR56" i="19"/>
  <c r="DD56" i="19"/>
  <c r="FP56" i="19"/>
  <c r="IB56" i="19"/>
  <c r="BI56" i="19"/>
  <c r="DU56" i="19"/>
  <c r="GG56" i="19"/>
  <c r="N56" i="19"/>
  <c r="BZ56" i="19"/>
  <c r="EL56" i="19"/>
  <c r="GX56" i="19"/>
  <c r="AE56" i="19"/>
  <c r="CQ56" i="19"/>
  <c r="FC56" i="19"/>
  <c r="HO56" i="19"/>
  <c r="AV56" i="19"/>
  <c r="DH56" i="19"/>
  <c r="FT56" i="19"/>
  <c r="IF56" i="19"/>
  <c r="BM56" i="19"/>
  <c r="DY56" i="19"/>
  <c r="GK56" i="19"/>
  <c r="BN56" i="19"/>
  <c r="DZ56" i="19"/>
  <c r="GL56" i="19"/>
  <c r="BO57" i="19"/>
  <c r="T57" i="19"/>
  <c r="IG57" i="19"/>
  <c r="AT57" i="19"/>
  <c r="EO57" i="19"/>
  <c r="N57" i="19"/>
  <c r="CQ57" i="19"/>
  <c r="GP57" i="19"/>
  <c r="AW57" i="19"/>
  <c r="ES57" i="19"/>
  <c r="P57" i="19"/>
  <c r="CU57" i="19"/>
  <c r="GS57" i="19"/>
  <c r="AZ57" i="19"/>
  <c r="EU57" i="19"/>
  <c r="Z57" i="19"/>
  <c r="DW57" i="19"/>
  <c r="K57" i="19"/>
  <c r="DY57" i="19"/>
  <c r="BX57" i="19"/>
  <c r="FH57" i="19"/>
  <c r="HG57" i="19"/>
  <c r="CR57" i="19"/>
  <c r="GB57" i="19"/>
  <c r="BN57" i="19"/>
  <c r="EP57" i="19"/>
  <c r="HZ57" i="19"/>
  <c r="DD55" i="19"/>
  <c r="BJ55" i="19"/>
  <c r="U55" i="19"/>
  <c r="FF55" i="19"/>
  <c r="CJ55" i="19"/>
  <c r="AS55" i="19"/>
  <c r="AJ55" i="19"/>
  <c r="BT60" i="19"/>
  <c r="GF60" i="19"/>
  <c r="EF60" i="19"/>
  <c r="BN60" i="19"/>
  <c r="DZ60" i="19"/>
  <c r="GL60" i="19"/>
  <c r="K60" i="19"/>
  <c r="BW60" i="19"/>
  <c r="EI60" i="19"/>
  <c r="GU60" i="19"/>
  <c r="L60" i="19"/>
  <c r="BX60" i="19"/>
  <c r="EJ60" i="19"/>
  <c r="GV60" i="19"/>
  <c r="CX60" i="19"/>
  <c r="DU60" i="19"/>
  <c r="P60" i="19"/>
  <c r="EX60" i="19"/>
  <c r="HJ60" i="19"/>
  <c r="FG60" i="19"/>
  <c r="CV60" i="19"/>
  <c r="FH60" i="19"/>
  <c r="GQ60" i="19"/>
  <c r="GW60" i="19"/>
  <c r="AL60" i="19"/>
  <c r="FJ60" i="19"/>
  <c r="HV60" i="19"/>
  <c r="BS60" i="19"/>
  <c r="EE60" i="19"/>
  <c r="FA60" i="19"/>
  <c r="GR60" i="19"/>
  <c r="CK60" i="19"/>
  <c r="HI60" i="19"/>
  <c r="CL60" i="19"/>
  <c r="AI60" i="19"/>
  <c r="HS60" i="19"/>
  <c r="G60" i="19"/>
  <c r="EW60" i="19"/>
  <c r="Z60" i="19"/>
  <c r="CU60" i="19"/>
  <c r="AJ60" i="19"/>
  <c r="HT60" i="19"/>
  <c r="HZ53" i="19"/>
  <c r="FN53" i="19"/>
  <c r="DB53" i="19"/>
  <c r="AP53" i="19"/>
  <c r="HA53" i="19"/>
  <c r="EO53" i="19"/>
  <c r="HP53" i="19"/>
  <c r="HG53" i="19"/>
  <c r="EU53" i="19"/>
  <c r="CI53" i="19"/>
  <c r="W53" i="19"/>
  <c r="GP53" i="19"/>
  <c r="ED53" i="19"/>
  <c r="BR53" i="19"/>
  <c r="HL53" i="19"/>
  <c r="FW53" i="19"/>
  <c r="BH53" i="19"/>
  <c r="FT53" i="19"/>
  <c r="BG53" i="19"/>
  <c r="FA53" i="19"/>
  <c r="AR53" i="19"/>
  <c r="EJ53" i="19"/>
  <c r="AC53" i="19"/>
  <c r="DS53" i="19"/>
  <c r="Q53" i="19"/>
  <c r="CZ53" i="19"/>
  <c r="F53" i="19"/>
  <c r="CK53" i="19"/>
  <c r="HC53" i="19"/>
  <c r="BW53" i="19"/>
  <c r="HZ47" i="19"/>
  <c r="FN47" i="19"/>
  <c r="DB47" i="19"/>
  <c r="AP47" i="19"/>
  <c r="HI47" i="19"/>
  <c r="EW47" i="19"/>
  <c r="CK47" i="19"/>
  <c r="Y47" i="19"/>
  <c r="GR47" i="19"/>
  <c r="EF47" i="19"/>
  <c r="BT47" i="19"/>
  <c r="H47" i="19"/>
  <c r="GA47" i="19"/>
  <c r="DO47" i="19"/>
  <c r="BC47" i="19"/>
  <c r="HV47" i="19"/>
  <c r="FJ47" i="19"/>
  <c r="CX47" i="19"/>
  <c r="AL47" i="19"/>
  <c r="HE47" i="19"/>
  <c r="ES47" i="19"/>
  <c r="CG47" i="19"/>
  <c r="U47" i="19"/>
  <c r="GN47" i="19"/>
  <c r="EB47" i="19"/>
  <c r="BP47" i="19"/>
  <c r="D47" i="19"/>
  <c r="FW47" i="19"/>
  <c r="DK47" i="19"/>
  <c r="AY47" i="19"/>
  <c r="HU39" i="19"/>
  <c r="FI39" i="19"/>
  <c r="CW39" i="19"/>
  <c r="AK39" i="19"/>
  <c r="HD39" i="19"/>
  <c r="ER39" i="19"/>
  <c r="CF39" i="19"/>
  <c r="T39" i="19"/>
  <c r="GU39" i="19"/>
  <c r="EI39" i="19"/>
  <c r="BW39" i="19"/>
  <c r="C39" i="19"/>
  <c r="FV39" i="19"/>
  <c r="DJ39" i="19"/>
  <c r="AX39" i="19"/>
  <c r="HQ39" i="19"/>
  <c r="HR53" i="19"/>
  <c r="FF53" i="19"/>
  <c r="CT53" i="19"/>
  <c r="AH53" i="19"/>
  <c r="GS53" i="19"/>
  <c r="EG53" i="19"/>
  <c r="HH53" i="19"/>
  <c r="GY53" i="19"/>
  <c r="EM53" i="19"/>
  <c r="CA53" i="19"/>
  <c r="O53" i="19"/>
  <c r="GH53" i="19"/>
  <c r="DV53" i="19"/>
  <c r="BJ53" i="19"/>
  <c r="HD53" i="19"/>
  <c r="FG53" i="19"/>
  <c r="AV53" i="19"/>
  <c r="FD53" i="19"/>
  <c r="AS53" i="19"/>
  <c r="EK53" i="19"/>
  <c r="AF53" i="19"/>
  <c r="DT53" i="19"/>
  <c r="S53" i="19"/>
  <c r="DC53" i="19"/>
  <c r="H53" i="19"/>
  <c r="CM53" i="19"/>
  <c r="HE53" i="19"/>
  <c r="BX53" i="19"/>
  <c r="FY53" i="19"/>
  <c r="BI53" i="19"/>
  <c r="HR47" i="19"/>
  <c r="FF47" i="19"/>
  <c r="CT47" i="19"/>
  <c r="AH47" i="19"/>
  <c r="HA47" i="19"/>
  <c r="EO47" i="19"/>
  <c r="CC47" i="19"/>
  <c r="Q47" i="19"/>
  <c r="GJ47" i="19"/>
  <c r="DX47" i="19"/>
  <c r="BL47" i="19"/>
  <c r="IE47" i="19"/>
  <c r="FS47" i="19"/>
  <c r="DG47" i="19"/>
  <c r="AU47" i="19"/>
  <c r="HN47" i="19"/>
  <c r="FB47" i="19"/>
  <c r="CP47" i="19"/>
  <c r="AD47" i="19"/>
  <c r="GW47" i="19"/>
  <c r="EK47" i="19"/>
  <c r="BY47" i="19"/>
  <c r="M47" i="19"/>
  <c r="GF47" i="19"/>
  <c r="DT47" i="19"/>
  <c r="BH47" i="19"/>
  <c r="IA47" i="19"/>
  <c r="FO47" i="19"/>
  <c r="DC47" i="19"/>
  <c r="AQ47" i="19"/>
  <c r="HM39" i="19"/>
  <c r="FA39" i="19"/>
  <c r="CO39" i="19"/>
  <c r="AC39" i="19"/>
  <c r="GV39" i="19"/>
  <c r="EJ39" i="19"/>
  <c r="BX39" i="19"/>
  <c r="L39" i="19"/>
  <c r="GM39" i="19"/>
  <c r="EA39" i="19"/>
  <c r="BO39" i="19"/>
  <c r="HZ39" i="19"/>
  <c r="FN39" i="19"/>
  <c r="HJ53" i="19"/>
  <c r="EX53" i="19"/>
  <c r="CL53" i="19"/>
  <c r="Z53" i="19"/>
  <c r="GK53" i="19"/>
  <c r="DY53" i="19"/>
  <c r="GZ53" i="19"/>
  <c r="GQ53" i="19"/>
  <c r="EE53" i="19"/>
  <c r="BS53" i="19"/>
  <c r="G53" i="19"/>
  <c r="FZ53" i="19"/>
  <c r="DN53" i="19"/>
  <c r="BB53" i="19"/>
  <c r="GV53" i="19"/>
  <c r="EQ53" i="19"/>
  <c r="AI53" i="19"/>
  <c r="EN53" i="19"/>
  <c r="AG53" i="19"/>
  <c r="DU53" i="19"/>
  <c r="T53" i="19"/>
  <c r="DD53" i="19"/>
  <c r="I53" i="19"/>
  <c r="CN53" i="19"/>
  <c r="HK53" i="19"/>
  <c r="BY53" i="19"/>
  <c r="GB53" i="19"/>
  <c r="BL53" i="19"/>
  <c r="FH53" i="19"/>
  <c r="AW53" i="19"/>
  <c r="HJ47" i="19"/>
  <c r="EX47" i="19"/>
  <c r="CL47" i="19"/>
  <c r="Z47" i="19"/>
  <c r="GS47" i="19"/>
  <c r="EG47" i="19"/>
  <c r="BU47" i="19"/>
  <c r="I47" i="19"/>
  <c r="GB47" i="19"/>
  <c r="DP47" i="19"/>
  <c r="BD47" i="19"/>
  <c r="HW47" i="19"/>
  <c r="FK47" i="19"/>
  <c r="CY47" i="19"/>
  <c r="AM47" i="19"/>
  <c r="HF47" i="19"/>
  <c r="ET47" i="19"/>
  <c r="CH47" i="19"/>
  <c r="V47" i="19"/>
  <c r="GO47" i="19"/>
  <c r="EC47" i="19"/>
  <c r="BQ47" i="19"/>
  <c r="E47" i="19"/>
  <c r="FX47" i="19"/>
  <c r="DL47" i="19"/>
  <c r="AZ47" i="19"/>
  <c r="HS47" i="19"/>
  <c r="FG47" i="19"/>
  <c r="CU47" i="19"/>
  <c r="AI47" i="19"/>
  <c r="HE39" i="19"/>
  <c r="ES39" i="19"/>
  <c r="CG39" i="19"/>
  <c r="U39" i="19"/>
  <c r="GN39" i="19"/>
  <c r="EB39" i="19"/>
  <c r="BP39" i="19"/>
  <c r="D39" i="19"/>
  <c r="GE39" i="19"/>
  <c r="DS39" i="19"/>
  <c r="BG39" i="19"/>
  <c r="HB53" i="19"/>
  <c r="EP53" i="19"/>
  <c r="CD53" i="19"/>
  <c r="R53" i="19"/>
  <c r="GC53" i="19"/>
  <c r="DQ53" i="19"/>
  <c r="GR53" i="19"/>
  <c r="GI53" i="19"/>
  <c r="DW53" i="19"/>
  <c r="BK53" i="19"/>
  <c r="ID53" i="19"/>
  <c r="FR53" i="19"/>
  <c r="DF53" i="19"/>
  <c r="AT53" i="19"/>
  <c r="GN53" i="19"/>
  <c r="EA53" i="19"/>
  <c r="V53" i="19"/>
  <c r="DX53" i="19"/>
  <c r="U53" i="19"/>
  <c r="DE53" i="19"/>
  <c r="J53" i="19"/>
  <c r="CO53" i="19"/>
  <c r="HM53" i="19"/>
  <c r="CB53" i="19"/>
  <c r="GE53" i="19"/>
  <c r="BM53" i="19"/>
  <c r="FI53" i="19"/>
  <c r="AY53" i="19"/>
  <c r="ER53" i="19"/>
  <c r="AJ53" i="19"/>
  <c r="HB47" i="19"/>
  <c r="EP47" i="19"/>
  <c r="CD47" i="19"/>
  <c r="R47" i="19"/>
  <c r="GK47" i="19"/>
  <c r="DY47" i="19"/>
  <c r="BM47" i="19"/>
  <c r="IF47" i="19"/>
  <c r="FT47" i="19"/>
  <c r="DH47" i="19"/>
  <c r="AV47" i="19"/>
  <c r="HO47" i="19"/>
  <c r="FC47" i="19"/>
  <c r="CQ47" i="19"/>
  <c r="AE47" i="19"/>
  <c r="GX47" i="19"/>
  <c r="EL47" i="19"/>
  <c r="BZ47" i="19"/>
  <c r="N47" i="19"/>
  <c r="GG47" i="19"/>
  <c r="DU47" i="19"/>
  <c r="BI47" i="19"/>
  <c r="IB47" i="19"/>
  <c r="FP47" i="19"/>
  <c r="DD47" i="19"/>
  <c r="AR47" i="19"/>
  <c r="HK47" i="19"/>
  <c r="EY47" i="19"/>
  <c r="CM47" i="19"/>
  <c r="AA47" i="19"/>
  <c r="GW39" i="19"/>
  <c r="EK39" i="19"/>
  <c r="BY39" i="19"/>
  <c r="M39" i="19"/>
  <c r="GF39" i="19"/>
  <c r="DT39" i="19"/>
  <c r="BH39" i="19"/>
  <c r="AI39" i="19"/>
  <c r="FW39" i="19"/>
  <c r="DK39" i="19"/>
  <c r="AY39" i="19"/>
  <c r="HJ39" i="19"/>
  <c r="EX39" i="19"/>
  <c r="CL39" i="19"/>
  <c r="Z39" i="19"/>
  <c r="GS39" i="19"/>
  <c r="EG39" i="19"/>
  <c r="BU39" i="19"/>
  <c r="I39" i="19"/>
  <c r="GA39" i="19"/>
  <c r="DO39" i="19"/>
  <c r="BC39" i="19"/>
  <c r="HV39" i="19"/>
  <c r="FJ39" i="19"/>
  <c r="CX39" i="19"/>
  <c r="AL39" i="19"/>
  <c r="IF39" i="19"/>
  <c r="GR39" i="19"/>
  <c r="CJ39" i="19"/>
  <c r="DX39" i="19"/>
  <c r="GU54" i="19"/>
  <c r="GT53" i="19"/>
  <c r="EH53" i="19"/>
  <c r="BV53" i="19"/>
  <c r="IG53" i="19"/>
  <c r="FU53" i="19"/>
  <c r="DI53" i="19"/>
  <c r="GJ53" i="19"/>
  <c r="GA53" i="19"/>
  <c r="DO53" i="19"/>
  <c r="BC53" i="19"/>
  <c r="HV53" i="19"/>
  <c r="FJ53" i="19"/>
  <c r="CX53" i="19"/>
  <c r="AL53" i="19"/>
  <c r="GF53" i="19"/>
  <c r="DK53" i="19"/>
  <c r="L53" i="19"/>
  <c r="DH53" i="19"/>
  <c r="K53" i="19"/>
  <c r="CR53" i="19"/>
  <c r="HS53" i="19"/>
  <c r="CC53" i="19"/>
  <c r="GG53" i="19"/>
  <c r="BO53" i="19"/>
  <c r="FL53" i="19"/>
  <c r="AZ53" i="19"/>
  <c r="ES53" i="19"/>
  <c r="AK53" i="19"/>
  <c r="EB53" i="19"/>
  <c r="X53" i="19"/>
  <c r="GT47" i="19"/>
  <c r="EH47" i="19"/>
  <c r="BV47" i="19"/>
  <c r="J47" i="19"/>
  <c r="GC47" i="19"/>
  <c r="DQ47" i="19"/>
  <c r="BE47" i="19"/>
  <c r="HX47" i="19"/>
  <c r="FL47" i="19"/>
  <c r="CZ47" i="19"/>
  <c r="AN47" i="19"/>
  <c r="HG47" i="19"/>
  <c r="EU47" i="19"/>
  <c r="CI47" i="19"/>
  <c r="W47" i="19"/>
  <c r="GP47" i="19"/>
  <c r="ED47" i="19"/>
  <c r="BR47" i="19"/>
  <c r="F47" i="19"/>
  <c r="FY47" i="19"/>
  <c r="DM47" i="19"/>
  <c r="BA47" i="19"/>
  <c r="HT47" i="19"/>
  <c r="FH47" i="19"/>
  <c r="CV47" i="19"/>
  <c r="AJ47" i="19"/>
  <c r="HC47" i="19"/>
  <c r="EQ47" i="19"/>
  <c r="CE47" i="19"/>
  <c r="S47" i="19"/>
  <c r="GO39" i="19"/>
  <c r="EC39" i="19"/>
  <c r="BQ39" i="19"/>
  <c r="E39" i="19"/>
  <c r="FX39" i="19"/>
  <c r="DL39" i="19"/>
  <c r="AZ39" i="19"/>
  <c r="IA39" i="19"/>
  <c r="FO39" i="19"/>
  <c r="DC39" i="19"/>
  <c r="AQ39" i="19"/>
  <c r="HB39" i="19"/>
  <c r="EP39" i="19"/>
  <c r="GL53" i="19"/>
  <c r="DZ53" i="19"/>
  <c r="BN53" i="19"/>
  <c r="HY53" i="19"/>
  <c r="FM53" i="19"/>
  <c r="DA53" i="19"/>
  <c r="IE53" i="19"/>
  <c r="FS53" i="19"/>
  <c r="DG53" i="19"/>
  <c r="AU53" i="19"/>
  <c r="HN53" i="19"/>
  <c r="FB53" i="19"/>
  <c r="CP53" i="19"/>
  <c r="AD53" i="19"/>
  <c r="FX53" i="19"/>
  <c r="CU53" i="19"/>
  <c r="C53" i="19"/>
  <c r="CS53" i="19"/>
  <c r="HU53" i="19"/>
  <c r="CE53" i="19"/>
  <c r="GM53" i="19"/>
  <c r="BP53" i="19"/>
  <c r="FO53" i="19"/>
  <c r="BA53" i="19"/>
  <c r="EV53" i="19"/>
  <c r="AN53" i="19"/>
  <c r="EC53" i="19"/>
  <c r="Y53" i="19"/>
  <c r="DL53" i="19"/>
  <c r="M53" i="19"/>
  <c r="GL47" i="19"/>
  <c r="DZ47" i="19"/>
  <c r="BN47" i="19"/>
  <c r="IG47" i="19"/>
  <c r="FU47" i="19"/>
  <c r="DI47" i="19"/>
  <c r="AW47" i="19"/>
  <c r="HP47" i="19"/>
  <c r="FD47" i="19"/>
  <c r="CR47" i="19"/>
  <c r="AF47" i="19"/>
  <c r="GY47" i="19"/>
  <c r="EM47" i="19"/>
  <c r="CA47" i="19"/>
  <c r="O47" i="19"/>
  <c r="GH47" i="19"/>
  <c r="DV47" i="19"/>
  <c r="BJ47" i="19"/>
  <c r="IC47" i="19"/>
  <c r="FQ47" i="19"/>
  <c r="DE47" i="19"/>
  <c r="AS47" i="19"/>
  <c r="HL47" i="19"/>
  <c r="EZ47" i="19"/>
  <c r="CN47" i="19"/>
  <c r="AB47" i="19"/>
  <c r="GU47" i="19"/>
  <c r="EI47" i="19"/>
  <c r="BW47" i="19"/>
  <c r="K47" i="19"/>
  <c r="GG39" i="19"/>
  <c r="DU39" i="19"/>
  <c r="BI39" i="19"/>
  <c r="IB39" i="19"/>
  <c r="FP39" i="19"/>
  <c r="DD39" i="19"/>
  <c r="AR39" i="19"/>
  <c r="HS39" i="19"/>
  <c r="FG39" i="19"/>
  <c r="CU39" i="19"/>
  <c r="AA39" i="19"/>
  <c r="GT39" i="19"/>
  <c r="EH39" i="19"/>
  <c r="BV39" i="19"/>
  <c r="J39" i="19"/>
  <c r="GC39" i="19"/>
  <c r="DQ39" i="19"/>
  <c r="BE39" i="19"/>
  <c r="HW39" i="19"/>
  <c r="FK39" i="19"/>
  <c r="CY39" i="19"/>
  <c r="AM39" i="19"/>
  <c r="HF39" i="19"/>
  <c r="ET39" i="19"/>
  <c r="CH39" i="19"/>
  <c r="FV53" i="19"/>
  <c r="DJ53" i="19"/>
  <c r="AX53" i="19"/>
  <c r="HI53" i="19"/>
  <c r="EW53" i="19"/>
  <c r="HX53" i="19"/>
  <c r="HO53" i="19"/>
  <c r="FC53" i="19"/>
  <c r="CQ53" i="19"/>
  <c r="AE53" i="19"/>
  <c r="GX53" i="19"/>
  <c r="EL53" i="19"/>
  <c r="BZ53" i="19"/>
  <c r="HT53" i="19"/>
  <c r="GW53" i="19"/>
  <c r="BU53" i="19"/>
  <c r="GU53" i="19"/>
  <c r="BT53" i="19"/>
  <c r="FQ53" i="19"/>
  <c r="BE53" i="19"/>
  <c r="EZ53" i="19"/>
  <c r="AQ53" i="19"/>
  <c r="EI53" i="19"/>
  <c r="AB53" i="19"/>
  <c r="DP53" i="19"/>
  <c r="P53" i="19"/>
  <c r="CW53" i="19"/>
  <c r="E53" i="19"/>
  <c r="CJ53" i="19"/>
  <c r="C60" i="19"/>
  <c r="FV47" i="19"/>
  <c r="DJ47" i="19"/>
  <c r="AX47" i="19"/>
  <c r="HQ47" i="19"/>
  <c r="FE47" i="19"/>
  <c r="CS47" i="19"/>
  <c r="AG47" i="19"/>
  <c r="GZ47" i="19"/>
  <c r="EN47" i="19"/>
  <c r="CB47" i="19"/>
  <c r="P47" i="19"/>
  <c r="GI47" i="19"/>
  <c r="DW47" i="19"/>
  <c r="BK47" i="19"/>
  <c r="ID47" i="19"/>
  <c r="FR47" i="19"/>
  <c r="DF47" i="19"/>
  <c r="AT47" i="19"/>
  <c r="HM47" i="19"/>
  <c r="FA47" i="19"/>
  <c r="CO47" i="19"/>
  <c r="AC47" i="19"/>
  <c r="GV47" i="19"/>
  <c r="EJ47" i="19"/>
  <c r="BX47" i="19"/>
  <c r="L47" i="19"/>
  <c r="GE47" i="19"/>
  <c r="DS47" i="19"/>
  <c r="BG47" i="19"/>
  <c r="IC39" i="19"/>
  <c r="FQ39" i="19"/>
  <c r="DE39" i="19"/>
  <c r="AS39" i="19"/>
  <c r="HL39" i="19"/>
  <c r="EZ39" i="19"/>
  <c r="CN39" i="19"/>
  <c r="AB39" i="19"/>
  <c r="HC39" i="19"/>
  <c r="EQ39" i="19"/>
  <c r="CE39" i="19"/>
  <c r="K39" i="19"/>
  <c r="GD39" i="19"/>
  <c r="DR39" i="19"/>
  <c r="BF39" i="19"/>
  <c r="HY39" i="19"/>
  <c r="FM39" i="19"/>
  <c r="DA39" i="19"/>
  <c r="AO39" i="19"/>
  <c r="HG39" i="19"/>
  <c r="EU39" i="19"/>
  <c r="CI39" i="19"/>
  <c r="W39" i="19"/>
  <c r="GP39" i="19"/>
  <c r="ED39" i="19"/>
  <c r="BR39" i="19"/>
  <c r="F39" i="19"/>
  <c r="HX39" i="19"/>
  <c r="AF39" i="19"/>
  <c r="EN39" i="19"/>
  <c r="IA54" i="19"/>
  <c r="FO54" i="19"/>
  <c r="DC54" i="19"/>
  <c r="AQ54" i="19"/>
  <c r="HJ54" i="19"/>
  <c r="EX54" i="19"/>
  <c r="CL54" i="19"/>
  <c r="Z54" i="19"/>
  <c r="GK54" i="19"/>
  <c r="GD53" i="19"/>
  <c r="CY53" i="19"/>
  <c r="IA53" i="19"/>
  <c r="EF53" i="19"/>
  <c r="BF47" i="19"/>
  <c r="X47" i="19"/>
  <c r="HU47" i="19"/>
  <c r="GM47" i="19"/>
  <c r="FH39" i="19"/>
  <c r="GL39" i="19"/>
  <c r="AH39" i="19"/>
  <c r="EW39" i="19"/>
  <c r="AW39" i="19"/>
  <c r="GI39" i="19"/>
  <c r="CA39" i="19"/>
  <c r="HN39" i="19"/>
  <c r="DN39" i="19"/>
  <c r="V39" i="19"/>
  <c r="FL39" i="19"/>
  <c r="EV39" i="19"/>
  <c r="BT39" i="19"/>
  <c r="FG54" i="19"/>
  <c r="CM54" i="19"/>
  <c r="S54" i="19"/>
  <c r="GD54" i="19"/>
  <c r="DJ54" i="19"/>
  <c r="AP54" i="19"/>
  <c r="GS54" i="19"/>
  <c r="DY54" i="19"/>
  <c r="BM54" i="19"/>
  <c r="IG54" i="19"/>
  <c r="FT54" i="19"/>
  <c r="DH54" i="19"/>
  <c r="AV54" i="19"/>
  <c r="HO54" i="19"/>
  <c r="FC54" i="19"/>
  <c r="CQ54" i="19"/>
  <c r="AE54" i="19"/>
  <c r="GX54" i="19"/>
  <c r="EL54" i="19"/>
  <c r="GW54" i="19"/>
  <c r="EK54" i="19"/>
  <c r="BY54" i="19"/>
  <c r="M54" i="19"/>
  <c r="EB54" i="19"/>
  <c r="V54" i="19"/>
  <c r="DF54" i="19"/>
  <c r="AR54" i="19"/>
  <c r="HD54" i="19"/>
  <c r="HQ46" i="19"/>
  <c r="FE46" i="19"/>
  <c r="CS46" i="19"/>
  <c r="AG46" i="19"/>
  <c r="GZ46" i="19"/>
  <c r="EN46" i="19"/>
  <c r="CB46" i="19"/>
  <c r="P46" i="19"/>
  <c r="GI46" i="19"/>
  <c r="DW46" i="19"/>
  <c r="BK46" i="19"/>
  <c r="ID46" i="19"/>
  <c r="FR46" i="19"/>
  <c r="DF46" i="19"/>
  <c r="AT46" i="19"/>
  <c r="HM46" i="19"/>
  <c r="FA46" i="19"/>
  <c r="CO46" i="19"/>
  <c r="AC46" i="19"/>
  <c r="GV46" i="19"/>
  <c r="EJ46" i="19"/>
  <c r="BX46" i="19"/>
  <c r="L46" i="19"/>
  <c r="GE46" i="19"/>
  <c r="DS46" i="19"/>
  <c r="BG46" i="19"/>
  <c r="HZ46" i="19"/>
  <c r="FN46" i="19"/>
  <c r="DB46" i="19"/>
  <c r="AP46" i="19"/>
  <c r="HD38" i="19"/>
  <c r="ER38" i="19"/>
  <c r="CF38" i="19"/>
  <c r="T38" i="19"/>
  <c r="GM38" i="19"/>
  <c r="EA38" i="19"/>
  <c r="BO38" i="19"/>
  <c r="C38" i="19"/>
  <c r="FV38" i="19"/>
  <c r="GC38" i="19"/>
  <c r="DQ38" i="19"/>
  <c r="BE38" i="19"/>
  <c r="HX38" i="19"/>
  <c r="FL38" i="19"/>
  <c r="CZ38" i="19"/>
  <c r="AN38" i="19"/>
  <c r="HF38" i="19"/>
  <c r="ET38" i="19"/>
  <c r="CH38" i="19"/>
  <c r="V38" i="19"/>
  <c r="GO38" i="19"/>
  <c r="EC38" i="19"/>
  <c r="BQ38" i="19"/>
  <c r="E38" i="19"/>
  <c r="HO38" i="19"/>
  <c r="HG38" i="19"/>
  <c r="FC38" i="19"/>
  <c r="DR38" i="19"/>
  <c r="CI38" i="19"/>
  <c r="CA38" i="19"/>
  <c r="GZ45" i="19"/>
  <c r="EN45" i="19"/>
  <c r="GQ45" i="19"/>
  <c r="HN45" i="19"/>
  <c r="FB45" i="19"/>
  <c r="HE45" i="19"/>
  <c r="ES45" i="19"/>
  <c r="GN45" i="19"/>
  <c r="EB45" i="19"/>
  <c r="GM45" i="19"/>
  <c r="HJ45" i="19"/>
  <c r="EX45" i="19"/>
  <c r="CL45" i="19"/>
  <c r="HI45" i="19"/>
  <c r="EW45" i="19"/>
  <c r="CK45" i="19"/>
  <c r="CQ45" i="19"/>
  <c r="U45" i="19"/>
  <c r="BT45" i="19"/>
  <c r="D45" i="19"/>
  <c r="AY45" i="19"/>
  <c r="DH45" i="19"/>
  <c r="AH45" i="19"/>
  <c r="CA45" i="19"/>
  <c r="I45" i="19"/>
  <c r="BD45" i="19"/>
  <c r="DP45" i="19"/>
  <c r="AM45" i="19"/>
  <c r="CR45" i="19"/>
  <c r="V45" i="19"/>
  <c r="HG52" i="19"/>
  <c r="EU52" i="19"/>
  <c r="CI52" i="19"/>
  <c r="W52" i="19"/>
  <c r="GP52" i="19"/>
  <c r="ED52" i="19"/>
  <c r="BR52" i="19"/>
  <c r="DR53" i="19"/>
  <c r="AM53" i="19"/>
  <c r="CF53" i="19"/>
  <c r="AA53" i="19"/>
  <c r="HY47" i="19"/>
  <c r="GQ47" i="19"/>
  <c r="FI47" i="19"/>
  <c r="EA47" i="19"/>
  <c r="CV39" i="19"/>
  <c r="FF39" i="19"/>
  <c r="R39" i="19"/>
  <c r="EO39" i="19"/>
  <c r="AG39" i="19"/>
  <c r="FS39" i="19"/>
  <c r="BS39" i="19"/>
  <c r="GX39" i="19"/>
  <c r="DF39" i="19"/>
  <c r="N39" i="19"/>
  <c r="CZ39" i="19"/>
  <c r="X39" i="19"/>
  <c r="ID54" i="19"/>
  <c r="EY54" i="19"/>
  <c r="CE54" i="19"/>
  <c r="K54" i="19"/>
  <c r="FV54" i="19"/>
  <c r="DB54" i="19"/>
  <c r="AH54" i="19"/>
  <c r="GC54" i="19"/>
  <c r="DQ54" i="19"/>
  <c r="BE54" i="19"/>
  <c r="HX54" i="19"/>
  <c r="FL54" i="19"/>
  <c r="CZ54" i="19"/>
  <c r="AN54" i="19"/>
  <c r="HG54" i="19"/>
  <c r="EU54" i="19"/>
  <c r="CI54" i="19"/>
  <c r="W54" i="19"/>
  <c r="GP54" i="19"/>
  <c r="ED54" i="19"/>
  <c r="GO54" i="19"/>
  <c r="EC54" i="19"/>
  <c r="BQ54" i="19"/>
  <c r="E54" i="19"/>
  <c r="CN54" i="19"/>
  <c r="FX54" i="19"/>
  <c r="BZ54" i="19"/>
  <c r="L54" i="19"/>
  <c r="ER54" i="19"/>
  <c r="HI46" i="19"/>
  <c r="EW46" i="19"/>
  <c r="CK46" i="19"/>
  <c r="Y46" i="19"/>
  <c r="GR46" i="19"/>
  <c r="EF46" i="19"/>
  <c r="BT46" i="19"/>
  <c r="H46" i="19"/>
  <c r="GA46" i="19"/>
  <c r="DO46" i="19"/>
  <c r="BC46" i="19"/>
  <c r="HV46" i="19"/>
  <c r="FJ46" i="19"/>
  <c r="CX46" i="19"/>
  <c r="AL46" i="19"/>
  <c r="HE46" i="19"/>
  <c r="ES46" i="19"/>
  <c r="CG46" i="19"/>
  <c r="U46" i="19"/>
  <c r="GN46" i="19"/>
  <c r="EB46" i="19"/>
  <c r="BP46" i="19"/>
  <c r="D46" i="19"/>
  <c r="FW46" i="19"/>
  <c r="DK46" i="19"/>
  <c r="AY46" i="19"/>
  <c r="HR46" i="19"/>
  <c r="FF46" i="19"/>
  <c r="CT46" i="19"/>
  <c r="AH46" i="19"/>
  <c r="GV38" i="19"/>
  <c r="EJ38" i="19"/>
  <c r="BX38" i="19"/>
  <c r="L38" i="19"/>
  <c r="GE38" i="19"/>
  <c r="DS38" i="19"/>
  <c r="BG38" i="19"/>
  <c r="HZ38" i="19"/>
  <c r="IG38" i="19"/>
  <c r="FU38" i="19"/>
  <c r="DI38" i="19"/>
  <c r="AW38" i="19"/>
  <c r="HP38" i="19"/>
  <c r="FD38" i="19"/>
  <c r="CR38" i="19"/>
  <c r="AF38" i="19"/>
  <c r="GX38" i="19"/>
  <c r="EL38" i="19"/>
  <c r="BZ38" i="19"/>
  <c r="N38" i="19"/>
  <c r="GG38" i="19"/>
  <c r="DU38" i="19"/>
  <c r="BI38" i="19"/>
  <c r="HW38" i="19"/>
  <c r="FK38" i="19"/>
  <c r="FF38" i="19"/>
  <c r="DW38" i="19"/>
  <c r="CL38" i="19"/>
  <c r="BC38" i="19"/>
  <c r="AU38" i="19"/>
  <c r="GR45" i="19"/>
  <c r="EF45" i="19"/>
  <c r="GI45" i="19"/>
  <c r="HF45" i="19"/>
  <c r="ET45" i="19"/>
  <c r="GW45" i="19"/>
  <c r="EK45" i="19"/>
  <c r="GF45" i="19"/>
  <c r="DT45" i="19"/>
  <c r="GE45" i="19"/>
  <c r="HB45" i="19"/>
  <c r="EP45" i="19"/>
  <c r="CD45" i="19"/>
  <c r="HA45" i="19"/>
  <c r="EO45" i="19"/>
  <c r="CC45" i="19"/>
  <c r="CG45" i="19"/>
  <c r="M45" i="19"/>
  <c r="BJ45" i="19"/>
  <c r="EA45" i="19"/>
  <c r="AQ45" i="19"/>
  <c r="CX45" i="19"/>
  <c r="Z45" i="19"/>
  <c r="BQ45" i="19"/>
  <c r="EU45" i="19"/>
  <c r="AV45" i="19"/>
  <c r="DE45" i="19"/>
  <c r="AE45" i="19"/>
  <c r="CH45" i="19"/>
  <c r="N45" i="19"/>
  <c r="GY52" i="19"/>
  <c r="EM52" i="19"/>
  <c r="CA52" i="19"/>
  <c r="BF53" i="19"/>
  <c r="HF53" i="19"/>
  <c r="GO53" i="19"/>
  <c r="DM53" i="19"/>
  <c r="FM47" i="19"/>
  <c r="EE47" i="19"/>
  <c r="CW47" i="19"/>
  <c r="BO47" i="19"/>
  <c r="AJ39" i="19"/>
  <c r="DZ39" i="19"/>
  <c r="IG39" i="19"/>
  <c r="DY39" i="19"/>
  <c r="Y39" i="19"/>
  <c r="FC39" i="19"/>
  <c r="BK39" i="19"/>
  <c r="GH39" i="19"/>
  <c r="CP39" i="19"/>
  <c r="GB39" i="19"/>
  <c r="AN39" i="19"/>
  <c r="EF39" i="19"/>
  <c r="HS54" i="19"/>
  <c r="EQ54" i="19"/>
  <c r="BW54" i="19"/>
  <c r="C54" i="19"/>
  <c r="FN54" i="19"/>
  <c r="CT54" i="19"/>
  <c r="R54" i="19"/>
  <c r="FU54" i="19"/>
  <c r="DI54" i="19"/>
  <c r="AW54" i="19"/>
  <c r="HP54" i="19"/>
  <c r="FD54" i="19"/>
  <c r="CR54" i="19"/>
  <c r="AF54" i="19"/>
  <c r="GY54" i="19"/>
  <c r="EM54" i="19"/>
  <c r="CA54" i="19"/>
  <c r="O54" i="19"/>
  <c r="GH54" i="19"/>
  <c r="DV54" i="19"/>
  <c r="GG54" i="19"/>
  <c r="DU54" i="19"/>
  <c r="BI54" i="19"/>
  <c r="GV54" i="19"/>
  <c r="BH54" i="19"/>
  <c r="DL54" i="19"/>
  <c r="AT54" i="19"/>
  <c r="HL54" i="19"/>
  <c r="CV54" i="19"/>
  <c r="HA46" i="19"/>
  <c r="EO46" i="19"/>
  <c r="CC46" i="19"/>
  <c r="Q46" i="19"/>
  <c r="GJ46" i="19"/>
  <c r="DX46" i="19"/>
  <c r="BL46" i="19"/>
  <c r="IE46" i="19"/>
  <c r="FS46" i="19"/>
  <c r="DG46" i="19"/>
  <c r="AU46" i="19"/>
  <c r="HN46" i="19"/>
  <c r="FB46" i="19"/>
  <c r="CP46" i="19"/>
  <c r="AD46" i="19"/>
  <c r="GW46" i="19"/>
  <c r="EK46" i="19"/>
  <c r="BY46" i="19"/>
  <c r="M46" i="19"/>
  <c r="GF46" i="19"/>
  <c r="DT46" i="19"/>
  <c r="BH46" i="19"/>
  <c r="IA46" i="19"/>
  <c r="FO46" i="19"/>
  <c r="DC46" i="19"/>
  <c r="AQ46" i="19"/>
  <c r="HJ46" i="19"/>
  <c r="EX46" i="19"/>
  <c r="CL46" i="19"/>
  <c r="Z46" i="19"/>
  <c r="GN38" i="19"/>
  <c r="EB38" i="19"/>
  <c r="BP38" i="19"/>
  <c r="D38" i="19"/>
  <c r="FW38" i="19"/>
  <c r="DK38" i="19"/>
  <c r="AY38" i="19"/>
  <c r="HJ38" i="19"/>
  <c r="HY38" i="19"/>
  <c r="FM38" i="19"/>
  <c r="DA38" i="19"/>
  <c r="AO38" i="19"/>
  <c r="HH38" i="19"/>
  <c r="EV38" i="19"/>
  <c r="CJ38" i="19"/>
  <c r="X38" i="19"/>
  <c r="GP38" i="19"/>
  <c r="ED38" i="19"/>
  <c r="BR38" i="19"/>
  <c r="F38" i="19"/>
  <c r="FY38" i="19"/>
  <c r="DM38" i="19"/>
  <c r="BA38" i="19"/>
  <c r="FN38" i="19"/>
  <c r="EE38" i="19"/>
  <c r="DZ38" i="19"/>
  <c r="CQ38" i="19"/>
  <c r="BF38" i="19"/>
  <c r="W38" i="19"/>
  <c r="O38" i="19"/>
  <c r="GJ45" i="19"/>
  <c r="DX45" i="19"/>
  <c r="GA45" i="19"/>
  <c r="GX45" i="19"/>
  <c r="EL45" i="19"/>
  <c r="GO45" i="19"/>
  <c r="EC45" i="19"/>
  <c r="FX45" i="19"/>
  <c r="DL45" i="19"/>
  <c r="FW45" i="19"/>
  <c r="GT45" i="19"/>
  <c r="EH45" i="19"/>
  <c r="BV45" i="19"/>
  <c r="GS45" i="19"/>
  <c r="EG45" i="19"/>
  <c r="BU45" i="19"/>
  <c r="BW45" i="19"/>
  <c r="E45" i="19"/>
  <c r="AZ45" i="19"/>
  <c r="DK45" i="19"/>
  <c r="AI45" i="19"/>
  <c r="CN45" i="19"/>
  <c r="R45" i="19"/>
  <c r="BG45" i="19"/>
  <c r="DS45" i="19"/>
  <c r="AN45" i="19"/>
  <c r="CU45" i="19"/>
  <c r="W45" i="19"/>
  <c r="BX45" i="19"/>
  <c r="F45" i="19"/>
  <c r="GQ52" i="19"/>
  <c r="EE52" i="19"/>
  <c r="BS52" i="19"/>
  <c r="G52" i="19"/>
  <c r="FZ52" i="19"/>
  <c r="DN52" i="19"/>
  <c r="BB52" i="19"/>
  <c r="HW52" i="19"/>
  <c r="FI52" i="19"/>
  <c r="CW52" i="19"/>
  <c r="AK52" i="19"/>
  <c r="HD52" i="19"/>
  <c r="ER52" i="19"/>
  <c r="CF52" i="19"/>
  <c r="T52" i="19"/>
  <c r="GM52" i="19"/>
  <c r="EA52" i="19"/>
  <c r="BO52" i="19"/>
  <c r="C52" i="19"/>
  <c r="FV52" i="19"/>
  <c r="DJ52" i="19"/>
  <c r="AX52" i="19"/>
  <c r="HI52" i="19"/>
  <c r="EW52" i="19"/>
  <c r="CK52" i="19"/>
  <c r="Y52" i="19"/>
  <c r="GJ52" i="19"/>
  <c r="DX52" i="19"/>
  <c r="BL52" i="19"/>
  <c r="IB60" i="19"/>
  <c r="HR60" i="19"/>
  <c r="HQ53" i="19"/>
  <c r="ET53" i="19"/>
  <c r="BQ53" i="19"/>
  <c r="N53" i="19"/>
  <c r="DA47" i="19"/>
  <c r="BS47" i="19"/>
  <c r="AK47" i="19"/>
  <c r="C47" i="19"/>
  <c r="HK39" i="19"/>
  <c r="DB39" i="19"/>
  <c r="HI39" i="19"/>
  <c r="DI39" i="19"/>
  <c r="Q39" i="19"/>
  <c r="EM39" i="19"/>
  <c r="AU39" i="19"/>
  <c r="FZ39" i="19"/>
  <c r="BZ39" i="19"/>
  <c r="DP39" i="19"/>
  <c r="HP39" i="19"/>
  <c r="GZ39" i="19"/>
  <c r="HK54" i="19"/>
  <c r="EI54" i="19"/>
  <c r="BO54" i="19"/>
  <c r="HZ54" i="19"/>
  <c r="FF54" i="19"/>
  <c r="CD54" i="19"/>
  <c r="J54" i="19"/>
  <c r="FM54" i="19"/>
  <c r="DA54" i="19"/>
  <c r="AO54" i="19"/>
  <c r="HH54" i="19"/>
  <c r="EV54" i="19"/>
  <c r="CJ54" i="19"/>
  <c r="X54" i="19"/>
  <c r="GQ54" i="19"/>
  <c r="EE54" i="19"/>
  <c r="BS54" i="19"/>
  <c r="G54" i="19"/>
  <c r="FZ54" i="19"/>
  <c r="DN54" i="19"/>
  <c r="FY54" i="19"/>
  <c r="DM54" i="19"/>
  <c r="BA54" i="19"/>
  <c r="EJ54" i="19"/>
  <c r="AB54" i="19"/>
  <c r="CF54" i="19"/>
  <c r="N54" i="19"/>
  <c r="EZ54" i="19"/>
  <c r="BP54" i="19"/>
  <c r="GS46" i="19"/>
  <c r="EG46" i="19"/>
  <c r="BU46" i="19"/>
  <c r="I46" i="19"/>
  <c r="GB46" i="19"/>
  <c r="DP46" i="19"/>
  <c r="BD46" i="19"/>
  <c r="HW46" i="19"/>
  <c r="FK46" i="19"/>
  <c r="CY46" i="19"/>
  <c r="AM46" i="19"/>
  <c r="HF46" i="19"/>
  <c r="ET46" i="19"/>
  <c r="CH46" i="19"/>
  <c r="V46" i="19"/>
  <c r="GO46" i="19"/>
  <c r="EC46" i="19"/>
  <c r="BQ46" i="19"/>
  <c r="E46" i="19"/>
  <c r="FX46" i="19"/>
  <c r="DL46" i="19"/>
  <c r="AZ46" i="19"/>
  <c r="HS46" i="19"/>
  <c r="FG46" i="19"/>
  <c r="CU46" i="19"/>
  <c r="AI46" i="19"/>
  <c r="HB46" i="19"/>
  <c r="EP46" i="19"/>
  <c r="CD46" i="19"/>
  <c r="R46" i="19"/>
  <c r="GF38" i="19"/>
  <c r="DT38" i="19"/>
  <c r="BH38" i="19"/>
  <c r="IA38" i="19"/>
  <c r="FO38" i="19"/>
  <c r="DC38" i="19"/>
  <c r="AQ38" i="19"/>
  <c r="GT38" i="19"/>
  <c r="HQ38" i="19"/>
  <c r="FE38" i="19"/>
  <c r="CS38" i="19"/>
  <c r="AG38" i="19"/>
  <c r="GZ38" i="19"/>
  <c r="EN38" i="19"/>
  <c r="CB38" i="19"/>
  <c r="P38" i="19"/>
  <c r="GH38" i="19"/>
  <c r="DV38" i="19"/>
  <c r="BJ38" i="19"/>
  <c r="IC38" i="19"/>
  <c r="FQ38" i="19"/>
  <c r="DE38" i="19"/>
  <c r="AS38" i="19"/>
  <c r="EH38" i="19"/>
  <c r="CY38" i="19"/>
  <c r="CT38" i="19"/>
  <c r="BK38" i="19"/>
  <c r="Z38" i="19"/>
  <c r="DJ38" i="19"/>
  <c r="AP38" i="19"/>
  <c r="GB45" i="19"/>
  <c r="IE45" i="19"/>
  <c r="FS45" i="19"/>
  <c r="GP45" i="19"/>
  <c r="ED45" i="19"/>
  <c r="GG45" i="19"/>
  <c r="IB45" i="19"/>
  <c r="FP45" i="19"/>
  <c r="IA45" i="19"/>
  <c r="FO45" i="19"/>
  <c r="GL45" i="19"/>
  <c r="DZ45" i="19"/>
  <c r="BN45" i="19"/>
  <c r="GK45" i="19"/>
  <c r="DY45" i="19"/>
  <c r="BM45" i="19"/>
  <c r="BK45" i="19"/>
  <c r="EE45" i="19"/>
  <c r="AR45" i="19"/>
  <c r="CY45" i="19"/>
  <c r="AA45" i="19"/>
  <c r="CB45" i="19"/>
  <c r="J45" i="19"/>
  <c r="AW45" i="19"/>
  <c r="DF45" i="19"/>
  <c r="AF45" i="19"/>
  <c r="CI45" i="19"/>
  <c r="O45" i="19"/>
  <c r="BL45" i="19"/>
  <c r="ID52" i="19"/>
  <c r="GI52" i="19"/>
  <c r="DW52" i="19"/>
  <c r="FE53" i="19"/>
  <c r="CH53" i="19"/>
  <c r="FP53" i="19"/>
  <c r="CV53" i="19"/>
  <c r="AO47" i="19"/>
  <c r="G47" i="19"/>
  <c r="HD47" i="19"/>
  <c r="FY39" i="19"/>
  <c r="EY39" i="19"/>
  <c r="CT39" i="19"/>
  <c r="HA39" i="19"/>
  <c r="CS39" i="19"/>
  <c r="IE39" i="19"/>
  <c r="EE39" i="19"/>
  <c r="AE39" i="19"/>
  <c r="FR39" i="19"/>
  <c r="BJ39" i="19"/>
  <c r="BD39" i="19"/>
  <c r="FD39" i="19"/>
  <c r="CB39" i="19"/>
  <c r="HC54" i="19"/>
  <c r="EA54" i="19"/>
  <c r="BG54" i="19"/>
  <c r="HR54" i="19"/>
  <c r="EP54" i="19"/>
  <c r="BV54" i="19"/>
  <c r="HY54" i="19"/>
  <c r="FE54" i="19"/>
  <c r="CS54" i="19"/>
  <c r="AG54" i="19"/>
  <c r="GZ54" i="19"/>
  <c r="EN54" i="19"/>
  <c r="CB54" i="19"/>
  <c r="P54" i="19"/>
  <c r="GI54" i="19"/>
  <c r="DW54" i="19"/>
  <c r="BK54" i="19"/>
  <c r="IE54" i="19"/>
  <c r="FR54" i="19"/>
  <c r="IC54" i="19"/>
  <c r="FQ54" i="19"/>
  <c r="DE54" i="19"/>
  <c r="AS54" i="19"/>
  <c r="CP54" i="19"/>
  <c r="GF54" i="19"/>
  <c r="AZ54" i="19"/>
  <c r="HT54" i="19"/>
  <c r="CX54" i="19"/>
  <c r="AJ54" i="19"/>
  <c r="GK46" i="19"/>
  <c r="DY46" i="19"/>
  <c r="BM46" i="19"/>
  <c r="IF46" i="19"/>
  <c r="FT46" i="19"/>
  <c r="DH46" i="19"/>
  <c r="AV46" i="19"/>
  <c r="HO46" i="19"/>
  <c r="FC46" i="19"/>
  <c r="CQ46" i="19"/>
  <c r="AE46" i="19"/>
  <c r="GX46" i="19"/>
  <c r="EL46" i="19"/>
  <c r="BZ46" i="19"/>
  <c r="N46" i="19"/>
  <c r="GG46" i="19"/>
  <c r="DU46" i="19"/>
  <c r="BI46" i="19"/>
  <c r="IB46" i="19"/>
  <c r="FP46" i="19"/>
  <c r="DD46" i="19"/>
  <c r="AR46" i="19"/>
  <c r="HK46" i="19"/>
  <c r="EY46" i="19"/>
  <c r="CM46" i="19"/>
  <c r="AA46" i="19"/>
  <c r="GT46" i="19"/>
  <c r="EH46" i="19"/>
  <c r="BV46" i="19"/>
  <c r="J46" i="19"/>
  <c r="FX38" i="19"/>
  <c r="DL38" i="19"/>
  <c r="AZ38" i="19"/>
  <c r="HS38" i="19"/>
  <c r="FG38" i="19"/>
  <c r="CU38" i="19"/>
  <c r="AI38" i="19"/>
  <c r="GD38" i="19"/>
  <c r="HI38" i="19"/>
  <c r="EW38" i="19"/>
  <c r="CK38" i="19"/>
  <c r="Y38" i="19"/>
  <c r="GR38" i="19"/>
  <c r="EF38" i="19"/>
  <c r="BT38" i="19"/>
  <c r="H38" i="19"/>
  <c r="FZ38" i="19"/>
  <c r="DN38" i="19"/>
  <c r="BB38" i="19"/>
  <c r="HU38" i="19"/>
  <c r="FI38" i="19"/>
  <c r="CW38" i="19"/>
  <c r="AK38" i="19"/>
  <c r="DB38" i="19"/>
  <c r="BS38" i="19"/>
  <c r="BN38" i="19"/>
  <c r="AE38" i="19"/>
  <c r="CD38" i="19"/>
  <c r="IE38" i="19"/>
  <c r="IF45" i="19"/>
  <c r="FT45" i="19"/>
  <c r="HW45" i="19"/>
  <c r="FK45" i="19"/>
  <c r="GH45" i="19"/>
  <c r="DV45" i="19"/>
  <c r="FY45" i="19"/>
  <c r="HT45" i="19"/>
  <c r="FH45" i="19"/>
  <c r="HS45" i="19"/>
  <c r="FG45" i="19"/>
  <c r="GD45" i="19"/>
  <c r="DR45" i="19"/>
  <c r="BF45" i="19"/>
  <c r="GC45" i="19"/>
  <c r="DQ45" i="19"/>
  <c r="BE45" i="19"/>
  <c r="BA45" i="19"/>
  <c r="DM45" i="19"/>
  <c r="AJ45" i="19"/>
  <c r="CO45" i="19"/>
  <c r="S45" i="19"/>
  <c r="BR45" i="19"/>
  <c r="DU45" i="19"/>
  <c r="AO45" i="19"/>
  <c r="CV45" i="19"/>
  <c r="X45" i="19"/>
  <c r="BY45" i="19"/>
  <c r="G45" i="19"/>
  <c r="BB45" i="19"/>
  <c r="HV52" i="19"/>
  <c r="GA52" i="19"/>
  <c r="DO52" i="19"/>
  <c r="IF53" i="19"/>
  <c r="IB53" i="19"/>
  <c r="BD53" i="19"/>
  <c r="D53" i="19"/>
  <c r="HH47" i="19"/>
  <c r="FZ47" i="19"/>
  <c r="ER47" i="19"/>
  <c r="DM39" i="19"/>
  <c r="CM39" i="19"/>
  <c r="CD39" i="19"/>
  <c r="GK39" i="19"/>
  <c r="CK39" i="19"/>
  <c r="HO39" i="19"/>
  <c r="DW39" i="19"/>
  <c r="O39" i="19"/>
  <c r="FB39" i="19"/>
  <c r="BB39" i="19"/>
  <c r="FT39" i="19"/>
  <c r="CR39" i="19"/>
  <c r="P39" i="19"/>
  <c r="GM54" i="19"/>
  <c r="DS54" i="19"/>
  <c r="AY54" i="19"/>
  <c r="HB54" i="19"/>
  <c r="EH54" i="19"/>
  <c r="BN54" i="19"/>
  <c r="HQ54" i="19"/>
  <c r="EW54" i="19"/>
  <c r="CK54" i="19"/>
  <c r="Y54" i="19"/>
  <c r="GR54" i="19"/>
  <c r="EF54" i="19"/>
  <c r="BT54" i="19"/>
  <c r="H54" i="19"/>
  <c r="GA54" i="19"/>
  <c r="DO54" i="19"/>
  <c r="BC54" i="19"/>
  <c r="HV54" i="19"/>
  <c r="FJ54" i="19"/>
  <c r="HU54" i="19"/>
  <c r="FI54" i="19"/>
  <c r="CW54" i="19"/>
  <c r="AK54" i="19"/>
  <c r="BJ54" i="19"/>
  <c r="DT54" i="19"/>
  <c r="T54" i="19"/>
  <c r="FH54" i="19"/>
  <c r="BR54" i="19"/>
  <c r="D54" i="19"/>
  <c r="GC46" i="19"/>
  <c r="DQ46" i="19"/>
  <c r="BE46" i="19"/>
  <c r="HX46" i="19"/>
  <c r="FL46" i="19"/>
  <c r="CZ46" i="19"/>
  <c r="AN46" i="19"/>
  <c r="HG46" i="19"/>
  <c r="EU46" i="19"/>
  <c r="CI46" i="19"/>
  <c r="W46" i="19"/>
  <c r="GP46" i="19"/>
  <c r="ED46" i="19"/>
  <c r="BR46" i="19"/>
  <c r="F46" i="19"/>
  <c r="FY46" i="19"/>
  <c r="DM46" i="19"/>
  <c r="BA46" i="19"/>
  <c r="HT46" i="19"/>
  <c r="FH46" i="19"/>
  <c r="CV46" i="19"/>
  <c r="AJ46" i="19"/>
  <c r="HC46" i="19"/>
  <c r="EQ46" i="19"/>
  <c r="CE46" i="19"/>
  <c r="S46" i="19"/>
  <c r="GL46" i="19"/>
  <c r="DZ46" i="19"/>
  <c r="BN46" i="19"/>
  <c r="IB38" i="19"/>
  <c r="FP38" i="19"/>
  <c r="DD38" i="19"/>
  <c r="AR38" i="19"/>
  <c r="HK38" i="19"/>
  <c r="EY38" i="19"/>
  <c r="CM38" i="19"/>
  <c r="AA38" i="19"/>
  <c r="HR38" i="19"/>
  <c r="HA38" i="19"/>
  <c r="EO38" i="19"/>
  <c r="CC38" i="19"/>
  <c r="Q38" i="19"/>
  <c r="GJ38" i="19"/>
  <c r="DX38" i="19"/>
  <c r="BL38" i="19"/>
  <c r="ID38" i="19"/>
  <c r="FR38" i="19"/>
  <c r="DF38" i="19"/>
  <c r="AT38" i="19"/>
  <c r="HM38" i="19"/>
  <c r="FA38" i="19"/>
  <c r="CO38" i="19"/>
  <c r="AC38" i="19"/>
  <c r="BV38" i="19"/>
  <c r="AM38" i="19"/>
  <c r="AH38" i="19"/>
  <c r="AX38" i="19"/>
  <c r="GI38" i="19"/>
  <c r="FS38" i="19"/>
  <c r="HX45" i="19"/>
  <c r="FL45" i="19"/>
  <c r="HO45" i="19"/>
  <c r="FC45" i="19"/>
  <c r="FZ45" i="19"/>
  <c r="IC45" i="19"/>
  <c r="FQ45" i="19"/>
  <c r="HL45" i="19"/>
  <c r="EZ45" i="19"/>
  <c r="HK45" i="19"/>
  <c r="EY45" i="19"/>
  <c r="FV45" i="19"/>
  <c r="DJ45" i="19"/>
  <c r="IG45" i="19"/>
  <c r="FU45" i="19"/>
  <c r="DI45" i="19"/>
  <c r="EI45" i="19"/>
  <c r="AS45" i="19"/>
  <c r="CZ45" i="19"/>
  <c r="AB45" i="19"/>
  <c r="CE45" i="19"/>
  <c r="K45" i="19"/>
  <c r="BH45" i="19"/>
  <c r="DG45" i="19"/>
  <c r="AG45" i="19"/>
  <c r="CJ45" i="19"/>
  <c r="P45" i="19"/>
  <c r="BO45" i="19"/>
  <c r="EM45" i="19"/>
  <c r="AT45" i="19"/>
  <c r="HN52" i="19"/>
  <c r="FS52" i="19"/>
  <c r="DG52" i="19"/>
  <c r="AU52" i="19"/>
  <c r="HO52" i="19"/>
  <c r="FB52" i="19"/>
  <c r="CP52" i="19"/>
  <c r="AD52" i="19"/>
  <c r="GW52" i="19"/>
  <c r="EK52" i="19"/>
  <c r="BY52" i="19"/>
  <c r="M52" i="19"/>
  <c r="GF52" i="19"/>
  <c r="DT52" i="19"/>
  <c r="BH52" i="19"/>
  <c r="IC52" i="19"/>
  <c r="FO52" i="19"/>
  <c r="DC52" i="19"/>
  <c r="AQ52" i="19"/>
  <c r="HJ52" i="19"/>
  <c r="EX52" i="19"/>
  <c r="CL52" i="19"/>
  <c r="HW53" i="19"/>
  <c r="IC53" i="19"/>
  <c r="EY53" i="19"/>
  <c r="GD47" i="19"/>
  <c r="EV47" i="19"/>
  <c r="DN47" i="19"/>
  <c r="CF47" i="19"/>
  <c r="BA39" i="19"/>
  <c r="S39" i="19"/>
  <c r="BN39" i="19"/>
  <c r="FU39" i="19"/>
  <c r="CC39" i="19"/>
  <c r="GY39" i="19"/>
  <c r="DG39" i="19"/>
  <c r="G39" i="19"/>
  <c r="EL39" i="19"/>
  <c r="AT39" i="19"/>
  <c r="DH39" i="19"/>
  <c r="H39" i="19"/>
  <c r="GJ39" i="19"/>
  <c r="GE54" i="19"/>
  <c r="DK54" i="19"/>
  <c r="AI54" i="19"/>
  <c r="GT54" i="19"/>
  <c r="DZ54" i="19"/>
  <c r="BF54" i="19"/>
  <c r="HI54" i="19"/>
  <c r="EO54" i="19"/>
  <c r="CC54" i="19"/>
  <c r="Q54" i="19"/>
  <c r="GJ54" i="19"/>
  <c r="DX54" i="19"/>
  <c r="BL54" i="19"/>
  <c r="IF54" i="19"/>
  <c r="FS54" i="19"/>
  <c r="DG54" i="19"/>
  <c r="AU54" i="19"/>
  <c r="HN54" i="19"/>
  <c r="FB54" i="19"/>
  <c r="HM54" i="19"/>
  <c r="FA54" i="19"/>
  <c r="CO54" i="19"/>
  <c r="AC54" i="19"/>
  <c r="AD54" i="19"/>
  <c r="CH54" i="19"/>
  <c r="IB54" i="19"/>
  <c r="DD54" i="19"/>
  <c r="AL54" i="19"/>
  <c r="IG46" i="19"/>
  <c r="FU46" i="19"/>
  <c r="DI46" i="19"/>
  <c r="AW46" i="19"/>
  <c r="HP46" i="19"/>
  <c r="FD46" i="19"/>
  <c r="CR46" i="19"/>
  <c r="AF46" i="19"/>
  <c r="GY46" i="19"/>
  <c r="EM46" i="19"/>
  <c r="CA46" i="19"/>
  <c r="O46" i="19"/>
  <c r="GH46" i="19"/>
  <c r="DV46" i="19"/>
  <c r="BJ46" i="19"/>
  <c r="IC46" i="19"/>
  <c r="FQ46" i="19"/>
  <c r="DE46" i="19"/>
  <c r="AS46" i="19"/>
  <c r="HL46" i="19"/>
  <c r="EZ46" i="19"/>
  <c r="CN46" i="19"/>
  <c r="AB46" i="19"/>
  <c r="GU46" i="19"/>
  <c r="EI46" i="19"/>
  <c r="BW46" i="19"/>
  <c r="K46" i="19"/>
  <c r="GD46" i="19"/>
  <c r="DR46" i="19"/>
  <c r="BF46" i="19"/>
  <c r="HT38" i="19"/>
  <c r="FH38" i="19"/>
  <c r="CV38" i="19"/>
  <c r="AJ38" i="19"/>
  <c r="HC38" i="19"/>
  <c r="EQ38" i="19"/>
  <c r="CE38" i="19"/>
  <c r="S38" i="19"/>
  <c r="HB38" i="19"/>
  <c r="GS38" i="19"/>
  <c r="EG38" i="19"/>
  <c r="BU38" i="19"/>
  <c r="I38" i="19"/>
  <c r="GB38" i="19"/>
  <c r="DP38" i="19"/>
  <c r="BD38" i="19"/>
  <c r="HV38" i="19"/>
  <c r="FJ38" i="19"/>
  <c r="CX38" i="19"/>
  <c r="AL38" i="19"/>
  <c r="HE38" i="19"/>
  <c r="ES38" i="19"/>
  <c r="CG38" i="19"/>
  <c r="U38" i="19"/>
  <c r="J38" i="19"/>
  <c r="G38" i="19"/>
  <c r="R38" i="19"/>
  <c r="GQ38" i="19"/>
  <c r="EU38" i="19"/>
  <c r="EM38" i="19"/>
  <c r="HP45" i="19"/>
  <c r="FD45" i="19"/>
  <c r="HG45" i="19"/>
  <c r="ID45" i="19"/>
  <c r="FR45" i="19"/>
  <c r="HU45" i="19"/>
  <c r="FI45" i="19"/>
  <c r="HD45" i="19"/>
  <c r="ER45" i="19"/>
  <c r="HC45" i="19"/>
  <c r="HZ45" i="19"/>
  <c r="FN45" i="19"/>
  <c r="DB45" i="19"/>
  <c r="HY45" i="19"/>
  <c r="FM45" i="19"/>
  <c r="DA45" i="19"/>
  <c r="DN45" i="19"/>
  <c r="AK45" i="19"/>
  <c r="CP45" i="19"/>
  <c r="T45" i="19"/>
  <c r="BS45" i="19"/>
  <c r="C45" i="19"/>
  <c r="AX45" i="19"/>
  <c r="CW45" i="19"/>
  <c r="Y45" i="19"/>
  <c r="BZ45" i="19"/>
  <c r="H45" i="19"/>
  <c r="BC45" i="19"/>
  <c r="DO45" i="19"/>
  <c r="AL45" i="19"/>
  <c r="HY52" i="19"/>
  <c r="FK52" i="19"/>
  <c r="CY52" i="19"/>
  <c r="AM52" i="19"/>
  <c r="HF52" i="19"/>
  <c r="ET52" i="19"/>
  <c r="CH52" i="19"/>
  <c r="V52" i="19"/>
  <c r="GO52" i="19"/>
  <c r="EC52" i="19"/>
  <c r="BQ52" i="19"/>
  <c r="E52" i="19"/>
  <c r="FX52" i="19"/>
  <c r="DL52" i="19"/>
  <c r="AZ52" i="19"/>
  <c r="HT52" i="19"/>
  <c r="FG52" i="19"/>
  <c r="CU52" i="19"/>
  <c r="AI52" i="19"/>
  <c r="HB52" i="19"/>
  <c r="EP52" i="19"/>
  <c r="CD52" i="19"/>
  <c r="R52" i="19"/>
  <c r="GC52" i="19"/>
  <c r="DQ52" i="19"/>
  <c r="BE52" i="19"/>
  <c r="HQ52" i="19"/>
  <c r="FD52" i="19"/>
  <c r="CR52" i="19"/>
  <c r="AF52" i="19"/>
  <c r="IA60" i="19"/>
  <c r="Q60" i="19"/>
  <c r="FK53" i="19"/>
  <c r="HR39" i="19"/>
  <c r="AD39" i="19"/>
  <c r="DR54" i="19"/>
  <c r="BD54" i="19"/>
  <c r="ES54" i="19"/>
  <c r="HY46" i="19"/>
  <c r="GQ46" i="19"/>
  <c r="FI46" i="19"/>
  <c r="EA46" i="19"/>
  <c r="CN38" i="19"/>
  <c r="DY38" i="19"/>
  <c r="CP38" i="19"/>
  <c r="GY38" i="19"/>
  <c r="FJ45" i="19"/>
  <c r="CT45" i="19"/>
  <c r="BI45" i="19"/>
  <c r="DD45" i="19"/>
  <c r="O52" i="19"/>
  <c r="DV52" i="19"/>
  <c r="F52" i="19"/>
  <c r="ES52" i="19"/>
  <c r="AS52" i="19"/>
  <c r="FP52" i="19"/>
  <c r="BX52" i="19"/>
  <c r="HC52" i="19"/>
  <c r="DK52" i="19"/>
  <c r="K52" i="19"/>
  <c r="EH52" i="19"/>
  <c r="AP52" i="19"/>
  <c r="GK52" i="19"/>
  <c r="DA52" i="19"/>
  <c r="Q52" i="19"/>
  <c r="FL52" i="19"/>
  <c r="CB52" i="19"/>
  <c r="FP60" i="19"/>
  <c r="AH60" i="19"/>
  <c r="H60" i="19"/>
  <c r="AT60" i="19"/>
  <c r="GE37" i="19"/>
  <c r="GD37" i="19"/>
  <c r="DR37" i="19"/>
  <c r="BF37" i="19"/>
  <c r="HX37" i="19"/>
  <c r="HM37" i="19"/>
  <c r="FA37" i="19"/>
  <c r="CO37" i="19"/>
  <c r="AC37" i="19"/>
  <c r="GF37" i="19"/>
  <c r="DT37" i="19"/>
  <c r="BH37" i="19"/>
  <c r="EA37" i="19"/>
  <c r="F37" i="19"/>
  <c r="EY37" i="19"/>
  <c r="AF37" i="19"/>
  <c r="DX37" i="19"/>
  <c r="HA37" i="19"/>
  <c r="CX37" i="19"/>
  <c r="D37" i="19"/>
  <c r="W37" i="19"/>
  <c r="DV37" i="19"/>
  <c r="I37" i="19"/>
  <c r="DS37" i="19"/>
  <c r="V37" i="19"/>
  <c r="EO37" i="19"/>
  <c r="AQ37" i="19"/>
  <c r="DO37" i="19"/>
  <c r="CZ37" i="19"/>
  <c r="AT37" i="19"/>
  <c r="FZ51" i="19"/>
  <c r="DN51" i="19"/>
  <c r="BB51" i="19"/>
  <c r="FY51" i="19"/>
  <c r="DM51" i="19"/>
  <c r="GF51" i="19"/>
  <c r="DT51" i="19"/>
  <c r="BH51" i="19"/>
  <c r="IA51" i="19"/>
  <c r="FO51" i="19"/>
  <c r="DC51" i="19"/>
  <c r="AQ51" i="19"/>
  <c r="HJ51" i="19"/>
  <c r="EX51" i="19"/>
  <c r="IG51" i="19"/>
  <c r="FU51" i="19"/>
  <c r="DI51" i="19"/>
  <c r="GJ51" i="19"/>
  <c r="DX51" i="19"/>
  <c r="BL51" i="19"/>
  <c r="IE51" i="19"/>
  <c r="FS51" i="19"/>
  <c r="DG51" i="19"/>
  <c r="AU51" i="19"/>
  <c r="AW51" i="19"/>
  <c r="CG51" i="19"/>
  <c r="Z51" i="19"/>
  <c r="BY51" i="19"/>
  <c r="AK51" i="19"/>
  <c r="IA43" i="19"/>
  <c r="FO43" i="19"/>
  <c r="DC43" i="19"/>
  <c r="AQ43" i="19"/>
  <c r="HJ43" i="19"/>
  <c r="EX43" i="19"/>
  <c r="CL43" i="19"/>
  <c r="Z43" i="19"/>
  <c r="GS43" i="19"/>
  <c r="EG43" i="19"/>
  <c r="BU43" i="19"/>
  <c r="I43" i="19"/>
  <c r="GB43" i="19"/>
  <c r="DP43" i="19"/>
  <c r="BD43" i="19"/>
  <c r="HW43" i="19"/>
  <c r="FK43" i="19"/>
  <c r="CY43" i="19"/>
  <c r="AM43" i="19"/>
  <c r="HF43" i="19"/>
  <c r="ET43" i="19"/>
  <c r="CH43" i="19"/>
  <c r="V43" i="19"/>
  <c r="GO43" i="19"/>
  <c r="EC43" i="19"/>
  <c r="BQ43" i="19"/>
  <c r="E43" i="19"/>
  <c r="FX43" i="19"/>
  <c r="DL43" i="19"/>
  <c r="AZ43" i="19"/>
  <c r="EZ60" i="19"/>
  <c r="EP60" i="19"/>
  <c r="GJ60" i="19"/>
  <c r="HN60" i="19"/>
  <c r="HW50" i="19"/>
  <c r="GS50" i="19"/>
  <c r="EG50" i="19"/>
  <c r="BU50" i="19"/>
  <c r="I50" i="19"/>
  <c r="FT50" i="19"/>
  <c r="DH50" i="19"/>
  <c r="AV50" i="19"/>
  <c r="HG50" i="19"/>
  <c r="EU50" i="19"/>
  <c r="CI50" i="19"/>
  <c r="W50" i="19"/>
  <c r="GH50" i="19"/>
  <c r="DV50" i="19"/>
  <c r="CG53" i="19"/>
  <c r="AP39" i="19"/>
  <c r="AV39" i="19"/>
  <c r="AX54" i="19"/>
  <c r="HW54" i="19"/>
  <c r="CG54" i="19"/>
  <c r="FM46" i="19"/>
  <c r="EE46" i="19"/>
  <c r="CW46" i="19"/>
  <c r="BO46" i="19"/>
  <c r="AB38" i="19"/>
  <c r="BM38" i="19"/>
  <c r="AD38" i="19"/>
  <c r="EX38" i="19"/>
  <c r="HM45" i="19"/>
  <c r="HQ45" i="19"/>
  <c r="DW45" i="19"/>
  <c r="AD45" i="19"/>
  <c r="IG52" i="19"/>
  <c r="DF52" i="19"/>
  <c r="IF52" i="19"/>
  <c r="DU52" i="19"/>
  <c r="AC52" i="19"/>
  <c r="FH52" i="19"/>
  <c r="BP52" i="19"/>
  <c r="GU52" i="19"/>
  <c r="CM52" i="19"/>
  <c r="IB52" i="19"/>
  <c r="DZ52" i="19"/>
  <c r="AH52" i="19"/>
  <c r="FU52" i="19"/>
  <c r="CS52" i="19"/>
  <c r="I52" i="19"/>
  <c r="EV52" i="19"/>
  <c r="BT52" i="19"/>
  <c r="DD60" i="19"/>
  <c r="HQ60" i="19"/>
  <c r="GY60" i="19"/>
  <c r="HM60" i="19"/>
  <c r="FW37" i="19"/>
  <c r="FV37" i="19"/>
  <c r="DJ37" i="19"/>
  <c r="AX37" i="19"/>
  <c r="HP37" i="19"/>
  <c r="HE37" i="19"/>
  <c r="ES37" i="19"/>
  <c r="CG37" i="19"/>
  <c r="U37" i="19"/>
  <c r="FX37" i="19"/>
  <c r="DL37" i="19"/>
  <c r="AZ37" i="19"/>
  <c r="DA37" i="19"/>
  <c r="AY37" i="19"/>
  <c r="DN37" i="19"/>
  <c r="IG37" i="19"/>
  <c r="DK37" i="19"/>
  <c r="GK37" i="19"/>
  <c r="CJ37" i="19"/>
  <c r="GZ37" i="19"/>
  <c r="C37" i="19"/>
  <c r="CU37" i="19"/>
  <c r="HV37" i="19"/>
  <c r="DG37" i="19"/>
  <c r="GH37" i="19"/>
  <c r="ED37" i="19"/>
  <c r="AE37" i="19"/>
  <c r="CP37" i="19"/>
  <c r="BM37" i="19"/>
  <c r="ID51" i="19"/>
  <c r="FR51" i="19"/>
  <c r="DF51" i="19"/>
  <c r="IC51" i="19"/>
  <c r="FQ51" i="19"/>
  <c r="DE51" i="19"/>
  <c r="FX51" i="19"/>
  <c r="DL51" i="19"/>
  <c r="AZ51" i="19"/>
  <c r="HS51" i="19"/>
  <c r="FG51" i="19"/>
  <c r="CU51" i="19"/>
  <c r="AI51" i="19"/>
  <c r="HB51" i="19"/>
  <c r="EP51" i="19"/>
  <c r="HY51" i="19"/>
  <c r="FM51" i="19"/>
  <c r="DA51" i="19"/>
  <c r="GB51" i="19"/>
  <c r="DP51" i="19"/>
  <c r="BD51" i="19"/>
  <c r="HW51" i="19"/>
  <c r="FK51" i="19"/>
  <c r="CY51" i="19"/>
  <c r="AM51" i="19"/>
  <c r="AG51" i="19"/>
  <c r="BM51" i="19"/>
  <c r="J51" i="19"/>
  <c r="BE51" i="19"/>
  <c r="U51" i="19"/>
  <c r="HS43" i="19"/>
  <c r="FG43" i="19"/>
  <c r="CU43" i="19"/>
  <c r="AI43" i="19"/>
  <c r="HB43" i="19"/>
  <c r="EP43" i="19"/>
  <c r="CD43" i="19"/>
  <c r="R43" i="19"/>
  <c r="GK43" i="19"/>
  <c r="DY43" i="19"/>
  <c r="BM43" i="19"/>
  <c r="IF43" i="19"/>
  <c r="FT43" i="19"/>
  <c r="DH43" i="19"/>
  <c r="AV43" i="19"/>
  <c r="HO43" i="19"/>
  <c r="FC43" i="19"/>
  <c r="CQ43" i="19"/>
  <c r="AE43" i="19"/>
  <c r="GX43" i="19"/>
  <c r="EL43" i="19"/>
  <c r="BZ43" i="19"/>
  <c r="N43" i="19"/>
  <c r="GG43" i="19"/>
  <c r="DU43" i="19"/>
  <c r="BI43" i="19"/>
  <c r="IB43" i="19"/>
  <c r="FP43" i="19"/>
  <c r="DD43" i="19"/>
  <c r="AR43" i="19"/>
  <c r="CN60" i="19"/>
  <c r="CD60" i="19"/>
  <c r="DX60" i="19"/>
  <c r="FB60" i="19"/>
  <c r="HO50" i="19"/>
  <c r="GK50" i="19"/>
  <c r="DY50" i="19"/>
  <c r="AO53" i="19"/>
  <c r="FE39" i="19"/>
  <c r="HH39" i="19"/>
  <c r="HA54" i="19"/>
  <c r="FK54" i="19"/>
  <c r="U54" i="19"/>
  <c r="DA46" i="19"/>
  <c r="BS46" i="19"/>
  <c r="AK46" i="19"/>
  <c r="C46" i="19"/>
  <c r="GU38" i="19"/>
  <c r="IF38" i="19"/>
  <c r="GW38" i="19"/>
  <c r="DO38" i="19"/>
  <c r="FA45" i="19"/>
  <c r="FE45" i="19"/>
  <c r="AP45" i="19"/>
  <c r="HP52" i="19"/>
  <c r="HX52" i="19"/>
  <c r="CX52" i="19"/>
  <c r="HM52" i="19"/>
  <c r="DM52" i="19"/>
  <c r="U52" i="19"/>
  <c r="EZ52" i="19"/>
  <c r="AR52" i="19"/>
  <c r="GE52" i="19"/>
  <c r="CE52" i="19"/>
  <c r="HS52" i="19"/>
  <c r="DR52" i="19"/>
  <c r="Z52" i="19"/>
  <c r="FM52" i="19"/>
  <c r="CC52" i="19"/>
  <c r="HZ52" i="19"/>
  <c r="EN52" i="19"/>
  <c r="BD52" i="19"/>
  <c r="AR60" i="19"/>
  <c r="FE60" i="19"/>
  <c r="EM60" i="19"/>
  <c r="IA37" i="19"/>
  <c r="HZ37" i="19"/>
  <c r="FN37" i="19"/>
  <c r="DB37" i="19"/>
  <c r="AP37" i="19"/>
  <c r="IE37" i="19"/>
  <c r="GW37" i="19"/>
  <c r="EK37" i="19"/>
  <c r="BY37" i="19"/>
  <c r="IB37" i="19"/>
  <c r="FP37" i="19"/>
  <c r="DD37" i="19"/>
  <c r="AR37" i="19"/>
  <c r="CB37" i="19"/>
  <c r="N37" i="19"/>
  <c r="CM37" i="19"/>
  <c r="HF37" i="19"/>
  <c r="CY37" i="19"/>
  <c r="FU37" i="19"/>
  <c r="BW37" i="19"/>
  <c r="FG37" i="19"/>
  <c r="EQ37" i="19"/>
  <c r="BU37" i="19"/>
  <c r="GY37" i="19"/>
  <c r="CS37" i="19"/>
  <c r="CE37" i="19"/>
  <c r="DP37" i="19"/>
  <c r="Q37" i="19"/>
  <c r="BO37" i="19"/>
  <c r="AA37" i="19"/>
  <c r="HV51" i="19"/>
  <c r="FJ51" i="19"/>
  <c r="CX51" i="19"/>
  <c r="HU51" i="19"/>
  <c r="FI51" i="19"/>
  <c r="IB51" i="19"/>
  <c r="FP51" i="19"/>
  <c r="DD51" i="19"/>
  <c r="AR51" i="19"/>
  <c r="HK51" i="19"/>
  <c r="EY51" i="19"/>
  <c r="CM51" i="19"/>
  <c r="AA51" i="19"/>
  <c r="GT51" i="19"/>
  <c r="EH51" i="19"/>
  <c r="HQ51" i="19"/>
  <c r="FE51" i="19"/>
  <c r="IF51" i="19"/>
  <c r="FT51" i="19"/>
  <c r="DH51" i="19"/>
  <c r="AV51" i="19"/>
  <c r="HO51" i="19"/>
  <c r="FC51" i="19"/>
  <c r="CQ51" i="19"/>
  <c r="AE51" i="19"/>
  <c r="Q51" i="19"/>
  <c r="AS51" i="19"/>
  <c r="CC51" i="19"/>
  <c r="AL51" i="19"/>
  <c r="E51" i="19"/>
  <c r="HK43" i="19"/>
  <c r="EY43" i="19"/>
  <c r="CM43" i="19"/>
  <c r="AA43" i="19"/>
  <c r="GT43" i="19"/>
  <c r="EH43" i="19"/>
  <c r="BV43" i="19"/>
  <c r="J43" i="19"/>
  <c r="GC43" i="19"/>
  <c r="DQ43" i="19"/>
  <c r="BE43" i="19"/>
  <c r="HX43" i="19"/>
  <c r="FL43" i="19"/>
  <c r="CZ43" i="19"/>
  <c r="AN43" i="19"/>
  <c r="HG43" i="19"/>
  <c r="EU43" i="19"/>
  <c r="CI43" i="19"/>
  <c r="W43" i="19"/>
  <c r="GP43" i="19"/>
  <c r="ED43" i="19"/>
  <c r="BR43" i="19"/>
  <c r="F43" i="19"/>
  <c r="FY43" i="19"/>
  <c r="DM43" i="19"/>
  <c r="BA43" i="19"/>
  <c r="HT43" i="19"/>
  <c r="FH43" i="19"/>
  <c r="CV43" i="19"/>
  <c r="AJ43" i="19"/>
  <c r="AB60" i="19"/>
  <c r="R60" i="19"/>
  <c r="BL60" i="19"/>
  <c r="CP60" i="19"/>
  <c r="ID50" i="19"/>
  <c r="GC50" i="19"/>
  <c r="DQ50" i="19"/>
  <c r="BE50" i="19"/>
  <c r="HQ50" i="19"/>
  <c r="FD50" i="19"/>
  <c r="CR50" i="19"/>
  <c r="AF50" i="19"/>
  <c r="GQ50" i="19"/>
  <c r="EE50" i="19"/>
  <c r="BS50" i="19"/>
  <c r="G50" i="19"/>
  <c r="FR50" i="19"/>
  <c r="DF50" i="19"/>
  <c r="AT50" i="19"/>
  <c r="HE50" i="19"/>
  <c r="ES50" i="19"/>
  <c r="CG50" i="19"/>
  <c r="U50" i="19"/>
  <c r="GF50" i="19"/>
  <c r="DT50" i="19"/>
  <c r="BH50" i="19"/>
  <c r="HU50" i="19"/>
  <c r="FG50" i="19"/>
  <c r="CU50" i="19"/>
  <c r="AI50" i="19"/>
  <c r="HB50" i="19"/>
  <c r="EP50" i="19"/>
  <c r="CD50" i="19"/>
  <c r="R50" i="19"/>
  <c r="GD42" i="19"/>
  <c r="HI42" i="19"/>
  <c r="GZ42" i="19"/>
  <c r="GY42" i="19"/>
  <c r="GP42" i="19"/>
  <c r="IC42" i="19"/>
  <c r="HL42" i="19"/>
  <c r="EZ42" i="19"/>
  <c r="DR47" i="19"/>
  <c r="BM39" i="19"/>
  <c r="BL39" i="19"/>
  <c r="EG54" i="19"/>
  <c r="CY54" i="19"/>
  <c r="GN54" i="19"/>
  <c r="AO46" i="19"/>
  <c r="G46" i="19"/>
  <c r="HD46" i="19"/>
  <c r="FV46" i="19"/>
  <c r="EI38" i="19"/>
  <c r="FT38" i="19"/>
  <c r="EK38" i="19"/>
  <c r="DG38" i="19"/>
  <c r="GV45" i="19"/>
  <c r="CS45" i="19"/>
  <c r="CM45" i="19"/>
  <c r="FC52" i="19"/>
  <c r="GX52" i="19"/>
  <c r="BZ52" i="19"/>
  <c r="HE52" i="19"/>
  <c r="DE52" i="19"/>
  <c r="IE52" i="19"/>
  <c r="EJ52" i="19"/>
  <c r="AJ52" i="19"/>
  <c r="FW52" i="19"/>
  <c r="BW52" i="19"/>
  <c r="GT52" i="19"/>
  <c r="DB52" i="19"/>
  <c r="J52" i="19"/>
  <c r="FE52" i="19"/>
  <c r="BU52" i="19"/>
  <c r="HH52" i="19"/>
  <c r="EF52" i="19"/>
  <c r="AV52" i="19"/>
  <c r="FO60" i="19"/>
  <c r="CS60" i="19"/>
  <c r="CA60" i="19"/>
  <c r="HS37" i="19"/>
  <c r="HR37" i="19"/>
  <c r="FF37" i="19"/>
  <c r="CT37" i="19"/>
  <c r="AH37" i="19"/>
  <c r="HW37" i="19"/>
  <c r="GO37" i="19"/>
  <c r="EC37" i="19"/>
  <c r="BQ37" i="19"/>
  <c r="HT37" i="19"/>
  <c r="FH37" i="19"/>
  <c r="CV37" i="19"/>
  <c r="AJ37" i="19"/>
  <c r="AO37" i="19"/>
  <c r="FD37" i="19"/>
  <c r="BB37" i="19"/>
  <c r="GP37" i="19"/>
  <c r="CK37" i="19"/>
  <c r="FJ37" i="19"/>
  <c r="BK37" i="19"/>
  <c r="EG37" i="19"/>
  <c r="BS37" i="19"/>
  <c r="AI37" i="19"/>
  <c r="GI37" i="19"/>
  <c r="CH37" i="19"/>
  <c r="HN37" i="19"/>
  <c r="DC37" i="19"/>
  <c r="H37" i="19"/>
  <c r="BC37" i="19"/>
  <c r="O37" i="19"/>
  <c r="HN51" i="19"/>
  <c r="FB51" i="19"/>
  <c r="CP51" i="19"/>
  <c r="HM51" i="19"/>
  <c r="FA51" i="19"/>
  <c r="HT51" i="19"/>
  <c r="FH51" i="19"/>
  <c r="CV51" i="19"/>
  <c r="AJ51" i="19"/>
  <c r="HC51" i="19"/>
  <c r="EQ51" i="19"/>
  <c r="CE51" i="19"/>
  <c r="S51" i="19"/>
  <c r="GL51" i="19"/>
  <c r="DZ51" i="19"/>
  <c r="HI51" i="19"/>
  <c r="EW51" i="19"/>
  <c r="HX51" i="19"/>
  <c r="FL51" i="19"/>
  <c r="CZ51" i="19"/>
  <c r="AN51" i="19"/>
  <c r="HG51" i="19"/>
  <c r="EU51" i="19"/>
  <c r="CI51" i="19"/>
  <c r="W51" i="19"/>
  <c r="CK51" i="19"/>
  <c r="AC51" i="19"/>
  <c r="BF51" i="19"/>
  <c r="V51" i="19"/>
  <c r="CO51" i="19"/>
  <c r="HC43" i="19"/>
  <c r="EQ43" i="19"/>
  <c r="CE43" i="19"/>
  <c r="S43" i="19"/>
  <c r="GL43" i="19"/>
  <c r="DZ43" i="19"/>
  <c r="BN43" i="19"/>
  <c r="IG43" i="19"/>
  <c r="FU43" i="19"/>
  <c r="DI43" i="19"/>
  <c r="AW43" i="19"/>
  <c r="HP43" i="19"/>
  <c r="FD43" i="19"/>
  <c r="CR43" i="19"/>
  <c r="AF43" i="19"/>
  <c r="GY43" i="19"/>
  <c r="EM43" i="19"/>
  <c r="CA43" i="19"/>
  <c r="O43" i="19"/>
  <c r="GH43" i="19"/>
  <c r="DV43" i="19"/>
  <c r="BJ43" i="19"/>
  <c r="IC43" i="19"/>
  <c r="FQ43" i="19"/>
  <c r="DE43" i="19"/>
  <c r="AS43" i="19"/>
  <c r="HL43" i="19"/>
  <c r="EZ43" i="19"/>
  <c r="CN43" i="19"/>
  <c r="AB43" i="19"/>
  <c r="HK60" i="19"/>
  <c r="FI60" i="19"/>
  <c r="CW60" i="19"/>
  <c r="AD60" i="19"/>
  <c r="HV50" i="19"/>
  <c r="FU50" i="19"/>
  <c r="DI50" i="19"/>
  <c r="AW50" i="19"/>
  <c r="HH50" i="19"/>
  <c r="EV50" i="19"/>
  <c r="CJ50" i="19"/>
  <c r="X50" i="19"/>
  <c r="CJ47" i="19"/>
  <c r="GQ39" i="19"/>
  <c r="FW54" i="19"/>
  <c r="BU54" i="19"/>
  <c r="AM54" i="19"/>
  <c r="BB54" i="19"/>
  <c r="HH46" i="19"/>
  <c r="FZ46" i="19"/>
  <c r="ER46" i="19"/>
  <c r="DJ46" i="19"/>
  <c r="BW38" i="19"/>
  <c r="DH38" i="19"/>
  <c r="BY38" i="19"/>
  <c r="HH45" i="19"/>
  <c r="EJ45" i="19"/>
  <c r="DC45" i="19"/>
  <c r="Q45" i="19"/>
  <c r="CQ52" i="19"/>
  <c r="GH52" i="19"/>
  <c r="BJ52" i="19"/>
  <c r="GG52" i="19"/>
  <c r="CO52" i="19"/>
  <c r="HU52" i="19"/>
  <c r="EB52" i="19"/>
  <c r="AB52" i="19"/>
  <c r="EY52" i="19"/>
  <c r="BG52" i="19"/>
  <c r="GL52" i="19"/>
  <c r="CT52" i="19"/>
  <c r="IA52" i="19"/>
  <c r="EO52" i="19"/>
  <c r="BM52" i="19"/>
  <c r="GZ52" i="19"/>
  <c r="DP52" i="19"/>
  <c r="AN52" i="19"/>
  <c r="DC60" i="19"/>
  <c r="FY60" i="19"/>
  <c r="O60" i="19"/>
  <c r="HK37" i="19"/>
  <c r="HJ37" i="19"/>
  <c r="EX37" i="19"/>
  <c r="CL37" i="19"/>
  <c r="Z37" i="19"/>
  <c r="HO37" i="19"/>
  <c r="GG37" i="19"/>
  <c r="DU37" i="19"/>
  <c r="BI37" i="19"/>
  <c r="HL37" i="19"/>
  <c r="EZ37" i="19"/>
  <c r="CN37" i="19"/>
  <c r="AB37" i="19"/>
  <c r="G37" i="19"/>
  <c r="BE37" i="19"/>
  <c r="BL37" i="19"/>
  <c r="FZ37" i="19"/>
  <c r="AM37" i="19"/>
  <c r="EV37" i="19"/>
  <c r="AW37" i="19"/>
  <c r="DH37" i="19"/>
  <c r="HY37" i="19"/>
  <c r="L37" i="19"/>
  <c r="FS37" i="19"/>
  <c r="BT37" i="19"/>
  <c r="GS37" i="19"/>
  <c r="CQ37" i="19"/>
  <c r="HI37" i="19"/>
  <c r="AD37" i="19"/>
  <c r="BZ37" i="19"/>
  <c r="HF51" i="19"/>
  <c r="ET51" i="19"/>
  <c r="CH51" i="19"/>
  <c r="HE51" i="19"/>
  <c r="ES51" i="19"/>
  <c r="HL51" i="19"/>
  <c r="EZ51" i="19"/>
  <c r="CN51" i="19"/>
  <c r="AB51" i="19"/>
  <c r="GU51" i="19"/>
  <c r="EI51" i="19"/>
  <c r="BW51" i="19"/>
  <c r="K51" i="19"/>
  <c r="GD51" i="19"/>
  <c r="DR51" i="19"/>
  <c r="HA51" i="19"/>
  <c r="EO51" i="19"/>
  <c r="HP51" i="19"/>
  <c r="FD51" i="19"/>
  <c r="CR51" i="19"/>
  <c r="AF51" i="19"/>
  <c r="GY51" i="19"/>
  <c r="EM51" i="19"/>
  <c r="CA51" i="19"/>
  <c r="O51" i="19"/>
  <c r="BN51" i="19"/>
  <c r="M51" i="19"/>
  <c r="AO51" i="19"/>
  <c r="F51" i="19"/>
  <c r="BU51" i="19"/>
  <c r="GU43" i="19"/>
  <c r="EI43" i="19"/>
  <c r="BW43" i="19"/>
  <c r="K43" i="19"/>
  <c r="GD43" i="19"/>
  <c r="DR43" i="19"/>
  <c r="BF43" i="19"/>
  <c r="HY43" i="19"/>
  <c r="FM43" i="19"/>
  <c r="DA43" i="19"/>
  <c r="AO43" i="19"/>
  <c r="HH43" i="19"/>
  <c r="EV43" i="19"/>
  <c r="CJ43" i="19"/>
  <c r="X43" i="19"/>
  <c r="GQ43" i="19"/>
  <c r="EE43" i="19"/>
  <c r="BS43" i="19"/>
  <c r="G43" i="19"/>
  <c r="FZ43" i="19"/>
  <c r="DN43" i="19"/>
  <c r="BB43" i="19"/>
  <c r="HU43" i="19"/>
  <c r="FI43" i="19"/>
  <c r="CW43" i="19"/>
  <c r="AK43" i="19"/>
  <c r="HD43" i="19"/>
  <c r="ER43" i="19"/>
  <c r="CF43" i="19"/>
  <c r="T43" i="19"/>
  <c r="EY60" i="19"/>
  <c r="HA60" i="19"/>
  <c r="GI60" i="19"/>
  <c r="GO60" i="19"/>
  <c r="IF50" i="19"/>
  <c r="FM50" i="19"/>
  <c r="DA50" i="19"/>
  <c r="AO50" i="19"/>
  <c r="GZ50" i="19"/>
  <c r="EN50" i="19"/>
  <c r="CB50" i="19"/>
  <c r="P50" i="19"/>
  <c r="GA50" i="19"/>
  <c r="DO50" i="19"/>
  <c r="BC50" i="19"/>
  <c r="HN50" i="19"/>
  <c r="BB47" i="19"/>
  <c r="CQ39" i="19"/>
  <c r="CU54" i="19"/>
  <c r="I54" i="19"/>
  <c r="HF54" i="19"/>
  <c r="FP54" i="19"/>
  <c r="EV46" i="19"/>
  <c r="DN46" i="19"/>
  <c r="CF46" i="19"/>
  <c r="AX46" i="19"/>
  <c r="K38" i="19"/>
  <c r="AV38" i="19"/>
  <c r="M38" i="19"/>
  <c r="EV45" i="19"/>
  <c r="GU45" i="19"/>
  <c r="AC45" i="19"/>
  <c r="BP45" i="19"/>
  <c r="BK52" i="19"/>
  <c r="FR52" i="19"/>
  <c r="AT52" i="19"/>
  <c r="FY52" i="19"/>
  <c r="CG52" i="19"/>
  <c r="HL52" i="19"/>
  <c r="DD52" i="19"/>
  <c r="L52" i="19"/>
  <c r="EQ52" i="19"/>
  <c r="AY52" i="19"/>
  <c r="GD52" i="19"/>
  <c r="BV52" i="19"/>
  <c r="HR52" i="19"/>
  <c r="EG52" i="19"/>
  <c r="AW52" i="19"/>
  <c r="GR52" i="19"/>
  <c r="DH52" i="19"/>
  <c r="X52" i="19"/>
  <c r="AQ60" i="19"/>
  <c r="GZ60" i="19"/>
  <c r="ID60" i="19"/>
  <c r="HC37" i="19"/>
  <c r="HB37" i="19"/>
  <c r="EP37" i="19"/>
  <c r="CD37" i="19"/>
  <c r="R37" i="19"/>
  <c r="HG37" i="19"/>
  <c r="FY37" i="19"/>
  <c r="DM37" i="19"/>
  <c r="BA37" i="19"/>
  <c r="HD37" i="19"/>
  <c r="ER37" i="19"/>
  <c r="CF37" i="19"/>
  <c r="T37" i="19"/>
  <c r="DY37" i="19"/>
  <c r="HH37" i="19"/>
  <c r="E37" i="19"/>
  <c r="FK37" i="19"/>
  <c r="DF37" i="19"/>
  <c r="EI37" i="19"/>
  <c r="AL37" i="19"/>
  <c r="CI37" i="19"/>
  <c r="GJ37" i="19"/>
  <c r="K37" i="19"/>
  <c r="FE37" i="19"/>
  <c r="BG37" i="19"/>
  <c r="GC37" i="19"/>
  <c r="CC37" i="19"/>
  <c r="GB37" i="19"/>
  <c r="P37" i="19"/>
  <c r="Y37" i="19"/>
  <c r="GX51" i="19"/>
  <c r="EL51" i="19"/>
  <c r="BZ51" i="19"/>
  <c r="GW51" i="19"/>
  <c r="EK51" i="19"/>
  <c r="HD51" i="19"/>
  <c r="ER51" i="19"/>
  <c r="CF51" i="19"/>
  <c r="T51" i="19"/>
  <c r="GM51" i="19"/>
  <c r="EA51" i="19"/>
  <c r="BO51" i="19"/>
  <c r="C51" i="19"/>
  <c r="FV51" i="19"/>
  <c r="DJ51" i="19"/>
  <c r="GS51" i="19"/>
  <c r="EG51" i="19"/>
  <c r="HH51" i="19"/>
  <c r="EV51" i="19"/>
  <c r="CJ51" i="19"/>
  <c r="X51" i="19"/>
  <c r="GQ51" i="19"/>
  <c r="EE51" i="19"/>
  <c r="BS51" i="19"/>
  <c r="G51" i="19"/>
  <c r="AT51" i="19"/>
  <c r="CD51" i="19"/>
  <c r="Y51" i="19"/>
  <c r="CS51" i="19"/>
  <c r="AX51" i="19"/>
  <c r="GM43" i="19"/>
  <c r="EA43" i="19"/>
  <c r="BO43" i="19"/>
  <c r="C43" i="19"/>
  <c r="FV43" i="19"/>
  <c r="DJ43" i="19"/>
  <c r="AX43" i="19"/>
  <c r="HQ43" i="19"/>
  <c r="FE43" i="19"/>
  <c r="CS43" i="19"/>
  <c r="AG43" i="19"/>
  <c r="GZ43" i="19"/>
  <c r="EN43" i="19"/>
  <c r="CB43" i="19"/>
  <c r="P43" i="19"/>
  <c r="GI43" i="19"/>
  <c r="DW43" i="19"/>
  <c r="BK43" i="19"/>
  <c r="ID43" i="19"/>
  <c r="FR43" i="19"/>
  <c r="DF43" i="19"/>
  <c r="AT43" i="19"/>
  <c r="HM43" i="19"/>
  <c r="FA43" i="19"/>
  <c r="CO43" i="19"/>
  <c r="AC43" i="19"/>
  <c r="GV43" i="19"/>
  <c r="EJ43" i="19"/>
  <c r="BX43" i="19"/>
  <c r="L43" i="19"/>
  <c r="CM60" i="19"/>
  <c r="EO60" i="19"/>
  <c r="DW60" i="19"/>
  <c r="IA50" i="19"/>
  <c r="HR50" i="19"/>
  <c r="FE50" i="19"/>
  <c r="CS50" i="19"/>
  <c r="AG50" i="19"/>
  <c r="GR50" i="19"/>
  <c r="EF50" i="19"/>
  <c r="BT50" i="19"/>
  <c r="H50" i="19"/>
  <c r="FS50" i="19"/>
  <c r="DG50" i="19"/>
  <c r="AU50" i="19"/>
  <c r="HF50" i="19"/>
  <c r="ET50" i="19"/>
  <c r="CH50" i="19"/>
  <c r="V50" i="19"/>
  <c r="T47" i="19"/>
  <c r="ID39" i="19"/>
  <c r="AA54" i="19"/>
  <c r="GB54" i="19"/>
  <c r="ET54" i="19"/>
  <c r="BX54" i="19"/>
  <c r="CJ46" i="19"/>
  <c r="BB46" i="19"/>
  <c r="T46" i="19"/>
  <c r="HL38" i="19"/>
  <c r="GL38" i="19"/>
  <c r="HN38" i="19"/>
  <c r="EP38" i="19"/>
  <c r="GY45" i="19"/>
  <c r="HR45" i="19"/>
  <c r="CF45" i="19"/>
  <c r="EQ45" i="19"/>
  <c r="BC52" i="19"/>
  <c r="FJ52" i="19"/>
  <c r="AL52" i="19"/>
  <c r="FQ52" i="19"/>
  <c r="BI52" i="19"/>
  <c r="GV52" i="19"/>
  <c r="CV52" i="19"/>
  <c r="D52" i="19"/>
  <c r="EI52" i="19"/>
  <c r="AA52" i="19"/>
  <c r="FN52" i="19"/>
  <c r="BN52" i="19"/>
  <c r="HA52" i="19"/>
  <c r="DY52" i="19"/>
  <c r="AO52" i="19"/>
  <c r="GB52" i="19"/>
  <c r="CZ52" i="19"/>
  <c r="P52" i="19"/>
  <c r="FF60" i="19"/>
  <c r="EN60" i="19"/>
  <c r="FR60" i="19"/>
  <c r="GU37" i="19"/>
  <c r="GT37" i="19"/>
  <c r="EH37" i="19"/>
  <c r="BV37" i="19"/>
  <c r="J37" i="19"/>
  <c r="IC37" i="19"/>
  <c r="FQ37" i="19"/>
  <c r="DE37" i="19"/>
  <c r="AS37" i="19"/>
  <c r="GV37" i="19"/>
  <c r="EJ37" i="19"/>
  <c r="BX37" i="19"/>
  <c r="GR37" i="19"/>
  <c r="CA37" i="19"/>
  <c r="GQ37" i="19"/>
  <c r="GX37" i="19"/>
  <c r="EW37" i="19"/>
  <c r="S37" i="19"/>
  <c r="DW37" i="19"/>
  <c r="X37" i="19"/>
  <c r="BJ37" i="19"/>
  <c r="FT37" i="19"/>
  <c r="FR37" i="19"/>
  <c r="ET37" i="19"/>
  <c r="AU37" i="19"/>
  <c r="FO37" i="19"/>
  <c r="BR37" i="19"/>
  <c r="FB37" i="19"/>
  <c r="FL37" i="19"/>
  <c r="HQ37" i="19"/>
  <c r="GP51" i="19"/>
  <c r="ED51" i="19"/>
  <c r="BR51" i="19"/>
  <c r="GO51" i="19"/>
  <c r="EC51" i="19"/>
  <c r="GV51" i="19"/>
  <c r="EJ51" i="19"/>
  <c r="BX51" i="19"/>
  <c r="L51" i="19"/>
  <c r="GE51" i="19"/>
  <c r="DS51" i="19"/>
  <c r="BG51" i="19"/>
  <c r="HZ51" i="19"/>
  <c r="FN51" i="19"/>
  <c r="DB51" i="19"/>
  <c r="GK51" i="19"/>
  <c r="DY51" i="19"/>
  <c r="GZ51" i="19"/>
  <c r="EN51" i="19"/>
  <c r="CB51" i="19"/>
  <c r="P51" i="19"/>
  <c r="GI51" i="19"/>
  <c r="DW51" i="19"/>
  <c r="BK51" i="19"/>
  <c r="CL51" i="19"/>
  <c r="AD51" i="19"/>
  <c r="BI51" i="19"/>
  <c r="I51" i="19"/>
  <c r="BV51" i="19"/>
  <c r="AH51" i="19"/>
  <c r="GE43" i="19"/>
  <c r="DS43" i="19"/>
  <c r="BG43" i="19"/>
  <c r="HZ43" i="19"/>
  <c r="FN43" i="19"/>
  <c r="DB43" i="19"/>
  <c r="AP43" i="19"/>
  <c r="HI43" i="19"/>
  <c r="EW43" i="19"/>
  <c r="CK43" i="19"/>
  <c r="Y43" i="19"/>
  <c r="GR43" i="19"/>
  <c r="EF43" i="19"/>
  <c r="BT43" i="19"/>
  <c r="H43" i="19"/>
  <c r="GA43" i="19"/>
  <c r="DO43" i="19"/>
  <c r="BC43" i="19"/>
  <c r="HV43" i="19"/>
  <c r="FJ43" i="19"/>
  <c r="CX43" i="19"/>
  <c r="AL43" i="19"/>
  <c r="HE43" i="19"/>
  <c r="ES43" i="19"/>
  <c r="CG43" i="19"/>
  <c r="U43" i="19"/>
  <c r="GN43" i="19"/>
  <c r="EB43" i="19"/>
  <c r="BP43" i="19"/>
  <c r="D43" i="19"/>
  <c r="AA60" i="19"/>
  <c r="CC60" i="19"/>
  <c r="BK60" i="19"/>
  <c r="HS50" i="19"/>
  <c r="HI50" i="19"/>
  <c r="EW50" i="19"/>
  <c r="CK50" i="19"/>
  <c r="Y50" i="19"/>
  <c r="GJ50" i="19"/>
  <c r="DX50" i="19"/>
  <c r="BL50" i="19"/>
  <c r="IB50" i="19"/>
  <c r="FK50" i="19"/>
  <c r="CY50" i="19"/>
  <c r="AM50" i="19"/>
  <c r="GX50" i="19"/>
  <c r="EL50" i="19"/>
  <c r="BZ50" i="19"/>
  <c r="N50" i="19"/>
  <c r="FY50" i="19"/>
  <c r="DM50" i="19"/>
  <c r="BA50" i="19"/>
  <c r="HL50" i="19"/>
  <c r="EZ50" i="19"/>
  <c r="CN50" i="19"/>
  <c r="AB50" i="19"/>
  <c r="GM50" i="19"/>
  <c r="EA50" i="19"/>
  <c r="BO50" i="19"/>
  <c r="C50" i="19"/>
  <c r="FV50" i="19"/>
  <c r="DJ50" i="19"/>
  <c r="AX50" i="19"/>
  <c r="HJ42" i="19"/>
  <c r="EX42" i="19"/>
  <c r="IF42" i="19"/>
  <c r="IE42" i="19"/>
  <c r="HV42" i="19"/>
  <c r="FJ42" i="19"/>
  <c r="GW42" i="19"/>
  <c r="GF42" i="19"/>
  <c r="DT42" i="19"/>
  <c r="BH42" i="19"/>
  <c r="HS42" i="19"/>
  <c r="FG42" i="19"/>
  <c r="HT39" i="19"/>
  <c r="GM46" i="19"/>
  <c r="AU45" i="19"/>
  <c r="HK52" i="19"/>
  <c r="FT52" i="19"/>
  <c r="DZ37" i="19"/>
  <c r="EB37" i="19"/>
  <c r="DI37" i="19"/>
  <c r="BD37" i="19"/>
  <c r="DU51" i="19"/>
  <c r="HR51" i="19"/>
  <c r="H51" i="19"/>
  <c r="BA51" i="19"/>
  <c r="AH43" i="19"/>
  <c r="IE43" i="19"/>
  <c r="GW43" i="19"/>
  <c r="HB60" i="19"/>
  <c r="Q50" i="19"/>
  <c r="HP50" i="19"/>
  <c r="BK50" i="19"/>
  <c r="ED50" i="19"/>
  <c r="AD50" i="19"/>
  <c r="FI50" i="19"/>
  <c r="BY50" i="19"/>
  <c r="HX50" i="19"/>
  <c r="EJ50" i="19"/>
  <c r="AZ50" i="19"/>
  <c r="GU50" i="19"/>
  <c r="DK50" i="19"/>
  <c r="AA50" i="19"/>
  <c r="GD50" i="19"/>
  <c r="CT50" i="19"/>
  <c r="J50" i="19"/>
  <c r="FF42" i="19"/>
  <c r="HP42" i="19"/>
  <c r="GQ42" i="19"/>
  <c r="FR42" i="19"/>
  <c r="IB42" i="19"/>
  <c r="ER42" i="19"/>
  <c r="BX42" i="19"/>
  <c r="IA42" i="19"/>
  <c r="EY42" i="19"/>
  <c r="CM42" i="19"/>
  <c r="AA42" i="19"/>
  <c r="DJ42" i="19"/>
  <c r="AD42" i="19"/>
  <c r="DI42" i="19"/>
  <c r="AC42" i="19"/>
  <c r="DH42" i="19"/>
  <c r="Z42" i="19"/>
  <c r="DG42" i="19"/>
  <c r="Y42" i="19"/>
  <c r="DF42" i="19"/>
  <c r="X42" i="19"/>
  <c r="DN42" i="19"/>
  <c r="AF42" i="19"/>
  <c r="DM42" i="19"/>
  <c r="AE42" i="19"/>
  <c r="AG42" i="19"/>
  <c r="C42" i="19"/>
  <c r="HC60" i="19"/>
  <c r="EC60" i="19"/>
  <c r="BA60" i="19"/>
  <c r="V60" i="19"/>
  <c r="GI41" i="19"/>
  <c r="DW41" i="19"/>
  <c r="BK41" i="19"/>
  <c r="ID41" i="19"/>
  <c r="FR41" i="19"/>
  <c r="DF41" i="19"/>
  <c r="AT41" i="19"/>
  <c r="HM41" i="19"/>
  <c r="FA41" i="19"/>
  <c r="CO41" i="19"/>
  <c r="AC41" i="19"/>
  <c r="GV41" i="19"/>
  <c r="EJ41" i="19"/>
  <c r="BX41" i="19"/>
  <c r="L41" i="19"/>
  <c r="GE41" i="19"/>
  <c r="DS41" i="19"/>
  <c r="BG41" i="19"/>
  <c r="IG41" i="19"/>
  <c r="FU41" i="19"/>
  <c r="DI41" i="19"/>
  <c r="AW41" i="19"/>
  <c r="HP41" i="19"/>
  <c r="FD41" i="19"/>
  <c r="CR41" i="19"/>
  <c r="AF41" i="19"/>
  <c r="HB41" i="19"/>
  <c r="GL41" i="19"/>
  <c r="FN41" i="19"/>
  <c r="AH41" i="19"/>
  <c r="AV60" i="19"/>
  <c r="BZ60" i="19"/>
  <c r="GN44" i="19"/>
  <c r="EB44" i="19"/>
  <c r="BP44" i="19"/>
  <c r="D44" i="19"/>
  <c r="FW44" i="19"/>
  <c r="DK44" i="19"/>
  <c r="AY44" i="19"/>
  <c r="HR44" i="19"/>
  <c r="FF44" i="19"/>
  <c r="CT44" i="19"/>
  <c r="AH44" i="19"/>
  <c r="HA44" i="19"/>
  <c r="EO44" i="19"/>
  <c r="CC44" i="19"/>
  <c r="Q44" i="19"/>
  <c r="GJ44" i="19"/>
  <c r="DX44" i="19"/>
  <c r="BL44" i="19"/>
  <c r="IE44" i="19"/>
  <c r="FS44" i="19"/>
  <c r="DG44" i="19"/>
  <c r="AU44" i="19"/>
  <c r="HN44" i="19"/>
  <c r="FB44" i="19"/>
  <c r="CP44" i="19"/>
  <c r="AD44" i="19"/>
  <c r="GW44" i="19"/>
  <c r="EK44" i="19"/>
  <c r="BY44" i="19"/>
  <c r="M44" i="19"/>
  <c r="GJ55" i="19"/>
  <c r="HG55" i="19"/>
  <c r="EU55" i="19"/>
  <c r="CI55" i="19"/>
  <c r="W55" i="19"/>
  <c r="GP55" i="19"/>
  <c r="ED55" i="19"/>
  <c r="GG55" i="19"/>
  <c r="DU55" i="19"/>
  <c r="HL55" i="19"/>
  <c r="EZ55" i="19"/>
  <c r="GE55" i="19"/>
  <c r="DS55" i="19"/>
  <c r="BG55" i="19"/>
  <c r="HI55" i="19"/>
  <c r="BR55" i="19"/>
  <c r="FV55" i="19"/>
  <c r="BF55" i="19"/>
  <c r="FU55" i="19"/>
  <c r="BE55" i="19"/>
  <c r="DV39" i="19"/>
  <c r="EZ38" i="19"/>
  <c r="AE52" i="19"/>
  <c r="DS52" i="19"/>
  <c r="CJ52" i="19"/>
  <c r="BN37" i="19"/>
  <c r="BP37" i="19"/>
  <c r="M37" i="19"/>
  <c r="EN37" i="19"/>
  <c r="GN51" i="19"/>
  <c r="FF51" i="19"/>
  <c r="GA51" i="19"/>
  <c r="R51" i="19"/>
  <c r="HA43" i="19"/>
  <c r="FS43" i="19"/>
  <c r="EK43" i="19"/>
  <c r="BQ60" i="19"/>
  <c r="IC50" i="19"/>
  <c r="GY50" i="19"/>
  <c r="AE50" i="19"/>
  <c r="DN50" i="19"/>
  <c r="F50" i="19"/>
  <c r="FA50" i="19"/>
  <c r="BQ50" i="19"/>
  <c r="HD50" i="19"/>
  <c r="EB50" i="19"/>
  <c r="AR50" i="19"/>
  <c r="GE50" i="19"/>
  <c r="DC50" i="19"/>
  <c r="S50" i="19"/>
  <c r="FN50" i="19"/>
  <c r="CL50" i="19"/>
  <c r="HZ42" i="19"/>
  <c r="IG42" i="19"/>
  <c r="HH42" i="19"/>
  <c r="GI42" i="19"/>
  <c r="FB42" i="19"/>
  <c r="HT42" i="19"/>
  <c r="EJ42" i="19"/>
  <c r="BP42" i="19"/>
  <c r="HK42" i="19"/>
  <c r="EQ42" i="19"/>
  <c r="CE42" i="19"/>
  <c r="S42" i="19"/>
  <c r="CZ42" i="19"/>
  <c r="R42" i="19"/>
  <c r="CY42" i="19"/>
  <c r="Q42" i="19"/>
  <c r="CX42" i="19"/>
  <c r="P42" i="19"/>
  <c r="CW42" i="19"/>
  <c r="O42" i="19"/>
  <c r="CT42" i="19"/>
  <c r="N42" i="19"/>
  <c r="DB42" i="19"/>
  <c r="V42" i="19"/>
  <c r="DA42" i="19"/>
  <c r="U42" i="19"/>
  <c r="DE42" i="19"/>
  <c r="FM42" i="19"/>
  <c r="EQ60" i="19"/>
  <c r="GS60" i="19"/>
  <c r="GA60" i="19"/>
  <c r="FQ60" i="19"/>
  <c r="GA41" i="19"/>
  <c r="DO41" i="19"/>
  <c r="BC41" i="19"/>
  <c r="HV41" i="19"/>
  <c r="FJ41" i="19"/>
  <c r="CX41" i="19"/>
  <c r="AL41" i="19"/>
  <c r="HE41" i="19"/>
  <c r="ES41" i="19"/>
  <c r="CG41" i="19"/>
  <c r="U41" i="19"/>
  <c r="GN41" i="19"/>
  <c r="EB41" i="19"/>
  <c r="BP41" i="19"/>
  <c r="D41" i="19"/>
  <c r="FW41" i="19"/>
  <c r="DK41" i="19"/>
  <c r="AY41" i="19"/>
  <c r="HY41" i="19"/>
  <c r="FM41" i="19"/>
  <c r="DA41" i="19"/>
  <c r="AO41" i="19"/>
  <c r="HH41" i="19"/>
  <c r="EV41" i="19"/>
  <c r="CJ41" i="19"/>
  <c r="X41" i="19"/>
  <c r="EP41" i="19"/>
  <c r="DZ41" i="19"/>
  <c r="AP41" i="19"/>
  <c r="BY60" i="19"/>
  <c r="IE60" i="19"/>
  <c r="N60" i="19"/>
  <c r="GF44" i="19"/>
  <c r="DT44" i="19"/>
  <c r="BH44" i="19"/>
  <c r="IA44" i="19"/>
  <c r="FO44" i="19"/>
  <c r="DC44" i="19"/>
  <c r="AQ44" i="19"/>
  <c r="HJ44" i="19"/>
  <c r="EX44" i="19"/>
  <c r="CL44" i="19"/>
  <c r="Z44" i="19"/>
  <c r="GS44" i="19"/>
  <c r="EG44" i="19"/>
  <c r="BU44" i="19"/>
  <c r="I44" i="19"/>
  <c r="GB44" i="19"/>
  <c r="DP44" i="19"/>
  <c r="BD44" i="19"/>
  <c r="HW44" i="19"/>
  <c r="FK44" i="19"/>
  <c r="CY44" i="19"/>
  <c r="AM44" i="19"/>
  <c r="HF44" i="19"/>
  <c r="ET44" i="19"/>
  <c r="CH44" i="19"/>
  <c r="V44" i="19"/>
  <c r="GO44" i="19"/>
  <c r="EC44" i="19"/>
  <c r="BQ44" i="19"/>
  <c r="E44" i="19"/>
  <c r="GB55" i="19"/>
  <c r="GY55" i="19"/>
  <c r="EM55" i="19"/>
  <c r="CA55" i="19"/>
  <c r="O55" i="19"/>
  <c r="GH55" i="19"/>
  <c r="DV55" i="19"/>
  <c r="FY55" i="19"/>
  <c r="DM55" i="19"/>
  <c r="HD55" i="19"/>
  <c r="ER55" i="19"/>
  <c r="FW55" i="19"/>
  <c r="DK55" i="19"/>
  <c r="AY55" i="19"/>
  <c r="GC55" i="19"/>
  <c r="BH55" i="19"/>
  <c r="EV55" i="19"/>
  <c r="AV55" i="19"/>
  <c r="EP55" i="19"/>
  <c r="AT55" i="19"/>
  <c r="EO55" i="19"/>
  <c r="GL54" i="19"/>
  <c r="GK38" i="19"/>
  <c r="EL52" i="19"/>
  <c r="S52" i="19"/>
  <c r="H52" i="19"/>
  <c r="IF37" i="19"/>
  <c r="FM37" i="19"/>
  <c r="AV37" i="19"/>
  <c r="EM37" i="19"/>
  <c r="EB51" i="19"/>
  <c r="CT51" i="19"/>
  <c r="DO51" i="19"/>
  <c r="FW43" i="19"/>
  <c r="EO43" i="19"/>
  <c r="DG43" i="19"/>
  <c r="BY43" i="19"/>
  <c r="HE60" i="19"/>
  <c r="GB50" i="19"/>
  <c r="GI50" i="19"/>
  <c r="O50" i="19"/>
  <c r="CX50" i="19"/>
  <c r="HY50" i="19"/>
  <c r="EK50" i="19"/>
  <c r="BI50" i="19"/>
  <c r="GV50" i="19"/>
  <c r="DL50" i="19"/>
  <c r="AJ50" i="19"/>
  <c r="FW50" i="19"/>
  <c r="CM50" i="19"/>
  <c r="K50" i="19"/>
  <c r="FF50" i="19"/>
  <c r="BV50" i="19"/>
  <c r="HR42" i="19"/>
  <c r="HY42" i="19"/>
  <c r="GR42" i="19"/>
  <c r="ID42" i="19"/>
  <c r="ET42" i="19"/>
  <c r="HD42" i="19"/>
  <c r="EB42" i="19"/>
  <c r="AZ42" i="19"/>
  <c r="HC42" i="19"/>
  <c r="EI42" i="19"/>
  <c r="BW42" i="19"/>
  <c r="K42" i="19"/>
  <c r="CP42" i="19"/>
  <c r="H42" i="19"/>
  <c r="CO42" i="19"/>
  <c r="G42" i="19"/>
  <c r="CL42" i="19"/>
  <c r="F42" i="19"/>
  <c r="CK42" i="19"/>
  <c r="E42" i="19"/>
  <c r="CJ42" i="19"/>
  <c r="D42" i="19"/>
  <c r="CR42" i="19"/>
  <c r="J42" i="19"/>
  <c r="CQ42" i="19"/>
  <c r="I42" i="19"/>
  <c r="W42" i="19"/>
  <c r="EW42" i="19"/>
  <c r="CE60" i="19"/>
  <c r="EG60" i="19"/>
  <c r="DO60" i="19"/>
  <c r="IE41" i="19"/>
  <c r="FS41" i="19"/>
  <c r="DG41" i="19"/>
  <c r="AU41" i="19"/>
  <c r="HN41" i="19"/>
  <c r="FB41" i="19"/>
  <c r="CP41" i="19"/>
  <c r="AD41" i="19"/>
  <c r="GW41" i="19"/>
  <c r="EK41" i="19"/>
  <c r="BY41" i="19"/>
  <c r="M41" i="19"/>
  <c r="GF41" i="19"/>
  <c r="DT41" i="19"/>
  <c r="BH41" i="19"/>
  <c r="IA41" i="19"/>
  <c r="FO41" i="19"/>
  <c r="DC41" i="19"/>
  <c r="AQ41" i="19"/>
  <c r="HQ41" i="19"/>
  <c r="FE41" i="19"/>
  <c r="CS41" i="19"/>
  <c r="AG41" i="19"/>
  <c r="GZ41" i="19"/>
  <c r="EN41" i="19"/>
  <c r="CB41" i="19"/>
  <c r="P41" i="19"/>
  <c r="CD41" i="19"/>
  <c r="BN41" i="19"/>
  <c r="FV41" i="19"/>
  <c r="GK60" i="19"/>
  <c r="FS60" i="19"/>
  <c r="EK60" i="19"/>
  <c r="FX44" i="19"/>
  <c r="DL44" i="19"/>
  <c r="AZ44" i="19"/>
  <c r="HS44" i="19"/>
  <c r="FG44" i="19"/>
  <c r="CU44" i="19"/>
  <c r="AI44" i="19"/>
  <c r="HB44" i="19"/>
  <c r="EP44" i="19"/>
  <c r="CD44" i="19"/>
  <c r="R44" i="19"/>
  <c r="GK44" i="19"/>
  <c r="DY44" i="19"/>
  <c r="BM44" i="19"/>
  <c r="IF44" i="19"/>
  <c r="FT44" i="19"/>
  <c r="DH44" i="19"/>
  <c r="AV44" i="19"/>
  <c r="HO44" i="19"/>
  <c r="FC44" i="19"/>
  <c r="CQ44" i="19"/>
  <c r="AE44" i="19"/>
  <c r="GX44" i="19"/>
  <c r="EL44" i="19"/>
  <c r="BZ44" i="19"/>
  <c r="N44" i="19"/>
  <c r="GG44" i="19"/>
  <c r="DU44" i="19"/>
  <c r="BI44" i="19"/>
  <c r="IF55" i="19"/>
  <c r="FT55" i="19"/>
  <c r="GQ55" i="19"/>
  <c r="EE55" i="19"/>
  <c r="BS55" i="19"/>
  <c r="G55" i="19"/>
  <c r="FZ55" i="19"/>
  <c r="IC55" i="19"/>
  <c r="FQ55" i="19"/>
  <c r="DE55" i="19"/>
  <c r="GV55" i="19"/>
  <c r="IA55" i="19"/>
  <c r="FO55" i="19"/>
  <c r="DC55" i="19"/>
  <c r="AQ55" i="19"/>
  <c r="EW55" i="19"/>
  <c r="DP54" i="19"/>
  <c r="FB38" i="19"/>
  <c r="N52" i="19"/>
  <c r="FF52" i="19"/>
  <c r="CT60" i="19"/>
  <c r="HU37" i="19"/>
  <c r="AN37" i="19"/>
  <c r="EU37" i="19"/>
  <c r="EE37" i="19"/>
  <c r="BP51" i="19"/>
  <c r="GC51" i="19"/>
  <c r="BC51" i="19"/>
  <c r="DK43" i="19"/>
  <c r="CC43" i="19"/>
  <c r="AU43" i="19"/>
  <c r="M43" i="19"/>
  <c r="IE50" i="19"/>
  <c r="FL50" i="19"/>
  <c r="FC50" i="19"/>
  <c r="HZ50" i="19"/>
  <c r="CP50" i="19"/>
  <c r="HM50" i="19"/>
  <c r="EC50" i="19"/>
  <c r="AS50" i="19"/>
  <c r="GN50" i="19"/>
  <c r="DD50" i="19"/>
  <c r="T50" i="19"/>
  <c r="FO50" i="19"/>
  <c r="CE50" i="19"/>
  <c r="IG50" i="19"/>
  <c r="EX50" i="19"/>
  <c r="BN50" i="19"/>
  <c r="HB42" i="19"/>
  <c r="HQ42" i="19"/>
  <c r="GJ42" i="19"/>
  <c r="HN42" i="19"/>
  <c r="EL42" i="19"/>
  <c r="GV42" i="19"/>
  <c r="DL42" i="19"/>
  <c r="AR42" i="19"/>
  <c r="GU42" i="19"/>
  <c r="EA42" i="19"/>
  <c r="BO42" i="19"/>
  <c r="FY42" i="19"/>
  <c r="CD42" i="19"/>
  <c r="FU42" i="19"/>
  <c r="CC42" i="19"/>
  <c r="FT42" i="19"/>
  <c r="CB42" i="19"/>
  <c r="FS42" i="19"/>
  <c r="CA42" i="19"/>
  <c r="FQ42" i="19"/>
  <c r="BZ42" i="19"/>
  <c r="GC42" i="19"/>
  <c r="CH42" i="19"/>
  <c r="GA42" i="19"/>
  <c r="CG42" i="19"/>
  <c r="EK42" i="19"/>
  <c r="BY42" i="19"/>
  <c r="BM42" i="19"/>
  <c r="S60" i="19"/>
  <c r="BU60" i="19"/>
  <c r="BC60" i="19"/>
  <c r="HW41" i="19"/>
  <c r="FK41" i="19"/>
  <c r="CY41" i="19"/>
  <c r="AM41" i="19"/>
  <c r="HF41" i="19"/>
  <c r="ET41" i="19"/>
  <c r="CH41" i="19"/>
  <c r="V41" i="19"/>
  <c r="GO41" i="19"/>
  <c r="EC41" i="19"/>
  <c r="BQ41" i="19"/>
  <c r="E41" i="19"/>
  <c r="FX41" i="19"/>
  <c r="DL41" i="19"/>
  <c r="AZ41" i="19"/>
  <c r="HS41" i="19"/>
  <c r="FG41" i="19"/>
  <c r="CU41" i="19"/>
  <c r="AI41" i="19"/>
  <c r="HI41" i="19"/>
  <c r="EW41" i="19"/>
  <c r="CK41" i="19"/>
  <c r="Y41" i="19"/>
  <c r="GR41" i="19"/>
  <c r="EF41" i="19"/>
  <c r="BT41" i="19"/>
  <c r="H41" i="19"/>
  <c r="R41" i="19"/>
  <c r="HZ41" i="19"/>
  <c r="DJ41" i="19"/>
  <c r="DY60" i="19"/>
  <c r="DG60" i="19"/>
  <c r="IB44" i="19"/>
  <c r="FP44" i="19"/>
  <c r="DD44" i="19"/>
  <c r="AR44" i="19"/>
  <c r="HK44" i="19"/>
  <c r="EY44" i="19"/>
  <c r="CM44" i="19"/>
  <c r="AA44" i="19"/>
  <c r="GT44" i="19"/>
  <c r="EH44" i="19"/>
  <c r="BV44" i="19"/>
  <c r="J44" i="19"/>
  <c r="GC44" i="19"/>
  <c r="DQ44" i="19"/>
  <c r="BE44" i="19"/>
  <c r="HX44" i="19"/>
  <c r="FL44" i="19"/>
  <c r="CZ44" i="19"/>
  <c r="AN44" i="19"/>
  <c r="HG44" i="19"/>
  <c r="EU44" i="19"/>
  <c r="CI44" i="19"/>
  <c r="W44" i="19"/>
  <c r="GP44" i="19"/>
  <c r="ED44" i="19"/>
  <c r="BR44" i="19"/>
  <c r="F44" i="19"/>
  <c r="FY44" i="19"/>
  <c r="DM44" i="19"/>
  <c r="BA44" i="19"/>
  <c r="HX55" i="19"/>
  <c r="FL55" i="19"/>
  <c r="GI55" i="19"/>
  <c r="DW55" i="19"/>
  <c r="BK55" i="19"/>
  <c r="ID55" i="19"/>
  <c r="FR55" i="19"/>
  <c r="HU55" i="19"/>
  <c r="FI55" i="19"/>
  <c r="CW55" i="19"/>
  <c r="GN55" i="19"/>
  <c r="HS55" i="19"/>
  <c r="FG55" i="19"/>
  <c r="CU55" i="19"/>
  <c r="AI55" i="19"/>
  <c r="EF55" i="19"/>
  <c r="AL55" i="19"/>
  <c r="DN55" i="19"/>
  <c r="Z55" i="19"/>
  <c r="DL55" i="19"/>
  <c r="Y55" i="19"/>
  <c r="DJ55" i="19"/>
  <c r="X55" i="19"/>
  <c r="CV55" i="19"/>
  <c r="L55" i="19"/>
  <c r="CH55" i="19"/>
  <c r="HQ55" i="19"/>
  <c r="BU55" i="19"/>
  <c r="AN55" i="19"/>
  <c r="HJ55" i="19"/>
  <c r="HJ57" i="19"/>
  <c r="EX57" i="19"/>
  <c r="CL57" i="19"/>
  <c r="HX57" i="19"/>
  <c r="FL57" i="19"/>
  <c r="CZ57" i="19"/>
  <c r="IE57" i="19"/>
  <c r="HD57" i="19"/>
  <c r="ER57" i="19"/>
  <c r="CF57" i="19"/>
  <c r="FK57" i="19"/>
  <c r="BM57" i="19"/>
  <c r="IA57" i="19"/>
  <c r="HE54" i="19"/>
  <c r="GA38" i="19"/>
  <c r="FA52" i="19"/>
  <c r="BF52" i="19"/>
  <c r="CB60" i="19"/>
  <c r="FI37" i="19"/>
  <c r="GA37" i="19"/>
  <c r="CR37" i="19"/>
  <c r="GH51" i="19"/>
  <c r="D51" i="19"/>
  <c r="DQ51" i="19"/>
  <c r="BQ51" i="19"/>
  <c r="AY43" i="19"/>
  <c r="Q43" i="19"/>
  <c r="HN43" i="19"/>
  <c r="GF43" i="19"/>
  <c r="HA50" i="19"/>
  <c r="DP50" i="19"/>
  <c r="EM50" i="19"/>
  <c r="GP50" i="19"/>
  <c r="BR50" i="19"/>
  <c r="GW50" i="19"/>
  <c r="DU50" i="19"/>
  <c r="AK50" i="19"/>
  <c r="FX50" i="19"/>
  <c r="CV50" i="19"/>
  <c r="L50" i="19"/>
  <c r="EY50" i="19"/>
  <c r="BW50" i="19"/>
  <c r="HT50" i="19"/>
  <c r="EH50" i="19"/>
  <c r="BF50" i="19"/>
  <c r="GT42" i="19"/>
  <c r="HA42" i="19"/>
  <c r="GB42" i="19"/>
  <c r="HF42" i="19"/>
  <c r="HU42" i="19"/>
  <c r="GN42" i="19"/>
  <c r="DD42" i="19"/>
  <c r="AJ42" i="19"/>
  <c r="GM42" i="19"/>
  <c r="DS42" i="19"/>
  <c r="BG42" i="19"/>
  <c r="FI42" i="19"/>
  <c r="BT42" i="19"/>
  <c r="FE42" i="19"/>
  <c r="BS42" i="19"/>
  <c r="FD42" i="19"/>
  <c r="BR42" i="19"/>
  <c r="FC42" i="19"/>
  <c r="BQ42" i="19"/>
  <c r="FA42" i="19"/>
  <c r="BN42" i="19"/>
  <c r="FL42" i="19"/>
  <c r="BV42" i="19"/>
  <c r="FK42" i="19"/>
  <c r="BU42" i="19"/>
  <c r="BC42" i="19"/>
  <c r="CS42" i="19"/>
  <c r="HD60" i="19"/>
  <c r="GT60" i="19"/>
  <c r="E60" i="19"/>
  <c r="GG60" i="19"/>
  <c r="HO41" i="19"/>
  <c r="FC41" i="19"/>
  <c r="CQ41" i="19"/>
  <c r="AE41" i="19"/>
  <c r="GX41" i="19"/>
  <c r="EL41" i="19"/>
  <c r="BZ41" i="19"/>
  <c r="N41" i="19"/>
  <c r="GG41" i="19"/>
  <c r="DU41" i="19"/>
  <c r="BI41" i="19"/>
  <c r="IB41" i="19"/>
  <c r="FP41" i="19"/>
  <c r="DD41" i="19"/>
  <c r="AR41" i="19"/>
  <c r="HK41" i="19"/>
  <c r="EY41" i="19"/>
  <c r="CM41" i="19"/>
  <c r="AA41" i="19"/>
  <c r="HA41" i="19"/>
  <c r="EO41" i="19"/>
  <c r="CC41" i="19"/>
  <c r="Q41" i="19"/>
  <c r="GJ41" i="19"/>
  <c r="DX41" i="19"/>
  <c r="BL41" i="19"/>
  <c r="HJ41" i="19"/>
  <c r="GT41" i="19"/>
  <c r="DB41" i="19"/>
  <c r="AX41" i="19"/>
  <c r="BE60" i="19"/>
  <c r="AU60" i="19"/>
  <c r="HT44" i="19"/>
  <c r="FH44" i="19"/>
  <c r="CV44" i="19"/>
  <c r="AJ44" i="19"/>
  <c r="HC44" i="19"/>
  <c r="EQ44" i="19"/>
  <c r="CE44" i="19"/>
  <c r="S44" i="19"/>
  <c r="GL44" i="19"/>
  <c r="DZ44" i="19"/>
  <c r="BN44" i="19"/>
  <c r="IG44" i="19"/>
  <c r="FU44" i="19"/>
  <c r="DI44" i="19"/>
  <c r="AW44" i="19"/>
  <c r="HP44" i="19"/>
  <c r="FD44" i="19"/>
  <c r="CR44" i="19"/>
  <c r="AF44" i="19"/>
  <c r="GY44" i="19"/>
  <c r="EM44" i="19"/>
  <c r="CA44" i="19"/>
  <c r="O44" i="19"/>
  <c r="GH44" i="19"/>
  <c r="DV44" i="19"/>
  <c r="BJ44" i="19"/>
  <c r="IC44" i="19"/>
  <c r="FQ44" i="19"/>
  <c r="DE44" i="19"/>
  <c r="AS44" i="19"/>
  <c r="HP55" i="19"/>
  <c r="FD55" i="19"/>
  <c r="GA55" i="19"/>
  <c r="DO55" i="19"/>
  <c r="BC55" i="19"/>
  <c r="HV55" i="19"/>
  <c r="FJ55" i="19"/>
  <c r="HM55" i="19"/>
  <c r="FA55" i="19"/>
  <c r="CO55" i="19"/>
  <c r="GF55" i="19"/>
  <c r="HK55" i="19"/>
  <c r="EY55" i="19"/>
  <c r="CM55" i="19"/>
  <c r="AA55" i="19"/>
  <c r="DP55" i="19"/>
  <c r="AB55" i="19"/>
  <c r="DA55" i="19"/>
  <c r="P55" i="19"/>
  <c r="CZ55" i="19"/>
  <c r="F54" i="19"/>
  <c r="HV45" i="19"/>
  <c r="BA52" i="19"/>
  <c r="GS52" i="19"/>
  <c r="DF60" i="19"/>
  <c r="CW37" i="19"/>
  <c r="DQ37" i="19"/>
  <c r="EF37" i="19"/>
  <c r="DV51" i="19"/>
  <c r="FW51" i="19"/>
  <c r="GR51" i="19"/>
  <c r="N51" i="19"/>
  <c r="HR43" i="19"/>
  <c r="GJ43" i="19"/>
  <c r="FB43" i="19"/>
  <c r="DT43" i="19"/>
  <c r="EO50" i="19"/>
  <c r="CZ50" i="19"/>
  <c r="DW50" i="19"/>
  <c r="FZ50" i="19"/>
  <c r="BJ50" i="19"/>
  <c r="GO50" i="19"/>
  <c r="DE50" i="19"/>
  <c r="AC50" i="19"/>
  <c r="FP50" i="19"/>
  <c r="CF50" i="19"/>
  <c r="D50" i="19"/>
  <c r="EQ50" i="19"/>
  <c r="BG50" i="19"/>
  <c r="HJ50" i="19"/>
  <c r="DZ50" i="19"/>
  <c r="AP50" i="19"/>
  <c r="GL42" i="19"/>
  <c r="GS42" i="19"/>
  <c r="HW42" i="19"/>
  <c r="GX42" i="19"/>
  <c r="HM42" i="19"/>
  <c r="FX42" i="19"/>
  <c r="CV42" i="19"/>
  <c r="AB42" i="19"/>
  <c r="GE42" i="19"/>
  <c r="DK42" i="19"/>
  <c r="AY42" i="19"/>
  <c r="ES42" i="19"/>
  <c r="BJ42" i="19"/>
  <c r="EP42" i="19"/>
  <c r="BI42" i="19"/>
  <c r="EO42" i="19"/>
  <c r="BF42" i="19"/>
  <c r="EN42" i="19"/>
  <c r="BE42" i="19"/>
  <c r="EM42" i="19"/>
  <c r="BD42" i="19"/>
  <c r="EV42" i="19"/>
  <c r="BL42" i="19"/>
  <c r="EU42" i="19"/>
  <c r="BK42" i="19"/>
  <c r="DY42" i="19"/>
  <c r="M42" i="19"/>
  <c r="ER60" i="19"/>
  <c r="EH60" i="19"/>
  <c r="GB60" i="19"/>
  <c r="HF60" i="19"/>
  <c r="HG41" i="19"/>
  <c r="EU41" i="19"/>
  <c r="CI41" i="19"/>
  <c r="W41" i="19"/>
  <c r="GP41" i="19"/>
  <c r="ED41" i="19"/>
  <c r="BR41" i="19"/>
  <c r="F41" i="19"/>
  <c r="FY41" i="19"/>
  <c r="DM41" i="19"/>
  <c r="BA41" i="19"/>
  <c r="HT41" i="19"/>
  <c r="FH41" i="19"/>
  <c r="CV41" i="19"/>
  <c r="AJ41" i="19"/>
  <c r="HC41" i="19"/>
  <c r="EQ41" i="19"/>
  <c r="CE41" i="19"/>
  <c r="S41" i="19"/>
  <c r="GS41" i="19"/>
  <c r="EG41" i="19"/>
  <c r="BU41" i="19"/>
  <c r="I41" i="19"/>
  <c r="GB41" i="19"/>
  <c r="DP41" i="19"/>
  <c r="BD41" i="19"/>
  <c r="EX41" i="19"/>
  <c r="EH41" i="19"/>
  <c r="GD41" i="19"/>
  <c r="HR41" i="19"/>
  <c r="IF60" i="19"/>
  <c r="ES60" i="19"/>
  <c r="HL44" i="19"/>
  <c r="EZ44" i="19"/>
  <c r="CN44" i="19"/>
  <c r="AB44" i="19"/>
  <c r="GU44" i="19"/>
  <c r="EI44" i="19"/>
  <c r="BW44" i="19"/>
  <c r="K44" i="19"/>
  <c r="GD44" i="19"/>
  <c r="DR44" i="19"/>
  <c r="BF44" i="19"/>
  <c r="HY44" i="19"/>
  <c r="FM44" i="19"/>
  <c r="DA44" i="19"/>
  <c r="AO44" i="19"/>
  <c r="HH44" i="19"/>
  <c r="EV44" i="19"/>
  <c r="CJ44" i="19"/>
  <c r="X44" i="19"/>
  <c r="GQ44" i="19"/>
  <c r="EE44" i="19"/>
  <c r="BS44" i="19"/>
  <c r="G44" i="19"/>
  <c r="FZ44" i="19"/>
  <c r="DN44" i="19"/>
  <c r="BB44" i="19"/>
  <c r="HU44" i="19"/>
  <c r="FI44" i="19"/>
  <c r="CW44" i="19"/>
  <c r="AK44" i="19"/>
  <c r="HH55" i="19"/>
  <c r="IE55" i="19"/>
  <c r="FS55" i="19"/>
  <c r="DG55" i="19"/>
  <c r="AU55" i="19"/>
  <c r="HN55" i="19"/>
  <c r="FB55" i="19"/>
  <c r="HE55" i="19"/>
  <c r="ES55" i="19"/>
  <c r="CG55" i="19"/>
  <c r="FX55" i="19"/>
  <c r="HC55" i="19"/>
  <c r="EQ55" i="19"/>
  <c r="CE55" i="19"/>
  <c r="S55" i="19"/>
  <c r="DB55" i="19"/>
  <c r="Q55" i="19"/>
  <c r="CN55" i="19"/>
  <c r="E55" i="19"/>
  <c r="CL55" i="19"/>
  <c r="D55" i="19"/>
  <c r="CK55" i="19"/>
  <c r="X46" i="19"/>
  <c r="FF45" i="19"/>
  <c r="GN52" i="19"/>
  <c r="DI52" i="19"/>
  <c r="GM37" i="19"/>
  <c r="AK37" i="19"/>
  <c r="EL37" i="19"/>
  <c r="AG37" i="19"/>
  <c r="BJ51" i="19"/>
  <c r="DK51" i="19"/>
  <c r="EF51" i="19"/>
  <c r="AP51" i="19"/>
  <c r="FF43" i="19"/>
  <c r="DX43" i="19"/>
  <c r="CP43" i="19"/>
  <c r="BH43" i="19"/>
  <c r="CC50" i="19"/>
  <c r="BD50" i="19"/>
  <c r="CQ50" i="19"/>
  <c r="FJ50" i="19"/>
  <c r="BB50" i="19"/>
  <c r="GG50" i="19"/>
  <c r="CW50" i="19"/>
  <c r="M50" i="19"/>
  <c r="FH50" i="19"/>
  <c r="BX50" i="19"/>
  <c r="HK50" i="19"/>
  <c r="EI50" i="19"/>
  <c r="AY50" i="19"/>
  <c r="GT50" i="19"/>
  <c r="DR50" i="19"/>
  <c r="AH50" i="19"/>
  <c r="FV42" i="19"/>
  <c r="GK42" i="19"/>
  <c r="HO42" i="19"/>
  <c r="GH42" i="19"/>
  <c r="HE42" i="19"/>
  <c r="FP42" i="19"/>
  <c r="CN42" i="19"/>
  <c r="T42" i="19"/>
  <c r="FW42" i="19"/>
  <c r="DC42" i="19"/>
  <c r="AQ42" i="19"/>
  <c r="EF42" i="19"/>
  <c r="AX42" i="19"/>
  <c r="EE42" i="19"/>
  <c r="AW42" i="19"/>
  <c r="ED42" i="19"/>
  <c r="AV42" i="19"/>
  <c r="EC42" i="19"/>
  <c r="AU42" i="19"/>
  <c r="DZ42" i="19"/>
  <c r="AT42" i="19"/>
  <c r="EH42" i="19"/>
  <c r="BB42" i="19"/>
  <c r="EG42" i="19"/>
  <c r="BA42" i="19"/>
  <c r="AS42" i="19"/>
  <c r="GG42" i="19"/>
  <c r="CF60" i="19"/>
  <c r="BV60" i="19"/>
  <c r="DP60" i="19"/>
  <c r="ET60" i="19"/>
  <c r="GY41" i="19"/>
  <c r="EM41" i="19"/>
  <c r="CA41" i="19"/>
  <c r="O41" i="19"/>
  <c r="GH41" i="19"/>
  <c r="DV41" i="19"/>
  <c r="BJ41" i="19"/>
  <c r="IC41" i="19"/>
  <c r="FQ41" i="19"/>
  <c r="DE41" i="19"/>
  <c r="AS41" i="19"/>
  <c r="HL41" i="19"/>
  <c r="EZ41" i="19"/>
  <c r="CN41" i="19"/>
  <c r="AB41" i="19"/>
  <c r="GU41" i="19"/>
  <c r="EI41" i="19"/>
  <c r="BW41" i="19"/>
  <c r="K41" i="19"/>
  <c r="GK41" i="19"/>
  <c r="DY41" i="19"/>
  <c r="BM41" i="19"/>
  <c r="IF41" i="19"/>
  <c r="FT41" i="19"/>
  <c r="DH41" i="19"/>
  <c r="AV41" i="19"/>
  <c r="CL41" i="19"/>
  <c r="BV41" i="19"/>
  <c r="DR41" i="19"/>
  <c r="FF41" i="19"/>
  <c r="FT60" i="19"/>
  <c r="GX60" i="19"/>
  <c r="HD44" i="19"/>
  <c r="ER44" i="19"/>
  <c r="CF44" i="19"/>
  <c r="T44" i="19"/>
  <c r="GM44" i="19"/>
  <c r="EA44" i="19"/>
  <c r="BO44" i="19"/>
  <c r="C44" i="19"/>
  <c r="FV44" i="19"/>
  <c r="DJ44" i="19"/>
  <c r="AX44" i="19"/>
  <c r="HQ44" i="19"/>
  <c r="FE44" i="19"/>
  <c r="CS44" i="19"/>
  <c r="AG44" i="19"/>
  <c r="GZ44" i="19"/>
  <c r="EN44" i="19"/>
  <c r="CB44" i="19"/>
  <c r="P44" i="19"/>
  <c r="GI44" i="19"/>
  <c r="DW44" i="19"/>
  <c r="BK44" i="19"/>
  <c r="ID44" i="19"/>
  <c r="FR44" i="19"/>
  <c r="DF44" i="19"/>
  <c r="AT44" i="19"/>
  <c r="HM44" i="19"/>
  <c r="FA44" i="19"/>
  <c r="CO44" i="19"/>
  <c r="AC44" i="19"/>
  <c r="GZ55" i="19"/>
  <c r="HW55" i="19"/>
  <c r="FK55" i="19"/>
  <c r="CY55" i="19"/>
  <c r="AM55" i="19"/>
  <c r="HF55" i="19"/>
  <c r="ET55" i="19"/>
  <c r="GW55" i="19"/>
  <c r="EK55" i="19"/>
  <c r="IB55" i="19"/>
  <c r="FP55" i="19"/>
  <c r="GU55" i="19"/>
  <c r="EI55" i="19"/>
  <c r="BW55" i="19"/>
  <c r="K55" i="19"/>
  <c r="HU46" i="19"/>
  <c r="L45" i="19"/>
  <c r="CN52" i="19"/>
  <c r="AG52" i="19"/>
  <c r="GL37" i="19"/>
  <c r="GN37" i="19"/>
  <c r="ID37" i="19"/>
  <c r="FC37" i="19"/>
  <c r="GG51" i="19"/>
  <c r="AY51" i="19"/>
  <c r="BT51" i="19"/>
  <c r="CW51" i="19"/>
  <c r="CT43" i="19"/>
  <c r="BL43" i="19"/>
  <c r="AD43" i="19"/>
  <c r="HL60" i="19"/>
  <c r="BM50" i="19"/>
  <c r="AN50" i="19"/>
  <c r="CA50" i="19"/>
  <c r="FB50" i="19"/>
  <c r="AL50" i="19"/>
  <c r="FQ50" i="19"/>
  <c r="CO50" i="19"/>
  <c r="E50" i="19"/>
  <c r="ER50" i="19"/>
  <c r="BP50" i="19"/>
  <c r="HC50" i="19"/>
  <c r="DS50" i="19"/>
  <c r="AQ50" i="19"/>
  <c r="GL50" i="19"/>
  <c r="DB50" i="19"/>
  <c r="Z50" i="19"/>
  <c r="FN42" i="19"/>
  <c r="HX42" i="19"/>
  <c r="HG42" i="19"/>
  <c r="FZ42" i="19"/>
  <c r="GO42" i="19"/>
  <c r="FH42" i="19"/>
  <c r="CF42" i="19"/>
  <c r="L42" i="19"/>
  <c r="FO42" i="19"/>
  <c r="CU42" i="19"/>
  <c r="AI42" i="19"/>
  <c r="DV42" i="19"/>
  <c r="AN42" i="19"/>
  <c r="DU42" i="19"/>
  <c r="AM42" i="19"/>
  <c r="DR42" i="19"/>
  <c r="AL42" i="19"/>
  <c r="DQ42" i="19"/>
  <c r="AK42" i="19"/>
  <c r="DP42" i="19"/>
  <c r="AH42" i="19"/>
  <c r="DX42" i="19"/>
  <c r="AP42" i="19"/>
  <c r="DW42" i="19"/>
  <c r="AO42" i="19"/>
  <c r="DO42" i="19"/>
  <c r="CI42" i="19"/>
  <c r="T60" i="19"/>
  <c r="J60" i="19"/>
  <c r="BD60" i="19"/>
  <c r="CH60" i="19"/>
  <c r="GQ41" i="19"/>
  <c r="EE41" i="19"/>
  <c r="BS41" i="19"/>
  <c r="G41" i="19"/>
  <c r="FZ41" i="19"/>
  <c r="DN41" i="19"/>
  <c r="BB41" i="19"/>
  <c r="HU41" i="19"/>
  <c r="FI41" i="19"/>
  <c r="CW41" i="19"/>
  <c r="AK41" i="19"/>
  <c r="HD41" i="19"/>
  <c r="ER41" i="19"/>
  <c r="CF41" i="19"/>
  <c r="T41" i="19"/>
  <c r="GM41" i="19"/>
  <c r="EA41" i="19"/>
  <c r="BO41" i="19"/>
  <c r="C41" i="19"/>
  <c r="GC41" i="19"/>
  <c r="DQ41" i="19"/>
  <c r="BE41" i="19"/>
  <c r="HX41" i="19"/>
  <c r="FL41" i="19"/>
  <c r="CZ41" i="19"/>
  <c r="AN41" i="19"/>
  <c r="Z41" i="19"/>
  <c r="J41" i="19"/>
  <c r="BF41" i="19"/>
  <c r="CT41" i="19"/>
  <c r="DH60" i="19"/>
  <c r="EL60" i="19"/>
  <c r="GV44" i="19"/>
  <c r="EJ44" i="19"/>
  <c r="BX44" i="19"/>
  <c r="L44" i="19"/>
  <c r="GE44" i="19"/>
  <c r="DS44" i="19"/>
  <c r="BG44" i="19"/>
  <c r="HZ44" i="19"/>
  <c r="FN44" i="19"/>
  <c r="DB44" i="19"/>
  <c r="AP44" i="19"/>
  <c r="HI44" i="19"/>
  <c r="EW44" i="19"/>
  <c r="CK44" i="19"/>
  <c r="Y44" i="19"/>
  <c r="GR44" i="19"/>
  <c r="EF44" i="19"/>
  <c r="BT44" i="19"/>
  <c r="H44" i="19"/>
  <c r="GA44" i="19"/>
  <c r="DO44" i="19"/>
  <c r="BC44" i="19"/>
  <c r="HV44" i="19"/>
  <c r="FJ44" i="19"/>
  <c r="CX44" i="19"/>
  <c r="AL44" i="19"/>
  <c r="HE44" i="19"/>
  <c r="ES44" i="19"/>
  <c r="CG44" i="19"/>
  <c r="U44" i="19"/>
  <c r="GR55" i="19"/>
  <c r="HO55" i="19"/>
  <c r="FC55" i="19"/>
  <c r="CQ55" i="19"/>
  <c r="AE55" i="19"/>
  <c r="GX55" i="19"/>
  <c r="EL55" i="19"/>
  <c r="GO55" i="19"/>
  <c r="EC55" i="19"/>
  <c r="HT55" i="19"/>
  <c r="FH55" i="19"/>
  <c r="GM55" i="19"/>
  <c r="EA55" i="19"/>
  <c r="BO55" i="19"/>
  <c r="C55" i="19"/>
  <c r="CC55" i="19"/>
  <c r="HB55" i="19"/>
  <c r="BQ55" i="19"/>
  <c r="HA55" i="19"/>
  <c r="BP55" i="19"/>
  <c r="GT55" i="19"/>
  <c r="BN55" i="19"/>
  <c r="FM55" i="19"/>
  <c r="BB55" i="19"/>
  <c r="EJ55" i="19"/>
  <c r="AP55" i="19"/>
  <c r="DR55" i="19"/>
  <c r="AD55" i="19"/>
  <c r="R55" i="19"/>
  <c r="EX55" i="19"/>
  <c r="GD57" i="19"/>
  <c r="DR57" i="19"/>
  <c r="BF57" i="19"/>
  <c r="GR57" i="19"/>
  <c r="EF57" i="19"/>
  <c r="BT57" i="19"/>
  <c r="ID57" i="19"/>
  <c r="FX57" i="19"/>
  <c r="DL57" i="19"/>
  <c r="HM57" i="19"/>
  <c r="DM57" i="19"/>
  <c r="AA57" i="19"/>
  <c r="FW57" i="19"/>
  <c r="BY57" i="19"/>
  <c r="HY57" i="19"/>
  <c r="EU60" i="19"/>
  <c r="FM60" i="19"/>
  <c r="DK60" i="19"/>
  <c r="Y49" i="19"/>
  <c r="CK49" i="19"/>
  <c r="EW49" i="19"/>
  <c r="HI49" i="19"/>
  <c r="AP49" i="19"/>
  <c r="DB49" i="19"/>
  <c r="FN49" i="19"/>
  <c r="HZ49" i="19"/>
  <c r="BG49" i="19"/>
  <c r="DS49" i="19"/>
  <c r="GE49" i="19"/>
  <c r="L49" i="19"/>
  <c r="BX49" i="19"/>
  <c r="EJ49" i="19"/>
  <c r="GV49" i="19"/>
  <c r="AC49" i="19"/>
  <c r="CO49" i="19"/>
  <c r="FA49" i="19"/>
  <c r="HM49" i="19"/>
  <c r="AT49" i="19"/>
  <c r="DF49" i="19"/>
  <c r="FR49" i="19"/>
  <c r="ID49" i="19"/>
  <c r="BK49" i="19"/>
  <c r="DW49" i="19"/>
  <c r="GI49" i="19"/>
  <c r="P49" i="19"/>
  <c r="CB49" i="19"/>
  <c r="EN49" i="19"/>
  <c r="GZ49" i="19"/>
  <c r="DV60" i="19"/>
  <c r="CR60" i="19"/>
  <c r="AX60" i="19"/>
  <c r="BH60" i="19"/>
  <c r="AM60" i="19"/>
  <c r="AO60" i="19"/>
  <c r="CO60" i="19"/>
  <c r="Q40" i="19"/>
  <c r="HQ40" i="19"/>
  <c r="AW40" i="19"/>
  <c r="DY40" i="19"/>
  <c r="W40" i="19"/>
  <c r="CI40" i="19"/>
  <c r="EU40" i="19"/>
  <c r="HG40" i="19"/>
  <c r="AN40" i="19"/>
  <c r="CZ40" i="19"/>
  <c r="FL40" i="19"/>
  <c r="HX40" i="19"/>
  <c r="BF40" i="19"/>
  <c r="DR40" i="19"/>
  <c r="GD40" i="19"/>
  <c r="K40" i="19"/>
  <c r="BW40" i="19"/>
  <c r="EI40" i="19"/>
  <c r="GU40" i="19"/>
  <c r="AB40" i="19"/>
  <c r="CN40" i="19"/>
  <c r="EZ40" i="19"/>
  <c r="HL40" i="19"/>
  <c r="AS40" i="19"/>
  <c r="DE40" i="19"/>
  <c r="FQ40" i="19"/>
  <c r="IC40" i="19"/>
  <c r="BJ40" i="19"/>
  <c r="DV40" i="19"/>
  <c r="GH40" i="19"/>
  <c r="L48" i="19"/>
  <c r="CL48" i="19"/>
  <c r="BA48" i="19"/>
  <c r="AD48" i="19"/>
  <c r="G48" i="19"/>
  <c r="BZ48" i="19"/>
  <c r="BF48" i="19"/>
  <c r="AO48" i="19"/>
  <c r="Z48" i="19"/>
  <c r="C48" i="19"/>
  <c r="BS48" i="19"/>
  <c r="CR48" i="19"/>
  <c r="FD48" i="19"/>
  <c r="HP48" i="19"/>
  <c r="CS48" i="19"/>
  <c r="FE48" i="19"/>
  <c r="HQ48" i="19"/>
  <c r="EX48" i="19"/>
  <c r="HJ48" i="19"/>
  <c r="DK48" i="19"/>
  <c r="FW48" i="19"/>
  <c r="DL48" i="19"/>
  <c r="FX48" i="19"/>
  <c r="DE48" i="19"/>
  <c r="FQ48" i="19"/>
  <c r="IC48" i="19"/>
  <c r="FR48" i="19"/>
  <c r="ID48" i="19"/>
  <c r="EE48" i="19"/>
  <c r="GQ48" i="19"/>
  <c r="CU56" i="19"/>
  <c r="S56" i="19"/>
  <c r="AA56" i="19"/>
  <c r="C56" i="19"/>
  <c r="EY56" i="19"/>
  <c r="AZ56" i="19"/>
  <c r="DL56" i="19"/>
  <c r="FX56" i="19"/>
  <c r="E56" i="19"/>
  <c r="BQ56" i="19"/>
  <c r="EC56" i="19"/>
  <c r="GO56" i="19"/>
  <c r="V56" i="19"/>
  <c r="CH56" i="19"/>
  <c r="ET56" i="19"/>
  <c r="HF56" i="19"/>
  <c r="AM56" i="19"/>
  <c r="CY56" i="19"/>
  <c r="FK56" i="19"/>
  <c r="HW56" i="19"/>
  <c r="BD56" i="19"/>
  <c r="DP56" i="19"/>
  <c r="GB56" i="19"/>
  <c r="I56" i="19"/>
  <c r="BU56" i="19"/>
  <c r="EG56" i="19"/>
  <c r="GS56" i="19"/>
  <c r="BV56" i="19"/>
  <c r="EH56" i="19"/>
  <c r="GT56" i="19"/>
  <c r="FM57" i="19"/>
  <c r="DA57" i="19"/>
  <c r="AS57" i="19"/>
  <c r="BE57" i="19"/>
  <c r="FB57" i="19"/>
  <c r="V57" i="19"/>
  <c r="DE57" i="19"/>
  <c r="HC57" i="19"/>
  <c r="BH57" i="19"/>
  <c r="FE57" i="19"/>
  <c r="X57" i="19"/>
  <c r="DG57" i="19"/>
  <c r="HF57" i="19"/>
  <c r="BJ57" i="19"/>
  <c r="FI57" i="19"/>
  <c r="AH57" i="19"/>
  <c r="EK57" i="19"/>
  <c r="S57" i="19"/>
  <c r="EL57" i="19"/>
  <c r="CN57" i="19"/>
  <c r="FP57" i="19"/>
  <c r="HO57" i="19"/>
  <c r="DH57" i="19"/>
  <c r="GJ57" i="19"/>
  <c r="BV57" i="19"/>
  <c r="FF57" i="19"/>
  <c r="AX55" i="19"/>
  <c r="AC55" i="19"/>
  <c r="CF55" i="19"/>
  <c r="AF55" i="19"/>
  <c r="GL55" i="19"/>
  <c r="DI55" i="19"/>
  <c r="BD55" i="19"/>
  <c r="BZ55" i="19"/>
  <c r="CP55" i="19"/>
  <c r="ID36" i="19"/>
  <c r="ID59" i="19" s="1"/>
  <c r="HV36" i="19"/>
  <c r="HV59" i="19" s="1"/>
  <c r="HN36" i="19"/>
  <c r="HN59" i="19" s="1"/>
  <c r="HF36" i="19"/>
  <c r="GX36" i="19"/>
  <c r="GX59" i="19" s="1"/>
  <c r="GP36" i="19"/>
  <c r="GP59" i="19" s="1"/>
  <c r="GH36" i="19"/>
  <c r="GH59" i="19" s="1"/>
  <c r="FZ36" i="19"/>
  <c r="FZ59" i="19" s="1"/>
  <c r="FR36" i="19"/>
  <c r="FR59" i="19" s="1"/>
  <c r="FJ36" i="19"/>
  <c r="FJ59" i="19" s="1"/>
  <c r="FB36" i="19"/>
  <c r="FB59" i="19" s="1"/>
  <c r="ET36" i="19"/>
  <c r="EL36" i="19"/>
  <c r="EL59" i="19" s="1"/>
  <c r="ED36" i="19"/>
  <c r="ED59" i="19" s="1"/>
  <c r="DV36" i="19"/>
  <c r="DV59" i="19" s="1"/>
  <c r="DN36" i="19"/>
  <c r="DN59" i="19" s="1"/>
  <c r="DF36" i="19"/>
  <c r="DF59" i="19" s="1"/>
  <c r="CX36" i="19"/>
  <c r="CX59" i="19" s="1"/>
  <c r="CP36" i="19"/>
  <c r="CP59" i="19" s="1"/>
  <c r="CH36" i="19"/>
  <c r="CH59" i="19" s="1"/>
  <c r="BZ36" i="19"/>
  <c r="BR36" i="19"/>
  <c r="BR59" i="19" s="1"/>
  <c r="BJ36" i="19"/>
  <c r="BJ59" i="19" s="1"/>
  <c r="BB36" i="19"/>
  <c r="BB59" i="19" s="1"/>
  <c r="AT36" i="19"/>
  <c r="AT59" i="19" s="1"/>
  <c r="AL36" i="19"/>
  <c r="AL59" i="19" s="1"/>
  <c r="AD36" i="19"/>
  <c r="AD59" i="19" s="1"/>
  <c r="V36" i="19"/>
  <c r="N36" i="19"/>
  <c r="N59" i="19" s="1"/>
  <c r="F36" i="19"/>
  <c r="F59" i="19" s="1"/>
  <c r="HY36" i="19"/>
  <c r="HY59" i="19" s="1"/>
  <c r="GS36" i="19"/>
  <c r="FU36" i="19"/>
  <c r="FU59" i="19" s="1"/>
  <c r="EW36" i="19"/>
  <c r="EW59" i="19" s="1"/>
  <c r="DQ36" i="19"/>
  <c r="DQ59" i="19" s="1"/>
  <c r="CK36" i="19"/>
  <c r="CK59" i="19" s="1"/>
  <c r="BM36" i="19"/>
  <c r="BM59" i="19" s="1"/>
  <c r="AO36" i="19"/>
  <c r="AO59" i="19" s="1"/>
  <c r="IC36" i="19"/>
  <c r="IC59" i="19" s="1"/>
  <c r="HU36" i="19"/>
  <c r="HU59" i="19" s="1"/>
  <c r="HM36" i="19"/>
  <c r="HM59" i="19" s="1"/>
  <c r="HE36" i="19"/>
  <c r="HE59" i="19" s="1"/>
  <c r="GW36" i="19"/>
  <c r="GW59" i="19" s="1"/>
  <c r="GO36" i="19"/>
  <c r="GO59" i="19" s="1"/>
  <c r="GG36" i="19"/>
  <c r="GG59" i="19" s="1"/>
  <c r="FY36" i="19"/>
  <c r="FY59" i="19" s="1"/>
  <c r="FQ36" i="19"/>
  <c r="FQ59" i="19" s="1"/>
  <c r="FI36" i="19"/>
  <c r="FI59" i="19" s="1"/>
  <c r="FA36" i="19"/>
  <c r="FA59" i="19" s="1"/>
  <c r="ES36" i="19"/>
  <c r="ES59" i="19" s="1"/>
  <c r="EK36" i="19"/>
  <c r="EK59" i="19" s="1"/>
  <c r="EC36" i="19"/>
  <c r="EC59" i="19" s="1"/>
  <c r="DU36" i="19"/>
  <c r="DU59" i="19" s="1"/>
  <c r="DM36" i="19"/>
  <c r="DM59" i="19" s="1"/>
  <c r="DE36" i="19"/>
  <c r="DE59" i="19" s="1"/>
  <c r="CW36" i="19"/>
  <c r="CW59" i="19" s="1"/>
  <c r="CO36" i="19"/>
  <c r="CO59" i="19" s="1"/>
  <c r="CG36" i="19"/>
  <c r="CG59" i="19" s="1"/>
  <c r="BY36" i="19"/>
  <c r="BY59" i="19" s="1"/>
  <c r="BQ36" i="19"/>
  <c r="BQ59" i="19" s="1"/>
  <c r="BI36" i="19"/>
  <c r="BI59" i="19" s="1"/>
  <c r="BA36" i="19"/>
  <c r="BA59" i="19" s="1"/>
  <c r="AS36" i="19"/>
  <c r="AS59" i="19" s="1"/>
  <c r="AK36" i="19"/>
  <c r="AK59" i="19" s="1"/>
  <c r="AC36" i="19"/>
  <c r="AC59" i="19" s="1"/>
  <c r="U36" i="19"/>
  <c r="U59" i="19" s="1"/>
  <c r="M36" i="19"/>
  <c r="M59" i="19" s="1"/>
  <c r="E36" i="19"/>
  <c r="E59" i="19" s="1"/>
  <c r="IB36" i="19"/>
  <c r="IB59" i="19" s="1"/>
  <c r="HT36" i="19"/>
  <c r="HT59" i="19" s="1"/>
  <c r="HL36" i="19"/>
  <c r="HL59" i="19" s="1"/>
  <c r="HD36" i="19"/>
  <c r="HD59" i="19" s="1"/>
  <c r="GV36" i="19"/>
  <c r="GV59" i="19" s="1"/>
  <c r="GN36" i="19"/>
  <c r="GN59" i="19" s="1"/>
  <c r="GF36" i="19"/>
  <c r="GF59" i="19" s="1"/>
  <c r="FX36" i="19"/>
  <c r="FX59" i="19" s="1"/>
  <c r="FP36" i="19"/>
  <c r="FP59" i="19" s="1"/>
  <c r="FH36" i="19"/>
  <c r="FH59" i="19" s="1"/>
  <c r="EZ36" i="19"/>
  <c r="EZ59" i="19" s="1"/>
  <c r="ER36" i="19"/>
  <c r="ER59" i="19" s="1"/>
  <c r="EJ36" i="19"/>
  <c r="EJ59" i="19" s="1"/>
  <c r="EB36" i="19"/>
  <c r="EB59" i="19" s="1"/>
  <c r="DT36" i="19"/>
  <c r="DT59" i="19" s="1"/>
  <c r="DL36" i="19"/>
  <c r="DL59" i="19" s="1"/>
  <c r="DD36" i="19"/>
  <c r="DD59" i="19" s="1"/>
  <c r="CV36" i="19"/>
  <c r="CV59" i="19" s="1"/>
  <c r="CN36" i="19"/>
  <c r="CN59" i="19" s="1"/>
  <c r="CF36" i="19"/>
  <c r="CF59" i="19" s="1"/>
  <c r="BX36" i="19"/>
  <c r="BX59" i="19" s="1"/>
  <c r="BP36" i="19"/>
  <c r="BP59" i="19" s="1"/>
  <c r="BH36" i="19"/>
  <c r="BH59" i="19" s="1"/>
  <c r="AZ36" i="19"/>
  <c r="AZ59" i="19" s="1"/>
  <c r="AR36" i="19"/>
  <c r="AR59" i="19" s="1"/>
  <c r="AJ36" i="19"/>
  <c r="AJ59" i="19" s="1"/>
  <c r="AB36" i="19"/>
  <c r="AB59" i="19" s="1"/>
  <c r="T36" i="19"/>
  <c r="T59" i="19" s="1"/>
  <c r="L36" i="19"/>
  <c r="L59" i="19" s="1"/>
  <c r="D36" i="19"/>
  <c r="D59" i="19" s="1"/>
  <c r="HQ36" i="19"/>
  <c r="HQ59" i="19" s="1"/>
  <c r="GK36" i="19"/>
  <c r="GK59" i="19" s="1"/>
  <c r="FE36" i="19"/>
  <c r="FE59" i="19" s="1"/>
  <c r="DY36" i="19"/>
  <c r="DY59" i="19" s="1"/>
  <c r="DA36" i="19"/>
  <c r="DA59" i="19" s="1"/>
  <c r="CC36" i="19"/>
  <c r="CC59" i="19" s="1"/>
  <c r="AW36" i="19"/>
  <c r="AW59" i="19" s="1"/>
  <c r="IA36" i="19"/>
  <c r="IA59" i="19" s="1"/>
  <c r="HS36" i="19"/>
  <c r="HS59" i="19" s="1"/>
  <c r="HK36" i="19"/>
  <c r="HK59" i="19" s="1"/>
  <c r="HC36" i="19"/>
  <c r="HC59" i="19" s="1"/>
  <c r="GU36" i="19"/>
  <c r="GU59" i="19" s="1"/>
  <c r="GM36" i="19"/>
  <c r="GM59" i="19" s="1"/>
  <c r="GE36" i="19"/>
  <c r="GE59" i="19" s="1"/>
  <c r="FW36" i="19"/>
  <c r="FW59" i="19" s="1"/>
  <c r="FO36" i="19"/>
  <c r="FO59" i="19" s="1"/>
  <c r="FG36" i="19"/>
  <c r="FG59" i="19" s="1"/>
  <c r="EY36" i="19"/>
  <c r="EY59" i="19" s="1"/>
  <c r="EQ36" i="19"/>
  <c r="EQ59" i="19" s="1"/>
  <c r="EI36" i="19"/>
  <c r="EI59" i="19" s="1"/>
  <c r="EA36" i="19"/>
  <c r="EA59" i="19" s="1"/>
  <c r="DS36" i="19"/>
  <c r="DS59" i="19" s="1"/>
  <c r="DK36" i="19"/>
  <c r="DK59" i="19" s="1"/>
  <c r="DC36" i="19"/>
  <c r="DC59" i="19" s="1"/>
  <c r="CU36" i="19"/>
  <c r="CU59" i="19" s="1"/>
  <c r="CM36" i="19"/>
  <c r="CM59" i="19" s="1"/>
  <c r="CE36" i="19"/>
  <c r="CE59" i="19" s="1"/>
  <c r="BW36" i="19"/>
  <c r="BW59" i="19" s="1"/>
  <c r="BO36" i="19"/>
  <c r="BO59" i="19" s="1"/>
  <c r="BG36" i="19"/>
  <c r="BG59" i="19" s="1"/>
  <c r="AY36" i="19"/>
  <c r="AY59" i="19" s="1"/>
  <c r="AQ36" i="19"/>
  <c r="AQ59" i="19" s="1"/>
  <c r="AI36" i="19"/>
  <c r="AI59" i="19" s="1"/>
  <c r="AA36" i="19"/>
  <c r="AA59" i="19" s="1"/>
  <c r="S36" i="19"/>
  <c r="S59" i="19" s="1"/>
  <c r="K36" i="19"/>
  <c r="K59" i="19" s="1"/>
  <c r="C36" i="19"/>
  <c r="C59" i="19" s="1"/>
  <c r="HI36" i="19"/>
  <c r="HI59" i="19" s="1"/>
  <c r="GC36" i="19"/>
  <c r="GC59" i="19" s="1"/>
  <c r="EO36" i="19"/>
  <c r="EO59" i="19" s="1"/>
  <c r="CS36" i="19"/>
  <c r="CS59" i="19" s="1"/>
  <c r="BE36" i="19"/>
  <c r="BE59" i="19" s="1"/>
  <c r="Y36" i="19"/>
  <c r="Y59" i="19" s="1"/>
  <c r="HZ36" i="19"/>
  <c r="HZ59" i="19" s="1"/>
  <c r="HR36" i="19"/>
  <c r="HR59" i="19" s="1"/>
  <c r="HJ36" i="19"/>
  <c r="HJ59" i="19" s="1"/>
  <c r="HB36" i="19"/>
  <c r="HB59" i="19" s="1"/>
  <c r="GT36" i="19"/>
  <c r="GT59" i="19" s="1"/>
  <c r="GL36" i="19"/>
  <c r="GL59" i="19" s="1"/>
  <c r="GD36" i="19"/>
  <c r="GD59" i="19" s="1"/>
  <c r="FV36" i="19"/>
  <c r="FV59" i="19" s="1"/>
  <c r="FN36" i="19"/>
  <c r="FN59" i="19" s="1"/>
  <c r="FF36" i="19"/>
  <c r="FF59" i="19" s="1"/>
  <c r="EX36" i="19"/>
  <c r="EX59" i="19" s="1"/>
  <c r="EP36" i="19"/>
  <c r="EP59" i="19" s="1"/>
  <c r="EH36" i="19"/>
  <c r="EH59" i="19" s="1"/>
  <c r="DZ36" i="19"/>
  <c r="DZ59" i="19" s="1"/>
  <c r="DR36" i="19"/>
  <c r="DR59" i="19" s="1"/>
  <c r="DJ36" i="19"/>
  <c r="DJ59" i="19" s="1"/>
  <c r="DB36" i="19"/>
  <c r="DB59" i="19" s="1"/>
  <c r="CT36" i="19"/>
  <c r="CT59" i="19" s="1"/>
  <c r="CL36" i="19"/>
  <c r="CL59" i="19" s="1"/>
  <c r="CD36" i="19"/>
  <c r="CD59" i="19" s="1"/>
  <c r="BV36" i="19"/>
  <c r="BV59" i="19" s="1"/>
  <c r="BN36" i="19"/>
  <c r="BN59" i="19" s="1"/>
  <c r="BF36" i="19"/>
  <c r="BF59" i="19" s="1"/>
  <c r="AX36" i="19"/>
  <c r="AX59" i="19" s="1"/>
  <c r="AP36" i="19"/>
  <c r="AP59" i="19" s="1"/>
  <c r="AH36" i="19"/>
  <c r="AH59" i="19" s="1"/>
  <c r="Z36" i="19"/>
  <c r="Z59" i="19" s="1"/>
  <c r="R36" i="19"/>
  <c r="R59" i="19" s="1"/>
  <c r="J36" i="19"/>
  <c r="J59" i="19" s="1"/>
  <c r="IG36" i="19"/>
  <c r="IG59" i="19" s="1"/>
  <c r="HA36" i="19"/>
  <c r="HA59" i="19" s="1"/>
  <c r="FM36" i="19"/>
  <c r="FM59" i="19" s="1"/>
  <c r="EG36" i="19"/>
  <c r="EG59" i="19" s="1"/>
  <c r="DI36" i="19"/>
  <c r="DI59" i="19" s="1"/>
  <c r="BU36" i="19"/>
  <c r="BU59" i="19" s="1"/>
  <c r="AG36" i="19"/>
  <c r="AG59" i="19" s="1"/>
  <c r="HX36" i="19"/>
  <c r="HX59" i="19" s="1"/>
  <c r="GR36" i="19"/>
  <c r="GR59" i="19" s="1"/>
  <c r="FL36" i="19"/>
  <c r="FL59" i="19" s="1"/>
  <c r="EF36" i="19"/>
  <c r="EF59" i="19" s="1"/>
  <c r="CZ36" i="19"/>
  <c r="CZ59" i="19" s="1"/>
  <c r="BT36" i="19"/>
  <c r="BT59" i="19" s="1"/>
  <c r="AN36" i="19"/>
  <c r="AN59" i="19" s="1"/>
  <c r="O36" i="19"/>
  <c r="O59" i="19" s="1"/>
  <c r="HW36" i="19"/>
  <c r="HW59" i="19" s="1"/>
  <c r="GQ36" i="19"/>
  <c r="GQ59" i="19" s="1"/>
  <c r="FK36" i="19"/>
  <c r="FK59" i="19" s="1"/>
  <c r="EE36" i="19"/>
  <c r="EE59" i="19" s="1"/>
  <c r="CY36" i="19"/>
  <c r="CY59" i="19" s="1"/>
  <c r="BS36" i="19"/>
  <c r="BS59" i="19" s="1"/>
  <c r="AM36" i="19"/>
  <c r="AM59" i="19" s="1"/>
  <c r="I36" i="19"/>
  <c r="I59" i="19" s="1"/>
  <c r="HP36" i="19"/>
  <c r="HP59" i="19" s="1"/>
  <c r="GJ36" i="19"/>
  <c r="GJ59" i="19" s="1"/>
  <c r="FD36" i="19"/>
  <c r="FD59" i="19" s="1"/>
  <c r="DX36" i="19"/>
  <c r="DX59" i="19" s="1"/>
  <c r="CR36" i="19"/>
  <c r="CR59" i="19" s="1"/>
  <c r="BL36" i="19"/>
  <c r="BL59" i="19" s="1"/>
  <c r="AF36" i="19"/>
  <c r="AF59" i="19" s="1"/>
  <c r="H36" i="19"/>
  <c r="H59" i="19" s="1"/>
  <c r="HO36" i="19"/>
  <c r="HO59" i="19" s="1"/>
  <c r="GI36" i="19"/>
  <c r="GI59" i="19" s="1"/>
  <c r="FC36" i="19"/>
  <c r="FC59" i="19" s="1"/>
  <c r="DW36" i="19"/>
  <c r="DW59" i="19" s="1"/>
  <c r="CQ36" i="19"/>
  <c r="CQ59" i="19" s="1"/>
  <c r="BK36" i="19"/>
  <c r="BK59" i="19" s="1"/>
  <c r="AE36" i="19"/>
  <c r="AE59" i="19" s="1"/>
  <c r="G36" i="19"/>
  <c r="G59" i="19" s="1"/>
  <c r="EV36" i="19"/>
  <c r="EV59" i="19" s="1"/>
  <c r="BD36" i="19"/>
  <c r="BD59" i="19" s="1"/>
  <c r="HH36" i="19"/>
  <c r="HH59" i="19" s="1"/>
  <c r="GB36" i="19"/>
  <c r="GB59" i="19" s="1"/>
  <c r="DP36" i="19"/>
  <c r="DP59" i="19" s="1"/>
  <c r="CJ36" i="19"/>
  <c r="CJ59" i="19" s="1"/>
  <c r="X36" i="19"/>
  <c r="X59" i="19" s="1"/>
  <c r="HG36" i="19"/>
  <c r="HG59" i="19" s="1"/>
  <c r="GA36" i="19"/>
  <c r="GA59" i="19" s="1"/>
  <c r="EU36" i="19"/>
  <c r="EU59" i="19" s="1"/>
  <c r="DO36" i="19"/>
  <c r="DO59" i="19" s="1"/>
  <c r="CI36" i="19"/>
  <c r="CI59" i="19" s="1"/>
  <c r="BC36" i="19"/>
  <c r="BC59" i="19" s="1"/>
  <c r="W36" i="19"/>
  <c r="W59" i="19" s="1"/>
  <c r="IF36" i="19"/>
  <c r="IF59" i="19" s="1"/>
  <c r="GZ36" i="19"/>
  <c r="GZ59" i="19" s="1"/>
  <c r="FT36" i="19"/>
  <c r="FT59" i="19" s="1"/>
  <c r="EN36" i="19"/>
  <c r="EN59" i="19" s="1"/>
  <c r="DH36" i="19"/>
  <c r="DH59" i="19" s="1"/>
  <c r="CB36" i="19"/>
  <c r="CB59" i="19" s="1"/>
  <c r="AV36" i="19"/>
  <c r="AV59" i="19" s="1"/>
  <c r="Q36" i="19"/>
  <c r="Q59" i="19" s="1"/>
  <c r="IE36" i="19"/>
  <c r="IE59" i="19" s="1"/>
  <c r="GY36" i="19"/>
  <c r="GY59" i="19" s="1"/>
  <c r="FS36" i="19"/>
  <c r="FS59" i="19" s="1"/>
  <c r="EM36" i="19"/>
  <c r="EM59" i="19" s="1"/>
  <c r="DG36" i="19"/>
  <c r="DG59" i="19" s="1"/>
  <c r="CA36" i="19"/>
  <c r="CA59" i="19" s="1"/>
  <c r="AU36" i="19"/>
  <c r="AU59" i="19" s="1"/>
  <c r="P36" i="19"/>
  <c r="P59" i="19" s="1"/>
  <c r="O2" i="18"/>
  <c r="T2" i="18" s="1"/>
  <c r="K1" i="18"/>
  <c r="D3" i="17"/>
  <c r="B3" i="17"/>
  <c r="K1" i="16"/>
  <c r="BZ59" i="19" l="1"/>
  <c r="V59" i="19"/>
  <c r="ET59" i="19"/>
  <c r="HF59" i="19"/>
  <c r="GS59" i="19"/>
  <c r="P2" i="18"/>
  <c r="Q2" i="18"/>
  <c r="R2" i="18"/>
  <c r="S2" i="18"/>
  <c r="R3" i="17"/>
  <c r="I3" i="17"/>
  <c r="J3" i="17"/>
  <c r="L3" i="17"/>
  <c r="M3" i="17"/>
  <c r="N3" i="17"/>
  <c r="O3" i="17"/>
  <c r="P3" i="17"/>
  <c r="U2" i="18" l="1"/>
  <c r="G17" i="17"/>
  <c r="G18" i="17"/>
  <c r="G19" i="17"/>
  <c r="G20" i="17"/>
  <c r="G21" i="17"/>
  <c r="G22" i="17"/>
  <c r="G23" i="17"/>
  <c r="G24" i="17"/>
  <c r="G25" i="17"/>
  <c r="G16" i="17"/>
  <c r="S17" i="17"/>
  <c r="S18" i="17"/>
  <c r="S19" i="17"/>
  <c r="S20" i="17"/>
  <c r="S21" i="17"/>
  <c r="S22" i="17"/>
  <c r="S23" i="17"/>
  <c r="S24" i="17"/>
  <c r="S25" i="17"/>
  <c r="S16" i="17"/>
  <c r="Q25" i="17"/>
  <c r="P25" i="17"/>
  <c r="O25" i="17"/>
  <c r="N25" i="17"/>
  <c r="M25" i="17"/>
  <c r="L25" i="17"/>
  <c r="K25" i="17"/>
  <c r="J25" i="17"/>
  <c r="I25" i="17"/>
  <c r="H25" i="17"/>
  <c r="Q24" i="17"/>
  <c r="P24" i="17"/>
  <c r="O24" i="17"/>
  <c r="N24" i="17"/>
  <c r="M24" i="17"/>
  <c r="L24" i="17"/>
  <c r="K24" i="17"/>
  <c r="J24" i="17"/>
  <c r="I24" i="17"/>
  <c r="H24" i="17"/>
  <c r="Q23" i="17"/>
  <c r="P23" i="17"/>
  <c r="O23" i="17"/>
  <c r="N23" i="17"/>
  <c r="M23" i="17"/>
  <c r="L23" i="17"/>
  <c r="K23" i="17"/>
  <c r="J23" i="17"/>
  <c r="I23" i="17"/>
  <c r="H23" i="17"/>
  <c r="Q22" i="17"/>
  <c r="P22" i="17"/>
  <c r="O22" i="17"/>
  <c r="N22" i="17"/>
  <c r="M22" i="17"/>
  <c r="L22" i="17"/>
  <c r="K22" i="17"/>
  <c r="J22" i="17"/>
  <c r="I22" i="17"/>
  <c r="H22" i="17"/>
  <c r="Q21" i="17"/>
  <c r="P21" i="17"/>
  <c r="O21" i="17"/>
  <c r="N21" i="17"/>
  <c r="M21" i="17"/>
  <c r="L21" i="17"/>
  <c r="K21" i="17"/>
  <c r="J21" i="17"/>
  <c r="I21" i="17"/>
  <c r="H21" i="17"/>
  <c r="Q20" i="17"/>
  <c r="P20" i="17"/>
  <c r="O20" i="17"/>
  <c r="N20" i="17"/>
  <c r="M20" i="17"/>
  <c r="L20" i="17"/>
  <c r="K20" i="17"/>
  <c r="J20" i="17"/>
  <c r="I20" i="17"/>
  <c r="H20" i="17"/>
  <c r="Q19" i="17"/>
  <c r="P19" i="17"/>
  <c r="O19" i="17"/>
  <c r="N19" i="17"/>
  <c r="M19" i="17"/>
  <c r="L19" i="17"/>
  <c r="K19" i="17"/>
  <c r="J19" i="17"/>
  <c r="I19" i="17"/>
  <c r="H19" i="17"/>
  <c r="Q18" i="17"/>
  <c r="P18" i="17"/>
  <c r="O18" i="17"/>
  <c r="N18" i="17"/>
  <c r="M18" i="17"/>
  <c r="L18" i="17"/>
  <c r="K18" i="17"/>
  <c r="J18" i="17"/>
  <c r="I18" i="17"/>
  <c r="H18" i="17"/>
  <c r="Q17" i="17"/>
  <c r="P17" i="17"/>
  <c r="O17" i="17"/>
  <c r="N17" i="17"/>
  <c r="M17" i="17"/>
  <c r="L17" i="17"/>
  <c r="K17" i="17"/>
  <c r="J17" i="17"/>
  <c r="I17" i="17"/>
  <c r="H17" i="17"/>
  <c r="Q16" i="17"/>
  <c r="P16" i="17"/>
  <c r="O16" i="17"/>
  <c r="N16" i="17"/>
  <c r="M16" i="17"/>
  <c r="L16" i="17"/>
  <c r="K16" i="17"/>
  <c r="J16" i="17"/>
  <c r="I16" i="17"/>
  <c r="H16" i="17"/>
  <c r="R25" i="17" l="1"/>
  <c r="R21" i="17"/>
  <c r="R24" i="17"/>
  <c r="R23" i="17"/>
  <c r="R22" i="17"/>
  <c r="R20" i="17"/>
  <c r="R19" i="17"/>
  <c r="R18" i="17"/>
  <c r="R17" i="17"/>
  <c r="R16" i="17"/>
  <c r="O3" i="15"/>
  <c r="Q3" i="15" l="1"/>
  <c r="R3" i="15"/>
  <c r="P3" i="15"/>
  <c r="T3" i="15"/>
  <c r="S3" i="15"/>
  <c r="O2" i="15"/>
  <c r="U3" i="15" l="1"/>
  <c r="T2" i="15"/>
  <c r="S2" i="15"/>
  <c r="R2" i="15"/>
  <c r="Q2" i="15"/>
  <c r="P2" i="15"/>
  <c r="U2" i="15" l="1"/>
  <c r="K1" i="15"/>
</calcChain>
</file>

<file path=xl/sharedStrings.xml><?xml version="1.0" encoding="utf-8"?>
<sst xmlns="http://schemas.openxmlformats.org/spreadsheetml/2006/main" count="908" uniqueCount="467">
  <si>
    <t>R1R</t>
  </si>
  <si>
    <t>R2R</t>
  </si>
  <si>
    <t>R2P</t>
  </si>
  <si>
    <t>R2F</t>
  </si>
  <si>
    <t>R1P</t>
  </si>
  <si>
    <t>R1F</t>
  </si>
  <si>
    <t>RSU4R</t>
  </si>
  <si>
    <t>RSU4P</t>
  </si>
  <si>
    <t>RSU4F</t>
  </si>
  <si>
    <t>MASDS</t>
  </si>
  <si>
    <t xml:space="preserve">UnifiedRank            0.48487                MA-SingleDocSum 0.22840 </t>
  </si>
  <si>
    <t>Beta-SimTit</t>
  </si>
  <si>
    <t>Alfa-Pos</t>
  </si>
  <si>
    <t>Gamma-Lon</t>
  </si>
  <si>
    <t>Delta-Coh</t>
  </si>
  <si>
    <t>Ro-Cov</t>
  </si>
  <si>
    <t xml:space="preserve">UnifiedRank            0.48487                MA-SingleDocSum        0.22840 </t>
  </si>
  <si>
    <t>Table 2 ROUGE scores of the methods on DUC2001 data</t>
  </si>
  <si>
    <t>Method</t>
  </si>
  <si>
    <t>ROUGE-1</t>
  </si>
  <si>
    <t>ROUGE-2</t>
  </si>
  <si>
    <t>DUC2001</t>
  </si>
  <si>
    <t>DUC2002</t>
  </si>
  <si>
    <t xml:space="preserve">MA-SingleDocSum </t>
  </si>
  <si>
    <t>DE</t>
  </si>
  <si>
    <t>UnifiedRank</t>
  </si>
  <si>
    <t>FEOM</t>
  </si>
  <si>
    <t>NetSum</t>
  </si>
  <si>
    <t>CRF</t>
  </si>
  <si>
    <t>QSC</t>
  </si>
  <si>
    <t>SVM</t>
  </si>
  <si>
    <t>Manifold Ranking</t>
  </si>
  <si>
    <t>Table 3 ROUGE scores of the methods on DUC2002 data</t>
  </si>
  <si>
    <t>Table 7 The resultant rank of the methods</t>
  </si>
  <si>
    <t>Total</t>
  </si>
  <si>
    <t>Desv.Est</t>
  </si>
  <si>
    <t>GBHS</t>
  </si>
  <si>
    <t>F1</t>
  </si>
  <si>
    <t>F2</t>
  </si>
  <si>
    <t>F3</t>
  </si>
  <si>
    <t>F4</t>
  </si>
  <si>
    <t>F5</t>
  </si>
  <si>
    <t>F8</t>
  </si>
  <si>
    <t>F6</t>
  </si>
  <si>
    <t>F7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</si>
  <si>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</si>
  <si>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</si>
  <si>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</si>
  <si>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</si>
  <si>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</si>
  <si>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</si>
  <si>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</si>
  <si>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</si>
  <si>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</si>
  <si>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</si>
  <si>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</si>
  <si>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</si>
  <si>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</si>
  <si>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</si>
  <si>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</si>
  <si>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</si>
  <si>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</si>
  <si>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</si>
  <si>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</si>
  <si>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</si>
  <si>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</si>
  <si>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</si>
  <si>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</si>
  <si>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</si>
  <si>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</si>
  <si>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</si>
  <si>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</si>
  <si>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</si>
  <si>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</si>
  <si>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</si>
  <si>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</si>
  <si>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</si>
  <si>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</si>
  <si>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</si>
  <si>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</si>
  <si>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</si>
  <si>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</si>
  <si>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</si>
  <si>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</si>
  <si>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</si>
  <si>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</si>
  <si>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</si>
  <si>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</si>
  <si>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</si>
  <si>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</si>
  <si>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</si>
  <si>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</si>
  <si>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</si>
  <si>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</si>
  <si>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</si>
  <si>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</si>
  <si>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</si>
  <si>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</si>
  <si>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</si>
  <si>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</si>
  <si>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</si>
  <si>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</si>
  <si>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</si>
  <si>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</si>
  <si>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</si>
  <si>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</si>
  <si>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</si>
  <si>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</si>
  <si>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</si>
  <si>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</si>
  <si>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</si>
  <si>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</si>
  <si>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</si>
  <si>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</si>
  <si>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</si>
  <si>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</si>
  <si>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</si>
  <si>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</si>
  <si>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</si>
  <si>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</si>
  <si>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</si>
  <si>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</si>
  <si>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</si>
  <si>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</si>
  <si>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</si>
  <si>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</si>
  <si>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</si>
  <si>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</si>
  <si>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</si>
  <si>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</si>
  <si>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</si>
  <si>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</si>
  <si>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</si>
  <si>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</si>
  <si>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</si>
  <si>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</si>
  <si>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</si>
  <si>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</si>
  <si>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</si>
  <si>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</si>
  <si>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</si>
  <si>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</si>
  <si>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</si>
  <si>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</si>
  <si>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</si>
  <si>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</si>
  <si>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</si>
  <si>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</si>
  <si>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</si>
  <si>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</si>
  <si>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</si>
  <si>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</si>
  <si>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</si>
  <si>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</si>
  <si>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</si>
  <si>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</si>
  <si>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</si>
  <si>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</si>
  <si>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</si>
  <si>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</si>
  <si>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</si>
  <si>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</si>
  <si>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</si>
  <si>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</si>
  <si>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</si>
  <si>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</si>
  <si>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</si>
  <si>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</si>
  <si>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</si>
  <si>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</si>
  <si>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</si>
  <si>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</si>
  <si>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</si>
  <si>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</si>
  <si>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</si>
  <si>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</si>
  <si>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</si>
  <si>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</si>
  <si>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</si>
  <si>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</si>
  <si>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</si>
  <si>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</si>
  <si>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</si>
  <si>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</si>
  <si>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</si>
  <si>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</si>
  <si>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</si>
  <si>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</si>
  <si>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</si>
  <si>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</si>
  <si>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</si>
  <si>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</si>
  <si>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</si>
  <si>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</si>
  <si>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</si>
  <si>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</si>
  <si>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</si>
  <si>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</si>
  <si>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</si>
  <si>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</si>
  <si>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</si>
  <si>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</si>
  <si>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</si>
  <si>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</si>
  <si>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</si>
  <si>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</si>
  <si>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</si>
  <si>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</si>
  <si>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</si>
  <si>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</si>
  <si>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</si>
  <si>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</si>
  <si>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</si>
  <si>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</si>
  <si>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</si>
  <si>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</si>
  <si>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</si>
  <si>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</si>
  <si>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</si>
  <si>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</si>
  <si>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</si>
  <si>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</si>
  <si>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</si>
  <si>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</si>
  <si>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</si>
  <si>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</si>
  <si>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</si>
  <si>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</si>
  <si>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</si>
  <si>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</si>
  <si>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</si>
  <si>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</si>
  <si>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</si>
  <si>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</si>
  <si>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</si>
  <si>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</si>
  <si>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</si>
  <si>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</si>
  <si>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</si>
  <si>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</si>
  <si>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</si>
  <si>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</si>
  <si>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</si>
  <si>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</si>
  <si>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</si>
  <si>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</si>
  <si>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</si>
  <si>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</si>
  <si>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</si>
  <si>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</si>
  <si>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</si>
  <si>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</si>
  <si>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</si>
  <si>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</si>
  <si>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</si>
  <si>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</si>
  <si>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</si>
  <si>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</si>
  <si>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</si>
  <si>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</si>
  <si>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</si>
  <si>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</si>
  <si>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</si>
  <si>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</si>
  <si>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</si>
  <si>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</si>
  <si>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</si>
  <si>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</si>
  <si>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</si>
  <si>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</si>
  <si>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</si>
  <si>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</si>
  <si>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</si>
  <si>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</si>
  <si>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</si>
  <si>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</si>
  <si>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</si>
  <si>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</si>
  <si>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</si>
  <si>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</si>
  <si>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</si>
  <si>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</si>
  <si>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</si>
  <si>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</si>
  <si>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</si>
  <si>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</si>
  <si>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</si>
  <si>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</si>
  <si>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</si>
  <si>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</si>
  <si>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</si>
  <si>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</si>
  <si>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</si>
  <si>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</si>
  <si>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</si>
  <si>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</si>
  <si>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</si>
  <si>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</si>
  <si>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IDFj=</t>
  </si>
  <si>
    <t>nj=</t>
  </si>
  <si>
    <t>Lon.Fra.</t>
  </si>
  <si>
    <t>N=</t>
  </si>
  <si>
    <t>k1=</t>
  </si>
  <si>
    <t>b=</t>
  </si>
  <si>
    <t>Lon.Pro</t>
  </si>
  <si>
    <t>MATRIZ TDM con BM25</t>
  </si>
  <si>
    <t>Fj=</t>
  </si>
  <si>
    <t>Centroide</t>
  </si>
  <si>
    <t>Doc.Consulta</t>
  </si>
  <si>
    <t>Matriz de Similitud Cosenos</t>
  </si>
  <si>
    <t>MAXIMO</t>
  </si>
  <si>
    <t>Matriz de Similitud Cosenos NORMALIZADA</t>
  </si>
  <si>
    <t>Sim.Al.Doc</t>
  </si>
  <si>
    <t>DUC2001-FT923-5089-0-0-BM25-Vector</t>
  </si>
  <si>
    <t>Sim.Al.Cent</t>
  </si>
  <si>
    <t>MATRIZ DE FRECUENCIA OBSERVADA</t>
  </si>
  <si>
    <t>Media</t>
  </si>
  <si>
    <t>Ro-Cob</t>
  </si>
  <si>
    <t>2015-05-11-20-46-Exp-30-P-100-0-0-C-B-110-1600-MASDS-0.60-0.00-0.25-0.00-0.15-GBHS-10-0.85-0.01-0.99-0.4-5.xlsx</t>
  </si>
  <si>
    <t>2015-05-11-20-45-Exp-30-P-100-0-0-C-B-110-1600-MASDS-0.60-0.00-0.20-0.00-0.20-GBHS-10-0.85-0.01-0.99-0.4-5.xlsx</t>
  </si>
  <si>
    <t>2015-05-11-20-46-Exp-30-P-100-0-0-C-B-110-1600-MASDS-0.55-0.00-0.30-0.00-0.15-GBHS-10-0.85-0.01-0.99-0.4-5.xlsx</t>
  </si>
  <si>
    <t>2015-05-11-20-46-Exp-30-P-100-0-0-C-B-110-1600-MASDS-0.50-0.00-0.30-0.00-0.20-GBHS-10-0.85-0.01-0.99-0.4-5.xlsx</t>
  </si>
  <si>
    <t>2015-05-11-20-46-Exp-30-P-100-0-0-C-B-110-1600-MASDS-0.55-0.00-0.25-0.00-0.20-GBHS-10-0.85-0.01-0.99-0.4-5.xlsx</t>
  </si>
  <si>
    <t>2015-06-12-02-54-Exp-30-P-100-0-0-C-B-110-1600-MASDS-0.50-0.00-0.32-0.00-0.18-GBHS-10-0.85-0.01-0.99-0.4-5.xlsx</t>
  </si>
  <si>
    <t>2015-06-12-03-25-Exp-30-P-100-0-0-C-B-110-1600-MASDS-0.48-0.00-0.30-0.00-0.22-GBHS-10-0.85-0.01-0.99-0.4-5.xlsx</t>
  </si>
  <si>
    <t>2015-06-12-03-42-Exp-30-P-100-0-0-C-B-110-1600-MASDS-0.48-0.00-0.32-0.00-0.20-GBHS-10-0.85-0.01-0.99-0.4-5.xlsx</t>
  </si>
  <si>
    <t>2015-06-12-04-00-Exp-30-P-100-0-0-C-B-110-1600-MASDS-0.52-0.00-0.30-0.00-0.18-GBHS-10-0.85-0.01-0.99-0.4-5.xlsx</t>
  </si>
  <si>
    <t>2015-06-12-04-18-Exp-30-P-100-0-0-C-B-110-1600-MASDS-0.52-0.00-0.28-0.00-0.20-GBHS-10-0.85-0.01-0.99-0.4-5.xlsx</t>
  </si>
  <si>
    <t>2015-06-12-04-37-Exp-30-P-100-0-0-C-B-110-1600-MASDS-0.40-0.00-0.30-0.00-0.30-GBHS-10-0.85-0.01-0.99-0.4-5.xlsx</t>
  </si>
  <si>
    <t>2015-06-12-04-55-Exp-30-P-100-0-0-C-B-110-1600-MASDS-0.30-0.00-0.40-0.00-0.30-GBHS-10-0.85-0.01-0.99-0.4-5.xlsx</t>
  </si>
  <si>
    <t>2015-06-12-05-14-Exp-30-P-100-0-0-C-B-110-1600-MASDS-0.30-0.00-0.30-0.00-0.40-GBHS-10-0.85-0.01-0.99-0.4-5.xlsx</t>
  </si>
  <si>
    <t>2015-06-12-05-32-Exp-30-P-100-0-0-C-B-110-1600-MASDS-0.20-0.00-0.40-0.00-0.40-GBHS-10-0.85-0.01-0.99-0.4-5.xlsx</t>
  </si>
  <si>
    <t>2015-06-12-07-15-Exp-30-P-100-0-0-C-B-110-1600-MASDS-0.50-0.00-0.30-0.00-0.20-GBHS-10-0.85-0.01-0.99-0.4-5.xlsx</t>
  </si>
  <si>
    <t>2015-06-12-07-46-Exp-30-P-100-0-0-C-B-110-1600-MASDS-0.50-0.00-0.32-0.00-0.18-GBHS-10-0.85-0.01-0.99-0.4-5.xlsx</t>
  </si>
  <si>
    <t>2015-06-13-19-37-Exp-30-P-100-0-0-C-B-110-1600-MASDS-0.10-0.00-0.10-0.00-0.80-GBHS-10-0.85-0.01-0.99-0.4-5.xlsx</t>
  </si>
  <si>
    <t>2015-06-13-19-53-Exp-30-P-100-0-0-C-B-110-1600-MASDS-0.10-0.00-0.20-0.00-0.70-GBHS-10-0.85-0.01-0.99-0.4-5.xlsx</t>
  </si>
  <si>
    <t>2015-06-13-20-11-Exp-30-P-100-0-0-C-B-110-1600-MASDS-0.10-0.00-0.30-0.00-0.60-GBHS-10-0.85-0.01-0.99-0.4-5.xlsx</t>
  </si>
  <si>
    <t>2015-06-13-20-29-Exp-30-P-100-0-0-C-B-110-1600-MASDS-0.10-0.00-0.40-0.00-0.50-GBHS-10-0.85-0.01-0.99-0.4-5.xlsx</t>
  </si>
  <si>
    <t>2015-06-13-20-47-Exp-30-P-100-0-0-C-B-110-1600-MASDS-0.10-0.00-0.50-0.00-0.40-GBHS-10-0.85-0.01-0.99-0.4-5.xlsx</t>
  </si>
  <si>
    <t>2015-06-13-21-05-Exp-30-P-100-0-0-C-B-110-1600-MASDS-0.10-0.00-0.60-0.00-0.30-GBHS-10-0.85-0.01-0.99-0.4-5.xlsx</t>
  </si>
  <si>
    <t>2015-06-13-21-23-Exp-30-P-100-0-0-C-B-110-1600-MASDS-0.10-0.00-0.70-0.00-0.20-GBHS-10-0.85-0.01-0.99-0.4-5.xlsx</t>
  </si>
  <si>
    <t>2015-06-13-21-41-Exp-30-P-100-0-0-C-B-110-1600-MASDS-0.10-0.00-0.80-0.00-0.10-GBHS-10-0.85-0.01-0.99-0.4-5.xlsx</t>
  </si>
  <si>
    <t>2015-06-13-21-58-Exp-30-P-100-0-0-C-B-110-1600-MASDS-0.20-0.00-0.10-0.00-0.70-GBHS-10-0.85-0.01-0.99-0.4-5.xlsx</t>
  </si>
  <si>
    <t>2015-06-13-22-16-Exp-30-P-100-0-0-C-B-110-1600-MASDS-0.20-0.00-0.20-0.00-0.60-GBHS-10-0.85-0.01-0.99-0.4-5.xlsx</t>
  </si>
  <si>
    <t>2015-06-13-22-34-Exp-30-P-100-0-0-C-B-110-1600-MASDS-0.20-0.00-0.30-0.00-0.50-GBHS-10-0.85-0.01-0.99-0.4-5.xlsx</t>
  </si>
  <si>
    <t>2015-06-13-22-51-Exp-30-P-100-0-0-C-B-110-1600-MASDS-0.20-0.00-0.40-0.00-0.40-GBHS-10-0.85-0.01-0.99-0.4-5.xlsx</t>
  </si>
  <si>
    <t>2015-06-13-23-10-Exp-30-P-100-0-0-C-B-110-1600-MASDS-0.20-0.00-0.50-0.00-0.30-GBHS-10-0.85-0.01-0.99-0.4-5.xlsx</t>
  </si>
  <si>
    <t>2015-06-13-23-29-Exp-30-P-100-0-0-C-B-110-1600-MASDS-0.20-0.00-0.60-0.00-0.20-GBHS-10-0.85-0.01-0.99-0.4-5.xlsx</t>
  </si>
  <si>
    <t>2015-06-13-23-50-Exp-30-P-100-0-0-C-B-110-1600-MASDS-0.20-0.00-0.70-0.00-0.10-GBHS-10-0.85-0.01-0.99-0.4-5.xlsx</t>
  </si>
  <si>
    <t>2015-06-14-00-11-Exp-30-P-100-0-0-C-B-110-1600-MASDS-0.30-0.00-0.10-0.00-0.60-GBHS-10-0.85-0.01-0.99-0.4-5.xlsx</t>
  </si>
  <si>
    <t>2015-06-14-00-33-Exp-30-P-100-0-0-C-B-110-1600-MASDS-0.30-0.00-0.20-0.00-0.50-GBHS-10-0.85-0.01-0.99-0.4-5.xlsx</t>
  </si>
  <si>
    <t>2015-06-14-00-56-Exp-30-P-100-0-0-C-B-110-1600-MASDS-0.30-0.00-0.30-0.00-0.40-GBHS-10-0.85-0.01-0.99-0.4-5.xlsx</t>
  </si>
  <si>
    <t>2015-06-14-01-19-Exp-30-P-100-0-0-C-B-110-1600-MASDS-0.30-0.00-0.40-0.00-0.30-GBHS-10-0.85-0.01-0.99-0.4-5.xlsx</t>
  </si>
  <si>
    <t>2015-06-14-01-41-Exp-30-P-100-0-0-C-B-110-1600-MASDS-0.30-0.00-0.50-0.00-0.20-GBHS-10-0.85-0.01-0.99-0.4-5.xlsx</t>
  </si>
  <si>
    <t>2015-06-14-02-03-Exp-30-P-100-0-0-C-B-110-1600-MASDS-0.30-0.00-0.60-0.00-0.10-GBHS-10-0.85-0.01-0.99-0.4-5.xlsx</t>
  </si>
  <si>
    <t>2015-06-14-02-24-Exp-30-P-100-0-0-C-B-110-1600-MASDS-0.40-0.00-0.10-0.00-0.50-GBHS-10-0.85-0.01-0.99-0.4-5.xlsx</t>
  </si>
  <si>
    <t>2015-06-14-02-47-Exp-30-P-100-0-0-C-B-110-1600-MASDS-0.40-0.00-0.20-0.00-0.40-GBHS-10-0.85-0.01-0.99-0.4-5.xlsx</t>
  </si>
  <si>
    <t>2015-06-14-03-12-Exp-30-P-100-0-0-C-B-110-1600-MASDS-0.40-0.00-0.30-0.00-0.30-GBHS-10-0.85-0.01-0.99-0.4-5.xlsx</t>
  </si>
  <si>
    <t>2015-06-14-03-34-Exp-30-P-100-0-0-C-B-110-1600-MASDS-0.40-0.00-0.40-0.00-0.20-GBHS-10-0.85-0.01-0.99-0.4-5.xlsx</t>
  </si>
  <si>
    <t>2015-06-14-03-55-Exp-30-P-100-0-0-C-B-110-1600-MASDS-0.40-0.00-0.50-0.00-0.10-GBHS-10-0.85-0.01-0.99-0.4-5.xlsx</t>
  </si>
  <si>
    <t>2015-06-14-04-15-Exp-30-P-100-0-0-C-B-110-1600-MASDS-0.50-0.00-0.10-0.00-0.40-GBHS-10-0.85-0.01-0.99-0.4-5.xlsx</t>
  </si>
  <si>
    <t>2015-06-14-04-35-Exp-30-P-100-0-0-C-B-110-1600-MASDS-0.50-0.00-0.20-0.00-0.30-GBHS-10-0.85-0.01-0.99-0.4-5.xlsx</t>
  </si>
  <si>
    <t>2015-06-14-04-56-Exp-30-P-100-0-0-C-B-110-1600-MASDS-0.50-0.00-0.30-0.00-0.20-GBHS-10-0.85-0.01-0.99-0.4-5.xlsx</t>
  </si>
  <si>
    <t>2015-06-14-05-16-Exp-30-P-100-0-0-C-B-110-1600-MASDS-0.50-0.00-0.40-0.00-0.10-GBHS-10-0.85-0.01-0.99-0.4-5.xlsx</t>
  </si>
  <si>
    <t>2015-06-14-05-36-Exp-30-P-100-0-0-C-B-110-1600-MASDS-0.60-0.00-0.10-0.00-0.30-GBHS-10-0.85-0.01-0.99-0.4-5.xlsx</t>
  </si>
  <si>
    <t>2015-06-14-05-56-Exp-30-P-100-0-0-C-B-110-1600-MASDS-0.60-0.00-0.20-0.00-0.20-GBHS-10-0.85-0.01-0.99-0.4-5.xlsx</t>
  </si>
  <si>
    <t>2015-06-14-06-16-Exp-30-P-100-0-0-C-B-110-1600-MASDS-0.60-0.00-0.30-0.00-0.10-GBHS-10-0.85-0.01-0.99-0.4-5.xlsx</t>
  </si>
  <si>
    <t>2015-06-14-06-36-Exp-30-P-100-0-0-C-B-110-1600-MASDS-0.70-0.00-0.10-0.00-0.20-GBHS-10-0.85-0.01-0.99-0.4-5.xlsx</t>
  </si>
  <si>
    <t>2015-06-14-06-57-Exp-30-P-100-0-0-C-B-110-1600-MASDS-0.70-0.00-0.20-0.00-0.10-GBHS-10-0.85-0.01-0.99-0.4-5.xlsx</t>
  </si>
  <si>
    <t>2015-06-14-07-20-Exp-30-P-100-0-0-C-B-110-1600-MASDS-0.80-0.00-0.10-0.00-0.10-GBHS-10-0.85-0.01-0.99-0.4-5.xlsx</t>
  </si>
  <si>
    <t>2015-06-12-08-17-Exp-30-P-100-0-0-C-B-110-1600-MASDS-0.50-0.00-0.28-0.00-0.22-GBHS-10-0.85-0.01-0.99-0.4-5.xlsx</t>
  </si>
  <si>
    <t>2015-06-12-08-52-Exp-30-P-100-0-0-C-B-110-1600-MASDS-0.48-0.00-0.30-0.00-0.22-GBHS-10-0.85-0.01-0.99-0.4-5.xlsx</t>
  </si>
  <si>
    <t>2015-06-12-10-48-Exp-30-P-100-0-0-C-B-110-1600-MASDS-0.48-0.00-0.32-0.00-0.20-GBHS-10-0.85-0.01-0.99-0.4-5.xlsx</t>
  </si>
  <si>
    <t>2015-06-12-11-46-Exp-30-P-100-0-0-C-B-110-1600-MASDS-0.52-0.00-0.30-0.00-0.18-GBHS-10-0.85-0.01-0.99-0.4-5.xlsx</t>
  </si>
  <si>
    <t>2015-06-12-12-35-Exp-30-P-100-0-0-C-B-110-1600-MASDS-0.52-0.00-0.28-0.00-0.20-GBHS-10-0.85-0.01-0.99-0.4-5.xlsx</t>
  </si>
  <si>
    <t>2015-06-12-03-09-Exp-30-P-100-0-0-C-B-110-1600-MASDS-0.50-0.00-0.28-0.00-0.22-GBHS-10-0.85-0.01-0.99-0.4-5.xlsx</t>
  </si>
  <si>
    <t>2015-06-15-09-33-Exp-30-P-100-0-0-C-B-110-1600-MASDS-0.48-0.00-0.30-0.00-0.22-GBHS-10-0.85-0.01-0.99-0.4-5.xlsx</t>
  </si>
  <si>
    <t>2015-06-15-10-05-Exp-30-P-100-0-0-C-B-110-1600-MASDS-0.48-0.00-0.31-0.00-0.21-GBHS-10-0.85-0.01-0.99-0.4-5.xlsx</t>
  </si>
  <si>
    <t>2015-06-15-10-40-Exp-30-P-100-0-0-C-B-110-1600-MASDS-0.48-0.00-0.32-0.00-0.20-GBHS-10-0.85-0.01-0.99-0.4-5.xlsx</t>
  </si>
  <si>
    <t>2015-06-15-11-16-Exp-30-P-100-0-0-C-B-110-1600-MASDS-0.49-0.00-0.29-0.00-0.22-GBHS-10-0.85-0.01-0.99-0.4-5.xlsx</t>
  </si>
  <si>
    <t>2015-06-15-11-54-Exp-30-P-100-0-0-C-B-110-1600-MASDS-0.49-0.00-0.30-0.00-0.21-GBHS-10-0.85-0.01-0.99-0.4-5.xlsx</t>
  </si>
  <si>
    <t>2015-06-15-12-39-Exp-30-P-100-0-0-C-B-110-1600-MASDS-0.49-0.00-0.31-0.00-0.20-GBHS-10-0.85-0.01-0.99-0.4-5.xlsx</t>
  </si>
  <si>
    <t>2015-06-15-13-12-Exp-30-P-100-0-0-C-B-110-1600-MASDS-0.49-0.00-0.32-0.00-0.19-GBHS-10-0.85-0.01-0.99-0.4-5.xlsx</t>
  </si>
  <si>
    <t>2015-06-15-13-40-Exp-30-P-100-0-0-C-B-110-1600-MASDS-0.50-0.00-0.28-0.00-0.22-GBHS-10-0.85-0.01-0.99-0.4-5.xlsx</t>
  </si>
  <si>
    <t>2015-06-15-14-07-Exp-30-P-100-0-0-C-B-110-1600-MASDS-0.50-0.00-0.29-0.00-0.21-GBHS-10-0.85-0.01-0.99-0.4-5.xlsx</t>
  </si>
  <si>
    <t>2015-06-15-14-37-Exp-30-P-100-0-0-C-B-110-1600-MASDS-0.50-0.00-0.30-0.00-0.20-GBHS-10-0.85-0.01-0.99-0.4-5.xlsx</t>
  </si>
  <si>
    <t>2015-06-15-15-08-Exp-30-P-100-0-0-C-B-110-1600-MASDS-0.50-0.00-0.31-0.00-0.19-GBHS-10-0.85-0.01-0.99-0.4-5.xlsx</t>
  </si>
  <si>
    <t>2015-06-15-15-39-Exp-30-P-100-0-0-C-B-110-1600-MASDS-0.50-0.00-0.32-0.00-0.18-GBHS-10-0.85-0.01-0.99-0.4-5.xlsx</t>
  </si>
  <si>
    <t>2015-06-15-16-12-Exp-30-P-100-0-0-C-B-110-1600-MASDS-0.51-0.00-0.28-0.00-0.21-GBHS-10-0.85-0.01-0.99-0.4-5.xlsx</t>
  </si>
  <si>
    <t>2015-06-15-16-44-Exp-30-P-100-0-0-C-B-110-1600-MASDS-0.51-0.00-0.29-0.00-0.20-GBHS-10-0.85-0.01-0.99-0.4-5.xlsx</t>
  </si>
  <si>
    <t>2015-06-15-17-12-Exp-30-P-100-0-0-C-B-110-1600-MASDS-0.51-0.00-0.30-0.00-0.19-GBHS-10-0.85-0.01-0.99-0.4-5.xlsx</t>
  </si>
  <si>
    <t>2015-06-15-17-40-Exp-30-P-100-0-0-C-B-110-1600-MASDS-0.51-0.00-0.31-0.00-0.18-GBHS-10-0.85-0.01-0.99-0.4-5.xlsx</t>
  </si>
  <si>
    <t>2015-06-15-18-08-Exp-30-P-100-0-0-C-B-110-1600-MASDS-0.52-0.00-0.28-0.00-0.20-GBHS-10-0.85-0.01-0.99-0.4-5.xlsx</t>
  </si>
  <si>
    <t>2015-06-15-18-36-Exp-30-P-100-0-0-C-B-110-1600-MASDS-0.52-0.00-0.29-0.00-0.19-GBHS-10-0.85-0.01-0.99-0.4-5.xlsx</t>
  </si>
  <si>
    <t>2015-06-15-19-05-Exp-30-P-100-0-0-C-B-110-1600-MASDS-0.52-0.00-0.30-0.00-0.18-GBHS-10-0.85-0.01-0.99-0.4-5.xlsx</t>
  </si>
  <si>
    <t>2015-06-15-19-32-Exp-30-P-100-0-0-C-B-110-1600-MASDS-0.53-0.00-0.28-0.00-0.19-GBHS-10-0.85-0.01-0.99-0.4-5.xlsx</t>
  </si>
  <si>
    <t>2015-06-15-20-01-Exp-30-P-100-0-0-C-B-110-1600-MASDS-0.53-0.00-0.29-0.00-0.18-GBHS-10-0.85-0.01-0.99-0.4-5.xlsx</t>
  </si>
  <si>
    <t>2015-06-14-22-04-Exp-30-P-100-0-0-C-B-110-1600-MASDS-0.48-0.00-0.30-0.00-0.22-GBHS-10-0.85-0.01-0.99-0.4-5.xlsx</t>
  </si>
  <si>
    <t>2015-06-14-22-21-Exp-30-P-100-0-0-C-B-110-1600-MASDS-0.48-0.00-0.31-0.00-0.21-GBHS-10-0.85-0.01-0.99-0.4-5.xlsx</t>
  </si>
  <si>
    <t>2015-06-14-22-36-Exp-30-P-100-0-0-C-B-110-1600-MASDS-0.48-0.00-0.32-0.00-0.20-GBHS-10-0.85-0.01-0.99-0.4-5.xlsx</t>
  </si>
  <si>
    <t>2015-06-14-22-53-Exp-30-P-100-0-0-C-B-110-1600-MASDS-0.49-0.00-0.29-0.00-0.22-GBHS-10-0.85-0.01-0.99-0.4-5.xlsx</t>
  </si>
  <si>
    <t>2015-06-14-23-07-Exp-30-P-100-0-0-C-B-110-1600-MASDS-0.49-0.00-0.30-0.00-0.21-GBHS-10-0.85-0.01-0.99-0.4-5.xlsx</t>
  </si>
  <si>
    <t>2015-06-14-23-22-Exp-30-P-100-0-0-C-B-110-1600-MASDS-0.49-0.00-0.31-0.00-0.20-GBHS-10-0.85-0.01-0.99-0.4-5.xlsx</t>
  </si>
  <si>
    <t>2015-06-14-23-39-Exp-30-P-100-0-0-C-B-110-1600-MASDS-0.49-0.00-0.32-0.00-0.19-GBHS-10-0.85-0.01-0.99-0.4-5.xlsx</t>
  </si>
  <si>
    <t>2015-06-14-23-56-Exp-30-P-100-0-0-C-B-110-1600-MASDS-0.50-0.00-0.28-0.00-0.22-GBHS-10-0.85-0.01-0.99-0.4-5.xlsx</t>
  </si>
  <si>
    <t>2015-06-15-00-12-Exp-30-P-100-0-0-C-B-110-1600-MASDS-0.50-0.00-0.29-0.00-0.21-GBHS-10-0.85-0.01-0.99-0.4-5.xlsx</t>
  </si>
  <si>
    <t>2015-06-15-00-29-Exp-30-P-100-0-0-C-B-110-1600-MASDS-0.50-0.00-0.30-0.00-0.20-GBHS-10-0.85-0.01-0.99-0.4-5.xlsx</t>
  </si>
  <si>
    <t>2015-06-15-00-46-Exp-30-P-100-0-0-C-B-110-1600-MASDS-0.50-0.00-0.31-0.00-0.19-GBHS-10-0.85-0.01-0.99-0.4-5.xlsx</t>
  </si>
  <si>
    <t>2015-06-15-01-02-Exp-30-P-100-0-0-C-B-110-1600-MASDS-0.50-0.00-0.32-0.00-0.18-GBHS-10-0.85-0.01-0.99-0.4-5.xlsx</t>
  </si>
  <si>
    <t>2015-06-15-01-18-Exp-30-P-100-0-0-C-B-110-1600-MASDS-0.51-0.00-0.28-0.00-0.21-GBHS-10-0.85-0.01-0.99-0.4-5.xlsx</t>
  </si>
  <si>
    <t>2015-06-15-01-34-Exp-30-P-100-0-0-C-B-110-1600-MASDS-0.51-0.00-0.29-0.00-0.20-GBHS-10-0.85-0.01-0.99-0.4-5.xlsx</t>
  </si>
  <si>
    <t>2015-06-15-01-49-Exp-30-P-100-0-0-C-B-110-1600-MASDS-0.51-0.00-0.30-0.00-0.19-GBHS-10-0.85-0.01-0.99-0.4-5.xlsx</t>
  </si>
  <si>
    <t>2015-06-15-02-06-Exp-30-P-100-0-0-C-B-110-1600-MASDS-0.51-0.00-0.31-0.00-0.18-GBHS-10-0.85-0.01-0.99-0.4-5.xlsx</t>
  </si>
  <si>
    <t>2015-06-15-02-22-Exp-30-P-100-0-0-C-B-110-1600-MASDS-0.52-0.00-0.28-0.00-0.20-GBHS-10-0.85-0.01-0.99-0.4-5.xlsx</t>
  </si>
  <si>
    <t>2015-06-15-02-37-Exp-30-P-100-0-0-C-B-110-1600-MASDS-0.52-0.00-0.29-0.00-0.19-GBHS-10-0.85-0.01-0.99-0.4-5.xlsx</t>
  </si>
  <si>
    <t>2015-06-15-02-53-Exp-30-P-100-0-0-C-B-110-1600-MASDS-0.52-0.00-0.30-0.00-0.18-GBHS-10-0.85-0.01-0.99-0.4-5.xlsx</t>
  </si>
  <si>
    <t>2015-06-15-03-09-Exp-30-P-100-0-0-C-B-110-1600-MASDS-0.53-0.00-0.28-0.00-0.19-GBHS-10-0.85-0.01-0.99-0.4-5.xlsx</t>
  </si>
  <si>
    <t>2015-06-15-03-25-Exp-30-P-100-0-0-C-B-110-1600-MASDS-0.53-0.00-0.29-0.00-0.18-GBHS-10-0.85-0.01-0.99-0.4-5.xlsx</t>
  </si>
  <si>
    <t>2015-06-15-21-31-Exp-30-P-100-0-0-C-B-110-1600-MASDS-0.52-0.00-0.28-0.00-0.20-GBHS-10-0.85-0.01-0.99-0-0.xlsx</t>
  </si>
  <si>
    <t>2015-06-15-22-06-Exp-30-P-100-0-0-C-B-110-1600-MASDS-0.52-0.00-0.28-0.00-0.20-GBHS-10-0.85-0.01-0.99-0.1-5.xlsx</t>
  </si>
  <si>
    <t>2015-06-15-22-24-Exp-30-P-100-0-0-C-B-110-1600-MASDS-0.52-0.00-0.28-0.00-0.20-GBHS-10-0.85-0.01-0.99-0.1-10.xlsx</t>
  </si>
  <si>
    <t>2015-06-15-22-41-Exp-30-P-100-0-0-C-B-110-1600-MASDS-0.52-0.00-0.28-0.00-0.20-GBHS-10-0.85-0.01-0.99-0.1-15.xlsx</t>
  </si>
  <si>
    <t>2015-06-15-22-58-Exp-30-P-100-0-0-C-B-110-1600-MASDS-0.52-0.00-0.28-0.00-0.20-GBHS-10-0.85-0.01-0.99-0.2-5.xlsx</t>
  </si>
  <si>
    <t>2015-06-15-23-17-Exp-30-P-100-0-0-C-B-110-1600-MASDS-0.52-0.00-0.28-0.00-0.20-GBHS-10-0.85-0.01-0.99-0.2-10.xlsx</t>
  </si>
  <si>
    <t>2015-06-15-23-35-Exp-30-P-100-0-0-C-B-110-1600-MASDS-0.52-0.00-0.28-0.00-0.20-GBHS-10-0.85-0.01-0.99-0.2-15.xlsx</t>
  </si>
  <si>
    <t>2015-06-15-23-57-Exp-30-P-100-0-0-C-B-110-1600-MASDS-0.52-0.00-0.28-0.00-0.20-GBHS-10-0.85-0.01-0.99-0.3-5.xlsx</t>
  </si>
  <si>
    <t>2015-06-16-00-18-Exp-30-P-100-0-0-C-B-110-1600-MASDS-0.52-0.00-0.28-0.00-0.20-GBHS-10-0.85-0.01-0.99-0.3-10.xlsx</t>
  </si>
  <si>
    <t>2015-06-16-00-38-Exp-30-P-100-0-0-C-B-110-1600-MASDS-0.52-0.00-0.28-0.00-0.20-GBHS-10-0.85-0.01-0.99-0.3-15.xlsx</t>
  </si>
  <si>
    <t>2015-06-16-01-01-Exp-30-P-100-0-0-C-B-110-1600-MASDS-0.52-0.00-0.28-0.00-0.20-GBHS-10-0.85-0.01-0.99-0.4-5.xlsx</t>
  </si>
  <si>
    <t>2015-06-16-01-45-Exp-30-P-100-0-0-C-B-110-1600-MASDS-0.52-0.00-0.28-0.00-0.20-GBHS-10-0.85-0.01-0.99-0.4-10.xlsx</t>
  </si>
  <si>
    <t>2015-06-16-02-23-Exp-30-P-100-0-0-C-B-110-1600-MASDS-0.52-0.00-0.28-0.00-0.20-GBHS-10-0.85-0.01-0.99-0.4-15.xlsx</t>
  </si>
  <si>
    <t>2015-06-16-02-37-Exp-30-P-100-0-0-C-B-110-1600-MASDS-0.52-0.00-0.28-0.00-0.20-GBHS-10-0.85-0.01-0.99-0.5-5.xlsx</t>
  </si>
  <si>
    <t>2015-06-16-02-51-Exp-30-P-100-0-0-C-B-110-1600-MASDS-0.52-0.00-0.28-0.00-0.20-GBHS-10-0.85-0.01-0.99-0.5-10.xlsx</t>
  </si>
  <si>
    <t>2015-06-16-03-05-Exp-30-P-100-0-0-C-B-110-1600-MASDS-0.52-0.00-0.28-0.00-0.20-GBHS-10-0.85-0.01-0.99-0.5-15.xlsx</t>
  </si>
  <si>
    <t>2015-06-16-03-19-Exp-30-P-100-0-0-C-B-110-1600-MASDS-0.52-0.00-0.28-0.00-0.20-GBHS-10-0.85-0.01-0.99-0.6-5.xlsx</t>
  </si>
  <si>
    <t>2015-06-16-03-33-Exp-30-P-100-0-0-C-B-110-1600-MASDS-0.52-0.00-0.28-0.00-0.20-GBHS-10-0.85-0.01-0.99-0.6-10.xlsx</t>
  </si>
  <si>
    <t>2015-06-16-03-48-Exp-30-P-100-0-0-C-B-110-1600-MASDS-0.52-0.00-0.28-0.00-0.20-GBHS-10-0.85-0.01-0.99-0.6-15.xlsx</t>
  </si>
  <si>
    <t>2015-06-16-04-02-Exp-30-P-100-0-0-C-B-110-1600-MASDS-0.52-0.00-0.28-0.00-0.20-GBHS-10-0.85-0.01-0.99-0.7-5.xlsx</t>
  </si>
  <si>
    <t>2015-06-16-04-17-Exp-30-P-100-0-0-C-B-110-1600-MASDS-0.52-0.00-0.28-0.00-0.20-GBHS-10-0.85-0.01-0.99-0.7-10.xlsx</t>
  </si>
  <si>
    <t>2015-06-16-04-33-Exp-30-P-100-0-0-C-B-110-1600-MASDS-0.52-0.00-0.28-0.00-0.20-GBHS-10-0.85-0.01-0.99-0.7-15.xlsx</t>
  </si>
  <si>
    <t>2015-06-16-04-48-Exp-30-P-100-0-0-C-B-110-1600-MASDS-0.52-0.00-0.28-0.00-0.20-GBHS-10-0.85-0.01-0.99-0.8-5.xlsx</t>
  </si>
  <si>
    <t>2015-06-16-05-02-Exp-30-P-100-0-0-C-B-110-1600-MASDS-0.52-0.00-0.28-0.00-0.20-GBHS-10-0.85-0.01-0.99-0.8-10.xlsx</t>
  </si>
  <si>
    <t>2015-06-16-05-16-Exp-30-P-100-0-0-C-B-110-1600-MASDS-0.52-0.00-0.28-0.00-0.20-GBHS-10-0.85-0.01-0.99-0.8-15.xlsx</t>
  </si>
  <si>
    <t>2015-06-16-05-31-Exp-30-P-100-0-0-C-B-110-1600-MASDS-0.52-0.00-0.28-0.00-0.20-GBHS-10-0.85-0.01-0.99-0.9-5.xlsx</t>
  </si>
  <si>
    <t>2015-06-16-05-46-Exp-30-P-100-0-0-C-B-110-1600-MASDS-0.52-0.00-0.28-0.00-0.20-GBHS-10-0.85-0.01-0.99-0.9-10.xlsx</t>
  </si>
  <si>
    <t>2015-06-16-06-01-Exp-30-P-100-0-0-C-B-110-1600-MASDS-0.52-0.00-0.28-0.00-0.20-GBHS-10-0.85-0.01-0.99-0.9-15.xlsx</t>
  </si>
  <si>
    <t>2015-06-16-06-15-Exp-30-P-100-0-0-C-B-110-1600-MASDS-0.52-0.00-0.28-0.00-0.20-GBHS-10-0.85-0.01-0.99-1-5.xlsx</t>
  </si>
  <si>
    <t>2015-06-16-06-31-Exp-30-P-100-0-0-C-B-110-1600-MASDS-0.52-0.00-0.28-0.00-0.20-GBHS-10-0.85-0.01-0.99-1-10.xlsx</t>
  </si>
  <si>
    <t>2015-06-16-06-45-Exp-30-P-100-0-0-C-B-110-1600-MASDS-0.52-0.00-0.28-0.00-0.20-GBHS-10-0.85-0.01-0.99-1-15.xlsx</t>
  </si>
  <si>
    <t>2015-06-16-08-56-Exp-30-P-100-0-0-C-B-110-1600-MASDS-0.52-0.00-0.28-0.00-0.20-GBHS-10-0.85-0.01-0.99-0.1-5.xlsx</t>
  </si>
  <si>
    <t>2015-06-16-09-23-Exp-30-P-100-0-0-C-B-110-1600-MASDS-0.52-0.00-0.28-0.00-0.20-GBHS-10-0.85-0.01-0.99-0.1-10.xlsx</t>
  </si>
  <si>
    <t>2015-06-16-10-29-Exp-30-P-100-0-0-C-B-110-1600-MASDS-0.52-0.00-0.28-0.00-0.20-GBHS-10-0.85-0.01-0.99-0.1-15.xlsx</t>
  </si>
  <si>
    <t>2015-06-16-10-58-Exp-30-P-100-0-0-C-B-110-1600-MASDS-0.52-0.00-0.28-0.00-0.20-GBHS-10-0.85-0.01-0.99-0.2-5.xlsx</t>
  </si>
  <si>
    <t>2015-06-16-11-35-Exp-30-P-100-0-0-C-B-110-1600-MASDS-0.52-0.00-0.28-0.00-0.20-GBHS-10-0.85-0.01-0.99-0.2-10.xlsx</t>
  </si>
  <si>
    <t>2015-06-16-12-20-Exp-30-P-100-0-0-C-B-110-1600-MASDS-0.52-0.00-0.28-0.00-0.20-GBHS-10-0.85-0.01-0.99-0.2-15.xlsx</t>
  </si>
  <si>
    <t>2015-06-16-15-55-Exp-30-P-100-0-0-C-B-110-1600-MASDS-0.52-0.00-0.28-0.00-0.20-GBHS-10-0.85-0.01-0.99-0.3-5.xlsx</t>
  </si>
  <si>
    <t>2015-06-16-16-28-Exp-30-P-100-0-0-C-B-110-1600-MASDS-0.52-0.00-0.28-0.00-0.20-GBHS-10-0.85-0.01-0.99-0.3-10.xlsx</t>
  </si>
  <si>
    <t>2015-06-16-17-51-Exp-30-P-100-0-0-C-B-110-1600-MASDS-0.52-0.00-0.28-0.00-0.20-GBHS-10-0.85-0.01-0.99-0.3-15.xlsx</t>
  </si>
  <si>
    <t>2015-06-16-18-24-Exp-30-P-100-0-0-C-B-110-1600-MASDS-0.52-0.00-0.28-0.00-0.20-GBHS-10-0.85-0.01-0.99-0.4-5.xlsx</t>
  </si>
  <si>
    <t>2015-06-16-18-59-Exp-30-P-100-0-0-C-B-110-1600-MASDS-0.52-0.00-0.28-0.00-0.20-GBHS-10-0.85-0.01-0.99-0.4-10.xlsx</t>
  </si>
  <si>
    <t>2015-06-16-19-38-Exp-30-P-100-0-0-C-B-110-1600-MASDS-0.52-0.00-0.28-0.00-0.20-GBHS-10-0.85-0.01-0.99-0.4-15.xlsx</t>
  </si>
  <si>
    <t>2015-06-16-20-17-Exp-30-P-100-0-0-C-B-110-1600-MASDS-0.52-0.00-0.28-0.00-0.20-GBHS-10-0.85-0.01-0.99-0.5-5.xlsx</t>
  </si>
  <si>
    <t>2015-06-16-20-53-Exp-30-P-100-0-0-C-B-110-1600-MASDS-0.52-0.00-0.28-0.00-0.20-GBHS-10-0.85-0.01-0.99-0.5-10.xlsx</t>
  </si>
  <si>
    <t>2015-06-16-21-23-Exp-30-P-100-0-0-C-B-110-1600-MASDS-0.52-0.00-0.28-0.00-0.20-GBHS-10-0.85-0.01-0.99-0.5-15.xlsx</t>
  </si>
  <si>
    <t>2015-06-16-21-49-Exp-30-P-100-0-0-C-B-110-1600-MASDS-0.52-0.00-0.28-0.00-0.20-GBHS-10-0.85-0.01-0.99-0.6-5.xlsx</t>
  </si>
  <si>
    <t>2015-06-16-22-18-Exp-30-P-100-0-0-C-B-110-1600-MASDS-0.52-0.00-0.28-0.00-0.20-GBHS-10-0.85-0.01-0.99-0.6-10.xlsx</t>
  </si>
  <si>
    <t>2015-06-16-22-50-Exp-30-P-100-0-0-C-B-110-1600-MASDS-0.52-0.00-0.28-0.00-0.20-GBHS-10-0.85-0.01-0.99-0.6-15.xlsx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</si>
</sst>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CFF0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Fill="1"/>
    <xf numFmtId="0" fontId="3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2" fontId="3" fillId="0" borderId="0" xfId="0" applyNumberFormat="1" applyFont="1" applyFill="1"/>
    <xf numFmtId="2" fontId="3" fillId="2" borderId="0" xfId="0" applyNumberFormat="1" applyFont="1" applyFill="1"/>
    <xf numFmtId="0" fontId="4" fillId="0" borderId="0" xfId="0" applyFont="1" applyAlignment="1">
      <alignment horizontal="left" vertical="center"/>
    </xf>
    <xf numFmtId="0" fontId="0" fillId="0" borderId="0" xfId="0" applyAlignment="1"/>
    <xf numFmtId="0" fontId="0" fillId="0" borderId="0" xfId="0" applyFill="1" applyAlignment="1"/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16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164" fontId="5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164" fontId="5" fillId="3" borderId="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0" fillId="0" borderId="0" xfId="0" applyFont="1" applyAlignment="1">
      <alignment horizontal="center"/>
    </xf>
    <xf numFmtId="0" fontId="0" fillId="0" borderId="0" xfId="0" applyFont="1" applyAlignment="1"/>
    <xf numFmtId="1" fontId="5" fillId="3" borderId="0" xfId="0" applyNumberFormat="1" applyFont="1" applyFill="1" applyBorder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justify" vertical="center"/>
    </xf>
    <xf numFmtId="165" fontId="5" fillId="3" borderId="0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3" xfId="0" applyBorder="1"/>
    <xf numFmtId="0" fontId="0" fillId="4" borderId="3" xfId="0" applyFill="1" applyBorder="1"/>
    <xf numFmtId="0" fontId="0" fillId="0" borderId="0" xfId="0" applyBorder="1"/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2" fontId="0" fillId="0" borderId="3" xfId="0" applyNumberFormat="1" applyBorder="1"/>
    <xf numFmtId="2" fontId="0" fillId="0" borderId="0" xfId="0" applyNumberFormat="1"/>
    <xf numFmtId="0" fontId="0" fillId="5" borderId="3" xfId="0" applyFill="1" applyBorder="1"/>
    <xf numFmtId="2" fontId="0" fillId="5" borderId="3" xfId="0" applyNumberFormat="1" applyFill="1" applyBorder="1"/>
    <xf numFmtId="0" fontId="0" fillId="5" borderId="3" xfId="0" applyFill="1" applyBorder="1" applyAlignment="1">
      <alignment horizontal="center"/>
    </xf>
    <xf numFmtId="2" fontId="0" fillId="0" borderId="4" xfId="0" applyNumberFormat="1" applyFill="1" applyBorder="1"/>
    <xf numFmtId="2" fontId="5" fillId="3" borderId="0" xfId="0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0" fontId="2" fillId="0" borderId="0" xfId="0" applyFont="1" applyFill="1"/>
    <xf numFmtId="2" fontId="2" fillId="0" borderId="0" xfId="0" applyNumberFormat="1" applyFont="1"/>
    <xf numFmtId="2" fontId="3" fillId="0" borderId="0" xfId="0" applyNumberFormat="1" applyFont="1"/>
    <xf numFmtId="0" fontId="3" fillId="6" borderId="0" xfId="0" applyFont="1" applyFill="1"/>
    <xf numFmtId="0" fontId="3" fillId="2" borderId="0" xfId="0" applyFont="1" applyFill="1"/>
    <xf numFmtId="0" fontId="2" fillId="2" borderId="0" xfId="0" applyFont="1" applyFill="1"/>
    <xf numFmtId="0" fontId="0" fillId="2" borderId="0" xfId="0" applyFill="1"/>
    <xf numFmtId="0" fontId="5" fillId="0" borderId="0" xfId="0" applyFont="1" applyFill="1" applyAlignment="1">
      <alignment vertical="center"/>
    </xf>
    <xf numFmtId="16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9CF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5829300</xdr:colOff>
          <xdr:row>0</xdr:row>
          <xdr:rowOff>45720</xdr:rowOff>
        </xdr:from>
        <xdr:to>
          <xdr:col>0</xdr:col>
          <xdr:colOff>6606540</xdr:colOff>
          <xdr:row>0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5303520</xdr:colOff>
          <xdr:row>0</xdr:row>
          <xdr:rowOff>45720</xdr:rowOff>
        </xdr:from>
        <xdr:to>
          <xdr:col>0</xdr:col>
          <xdr:colOff>6195060</xdr:colOff>
          <xdr:row>0</xdr:row>
          <xdr:rowOff>167640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5303520</xdr:colOff>
          <xdr:row>0</xdr:row>
          <xdr:rowOff>45720</xdr:rowOff>
        </xdr:from>
        <xdr:to>
          <xdr:col>0</xdr:col>
          <xdr:colOff>6195060</xdr:colOff>
          <xdr:row>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10</xdr:row>
          <xdr:rowOff>45720</xdr:rowOff>
        </xdr:from>
        <xdr:to>
          <xdr:col>6</xdr:col>
          <xdr:colOff>891540</xdr:colOff>
          <xdr:row>11</xdr:row>
          <xdr:rowOff>137160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9</xdr:row>
          <xdr:rowOff>45720</xdr:rowOff>
        </xdr:from>
        <xdr:to>
          <xdr:col>6</xdr:col>
          <xdr:colOff>891540</xdr:colOff>
          <xdr:row>10</xdr:row>
          <xdr:rowOff>137160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101600</xdr:colOff>
      <xdr:row>28</xdr:row>
      <xdr:rowOff>76201</xdr:rowOff>
    </xdr:from>
    <xdr:to>
      <xdr:col>32</xdr:col>
      <xdr:colOff>215900</xdr:colOff>
      <xdr:row>33</xdr:row>
      <xdr:rowOff>144781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267" y="4919134"/>
          <a:ext cx="5067300" cy="9999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62</xdr:row>
          <xdr:rowOff>83820</xdr:rowOff>
        </xdr:from>
        <xdr:to>
          <xdr:col>0</xdr:col>
          <xdr:colOff>883920</xdr:colOff>
          <xdr:row>63</xdr:row>
          <xdr:rowOff>175260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Similitud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241</xdr:col>
          <xdr:colOff>53340</xdr:colOff>
          <xdr:row>31</xdr:row>
          <xdr:rowOff>182880</xdr:rowOff>
        </xdr:from>
        <xdr:to>
          <xdr:col>242</xdr:col>
          <xdr:colOff>45720</xdr:colOff>
          <xdr:row>33</xdr:row>
          <xdr:rowOff>91440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Similitud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M114"/>
  <sheetViews>
    <sheetView showGridLines="0" zoomScale="90" zoomScaleNormal="9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4.4" x14ac:dyDescent="0.3"/>
  <cols>
    <col min="1" max="1" width="114.6640625" style="1" customWidth="1"/>
    <col min="2" max="16384" width="11.5546875" style="1"/>
  </cols>
  <sheetData>
    <row r="1" spans="1:13" x14ac:dyDescent="0.3">
      <c r="A1" s="1" t="s">
        <v>10</v>
      </c>
      <c r="B1" s="1" t="s">
        <v>0</v>
      </c>
      <c r="C1" s="1" t="s">
        <v>4</v>
      </c>
      <c r="D1" s="1" t="s">
        <v>5</v>
      </c>
      <c r="E1" s="1" t="s">
        <v>1</v>
      </c>
      <c r="F1" s="1" t="s">
        <v>2</v>
      </c>
      <c r="G1" s="1" t="s">
        <v>3</v>
      </c>
      <c r="H1" s="1" t="s">
        <v>6</v>
      </c>
      <c r="I1" s="1" t="s">
        <v>7</v>
      </c>
      <c r="J1" s="1" t="s">
        <v>8</v>
      </c>
      <c r="K1" s="1" t="str">
        <f>"2015-05-"</f>
        <v>2015-05-</v>
      </c>
      <c r="L1" s="1" t="s">
        <v>9</v>
      </c>
      <c r="M1" s="1">
        <v>5</v>
      </c>
    </row>
    <row r="2" spans="1:13" x14ac:dyDescent="0.3">
      <c r="A2" s="1" t="s">
        <v>318</v>
      </c>
      <c r="B2">
        <v>0.47838633333333302</v>
      </c>
      <c r="C2">
        <v>0.48238599999999998</v>
      </c>
      <c r="D2">
        <v>0.48022500000000001</v>
      </c>
      <c r="E2">
        <v>0.22408466666666699</v>
      </c>
      <c r="F2">
        <v>0.22567833333333301</v>
      </c>
      <c r="G2">
        <v>0.224806333333333</v>
      </c>
      <c r="H2">
        <v>0.24132366666666699</v>
      </c>
      <c r="I2">
        <v>0.24319733333333299</v>
      </c>
      <c r="J2">
        <v>0.242176</v>
      </c>
    </row>
    <row r="3" spans="1:13" x14ac:dyDescent="0.3">
      <c r="A3" s="1" t="s">
        <v>319</v>
      </c>
      <c r="B3">
        <v>0.47864133333333297</v>
      </c>
      <c r="C3">
        <v>0.48232566666666699</v>
      </c>
      <c r="D3">
        <v>0.48032599999999998</v>
      </c>
      <c r="E3">
        <v>0.22274466666666701</v>
      </c>
      <c r="F3">
        <v>0.22419900000000001</v>
      </c>
      <c r="G3">
        <v>0.22339999999999999</v>
      </c>
      <c r="H3">
        <v>0.240000666666667</v>
      </c>
      <c r="I3">
        <v>0.24170533333333299</v>
      </c>
      <c r="J3">
        <v>0.240772666666667</v>
      </c>
    </row>
    <row r="4" spans="1:13" x14ac:dyDescent="0.3">
      <c r="A4" s="1" t="s">
        <v>320</v>
      </c>
      <c r="B4">
        <v>0.47842433333333301</v>
      </c>
      <c r="C4">
        <v>0.48242033333333301</v>
      </c>
      <c r="D4">
        <v>0.48026333333333299</v>
      </c>
      <c r="E4">
        <v>0.22438066666666701</v>
      </c>
      <c r="F4">
        <v>0.226005333333333</v>
      </c>
      <c r="G4">
        <v>0.22511766666666699</v>
      </c>
      <c r="H4">
        <v>0.24140266666666699</v>
      </c>
      <c r="I4">
        <v>0.24330199999999999</v>
      </c>
      <c r="J4">
        <v>0.24226900000000001</v>
      </c>
    </row>
    <row r="5" spans="1:13" x14ac:dyDescent="0.3">
      <c r="A5" s="1" t="s">
        <v>321</v>
      </c>
      <c r="B5">
        <v>0.47911833333333298</v>
      </c>
      <c r="C5">
        <v>0.48309033333333301</v>
      </c>
      <c r="D5">
        <v>0.48094399999999998</v>
      </c>
      <c r="E5">
        <v>0.22339700000000001</v>
      </c>
      <c r="F5">
        <v>0.224962</v>
      </c>
      <c r="G5">
        <v>0.22410466666666701</v>
      </c>
      <c r="H5">
        <v>0.24076866666666699</v>
      </c>
      <c r="I5">
        <v>0.24262500000000001</v>
      </c>
      <c r="J5">
        <v>0.24161433333333299</v>
      </c>
    </row>
    <row r="6" spans="1:13" x14ac:dyDescent="0.3">
      <c r="A6" s="1" t="s">
        <v>322</v>
      </c>
      <c r="B6">
        <v>0.47907566666666701</v>
      </c>
      <c r="C6">
        <v>0.48284199999999999</v>
      </c>
      <c r="D6">
        <v>0.48080000000000001</v>
      </c>
      <c r="E6">
        <v>0.22337633333333301</v>
      </c>
      <c r="F6">
        <v>0.22485333333333299</v>
      </c>
      <c r="G6">
        <v>0.22404233333333301</v>
      </c>
      <c r="H6">
        <v>0.24063166666666699</v>
      </c>
      <c r="I6">
        <v>0.24237600000000001</v>
      </c>
      <c r="J6">
        <v>0.24142266666666701</v>
      </c>
    </row>
    <row r="7" spans="1:13" x14ac:dyDescent="0.3">
      <c r="B7"/>
      <c r="C7"/>
      <c r="D7"/>
      <c r="E7"/>
      <c r="F7"/>
      <c r="G7"/>
      <c r="H7"/>
      <c r="I7"/>
      <c r="J7"/>
    </row>
    <row r="8" spans="1:13" x14ac:dyDescent="0.3">
      <c r="B8"/>
      <c r="C8"/>
      <c r="D8"/>
      <c r="E8"/>
      <c r="F8"/>
      <c r="G8"/>
      <c r="H8"/>
      <c r="I8"/>
      <c r="J8"/>
    </row>
    <row r="9" spans="1:13" x14ac:dyDescent="0.3">
      <c r="B9"/>
      <c r="C9"/>
      <c r="D9"/>
      <c r="E9"/>
      <c r="F9"/>
      <c r="G9"/>
      <c r="H9"/>
      <c r="I9"/>
      <c r="J9"/>
    </row>
    <row r="10" spans="1:13" x14ac:dyDescent="0.3">
      <c r="B10"/>
      <c r="C10"/>
      <c r="D10"/>
      <c r="E10"/>
      <c r="F10"/>
      <c r="G10"/>
      <c r="H10"/>
      <c r="I10"/>
      <c r="J10"/>
    </row>
    <row r="11" spans="1:13" x14ac:dyDescent="0.3">
      <c r="B11"/>
      <c r="C11"/>
      <c r="D11"/>
      <c r="E11"/>
      <c r="F11"/>
      <c r="G11"/>
      <c r="H11"/>
      <c r="I11"/>
      <c r="J11"/>
    </row>
    <row r="12" spans="1:13" x14ac:dyDescent="0.3">
      <c r="B12"/>
      <c r="C12"/>
      <c r="D12"/>
      <c r="E12"/>
      <c r="F12"/>
      <c r="G12"/>
      <c r="H12"/>
      <c r="I12"/>
      <c r="J12"/>
    </row>
    <row r="13" spans="1:13" x14ac:dyDescent="0.3">
      <c r="B13"/>
      <c r="C13"/>
      <c r="D13"/>
      <c r="E13"/>
      <c r="F13"/>
      <c r="G13"/>
      <c r="H13"/>
      <c r="I13"/>
      <c r="J13"/>
    </row>
    <row r="14" spans="1:13" x14ac:dyDescent="0.3">
      <c r="B14"/>
      <c r="C14"/>
      <c r="D14"/>
      <c r="E14"/>
      <c r="F14"/>
      <c r="G14"/>
      <c r="H14"/>
      <c r="I14"/>
      <c r="J14"/>
    </row>
    <row r="15" spans="1:13" x14ac:dyDescent="0.3">
      <c r="B15"/>
      <c r="C15"/>
      <c r="D15"/>
      <c r="E15"/>
      <c r="F15"/>
      <c r="G15"/>
      <c r="H15"/>
      <c r="I15"/>
      <c r="J15"/>
    </row>
    <row r="16" spans="1:13" x14ac:dyDescent="0.3">
      <c r="B16"/>
      <c r="C16"/>
      <c r="D16"/>
      <c r="E16"/>
      <c r="F16"/>
      <c r="G16"/>
      <c r="H16"/>
      <c r="I16"/>
      <c r="J16"/>
    </row>
    <row r="17" spans="2:10" x14ac:dyDescent="0.3">
      <c r="B17"/>
      <c r="C17"/>
      <c r="D17"/>
      <c r="E17"/>
      <c r="F17"/>
      <c r="G17"/>
      <c r="H17"/>
      <c r="I17"/>
      <c r="J17"/>
    </row>
    <row r="18" spans="2:10" x14ac:dyDescent="0.3">
      <c r="B18"/>
      <c r="C18"/>
      <c r="D18"/>
      <c r="E18"/>
      <c r="F18"/>
      <c r="G18"/>
      <c r="H18"/>
      <c r="I18"/>
      <c r="J18"/>
    </row>
    <row r="19" spans="2:10" x14ac:dyDescent="0.3">
      <c r="B19"/>
      <c r="C19"/>
      <c r="D19"/>
      <c r="E19"/>
      <c r="F19"/>
      <c r="G19"/>
      <c r="H19"/>
      <c r="I19"/>
      <c r="J19"/>
    </row>
    <row r="20" spans="2:10" x14ac:dyDescent="0.3">
      <c r="B20"/>
      <c r="C20"/>
      <c r="D20"/>
      <c r="E20"/>
      <c r="F20"/>
      <c r="G20"/>
      <c r="H20"/>
      <c r="I20"/>
      <c r="J20"/>
    </row>
    <row r="21" spans="2:10" x14ac:dyDescent="0.3">
      <c r="B21"/>
      <c r="C21"/>
      <c r="D21"/>
      <c r="E21"/>
      <c r="F21"/>
      <c r="G21"/>
      <c r="H21"/>
      <c r="I21"/>
      <c r="J21"/>
    </row>
    <row r="22" spans="2:10" x14ac:dyDescent="0.3">
      <c r="B22"/>
      <c r="C22"/>
      <c r="D22"/>
      <c r="E22"/>
      <c r="F22"/>
      <c r="G22"/>
      <c r="H22"/>
      <c r="I22"/>
      <c r="J22"/>
    </row>
    <row r="23" spans="2:10" x14ac:dyDescent="0.3">
      <c r="B23"/>
      <c r="C23"/>
      <c r="D23"/>
      <c r="E23"/>
      <c r="F23"/>
      <c r="G23"/>
      <c r="H23"/>
      <c r="I23"/>
      <c r="J23"/>
    </row>
    <row r="24" spans="2:10" x14ac:dyDescent="0.3">
      <c r="B24"/>
      <c r="C24"/>
      <c r="D24"/>
      <c r="E24"/>
      <c r="F24"/>
      <c r="G24"/>
      <c r="H24"/>
      <c r="I24"/>
      <c r="J24"/>
    </row>
    <row r="25" spans="2:10" x14ac:dyDescent="0.3">
      <c r="B25"/>
      <c r="C25"/>
      <c r="D25"/>
      <c r="E25"/>
      <c r="F25"/>
      <c r="G25"/>
      <c r="H25"/>
      <c r="I25"/>
      <c r="J25"/>
    </row>
    <row r="26" spans="2:10" x14ac:dyDescent="0.3">
      <c r="B26"/>
      <c r="C26"/>
      <c r="D26"/>
      <c r="E26"/>
      <c r="F26"/>
      <c r="G26"/>
      <c r="H26"/>
      <c r="I26"/>
      <c r="J26"/>
    </row>
    <row r="27" spans="2:10" x14ac:dyDescent="0.3">
      <c r="B27"/>
      <c r="C27"/>
      <c r="D27"/>
      <c r="E27"/>
      <c r="F27"/>
      <c r="G27"/>
      <c r="H27"/>
      <c r="I27"/>
      <c r="J27"/>
    </row>
    <row r="28" spans="2:10" x14ac:dyDescent="0.3">
      <c r="B28"/>
      <c r="C28"/>
      <c r="D28"/>
      <c r="E28"/>
      <c r="F28"/>
      <c r="G28"/>
      <c r="H28"/>
      <c r="I28"/>
      <c r="J28"/>
    </row>
    <row r="29" spans="2:10" x14ac:dyDescent="0.3">
      <c r="B29"/>
      <c r="C29"/>
      <c r="D29"/>
      <c r="E29"/>
      <c r="F29"/>
      <c r="G29"/>
      <c r="H29"/>
      <c r="I29"/>
      <c r="J29"/>
    </row>
    <row r="30" spans="2:10" x14ac:dyDescent="0.3">
      <c r="B30"/>
      <c r="C30"/>
      <c r="D30"/>
      <c r="E30"/>
      <c r="F30"/>
      <c r="G30"/>
      <c r="H30"/>
      <c r="I30"/>
      <c r="J30"/>
    </row>
    <row r="31" spans="2:10" x14ac:dyDescent="0.3">
      <c r="B31"/>
      <c r="C31"/>
      <c r="D31"/>
      <c r="E31"/>
      <c r="F31"/>
      <c r="G31"/>
      <c r="H31"/>
      <c r="I31"/>
      <c r="J31"/>
    </row>
    <row r="32" spans="2:10" x14ac:dyDescent="0.3">
      <c r="B32"/>
      <c r="C32"/>
      <c r="D32"/>
      <c r="E32"/>
      <c r="F32"/>
      <c r="G32"/>
      <c r="H32"/>
      <c r="I32"/>
      <c r="J32"/>
    </row>
    <row r="33" spans="2:10" x14ac:dyDescent="0.3">
      <c r="B33"/>
      <c r="C33"/>
      <c r="D33"/>
      <c r="E33"/>
      <c r="F33"/>
      <c r="G33"/>
      <c r="H33"/>
      <c r="I33"/>
      <c r="J33"/>
    </row>
    <row r="34" spans="2:10" x14ac:dyDescent="0.3">
      <c r="B34"/>
      <c r="C34"/>
      <c r="D34"/>
      <c r="E34"/>
      <c r="F34"/>
      <c r="G34"/>
      <c r="H34"/>
      <c r="I34"/>
      <c r="J34"/>
    </row>
    <row r="35" spans="2:10" x14ac:dyDescent="0.3">
      <c r="B35"/>
      <c r="C35"/>
      <c r="D35"/>
      <c r="E35"/>
      <c r="F35"/>
      <c r="G35"/>
      <c r="H35"/>
      <c r="I35"/>
      <c r="J35"/>
    </row>
    <row r="36" spans="2:10" x14ac:dyDescent="0.3">
      <c r="B36"/>
      <c r="C36"/>
      <c r="D36"/>
      <c r="E36"/>
      <c r="F36"/>
      <c r="G36"/>
      <c r="H36"/>
      <c r="I36"/>
      <c r="J36"/>
    </row>
    <row r="37" spans="2:10" x14ac:dyDescent="0.3">
      <c r="B37"/>
      <c r="C37"/>
      <c r="D37"/>
      <c r="E37"/>
      <c r="F37"/>
      <c r="G37"/>
      <c r="H37"/>
      <c r="I37"/>
      <c r="J37"/>
    </row>
    <row r="38" spans="2:10" x14ac:dyDescent="0.3">
      <c r="B38"/>
      <c r="C38"/>
      <c r="D38"/>
      <c r="E38"/>
      <c r="F38"/>
      <c r="G38"/>
      <c r="H38"/>
      <c r="I38"/>
      <c r="J38"/>
    </row>
    <row r="39" spans="2:10" x14ac:dyDescent="0.3">
      <c r="B39"/>
      <c r="C39"/>
      <c r="D39"/>
      <c r="E39"/>
      <c r="F39"/>
      <c r="G39"/>
      <c r="H39"/>
      <c r="I39"/>
      <c r="J39"/>
    </row>
    <row r="40" spans="2:10" x14ac:dyDescent="0.3">
      <c r="B40"/>
      <c r="C40"/>
      <c r="D40"/>
      <c r="E40"/>
      <c r="F40"/>
      <c r="G40"/>
      <c r="H40"/>
      <c r="I40"/>
      <c r="J40"/>
    </row>
    <row r="41" spans="2:10" x14ac:dyDescent="0.3">
      <c r="B41"/>
      <c r="C41"/>
      <c r="D41"/>
      <c r="E41"/>
      <c r="F41"/>
      <c r="G41"/>
      <c r="H41"/>
      <c r="I41"/>
      <c r="J41"/>
    </row>
    <row r="42" spans="2:10" x14ac:dyDescent="0.3">
      <c r="B42"/>
      <c r="C42"/>
      <c r="D42"/>
      <c r="E42"/>
      <c r="F42"/>
      <c r="G42"/>
      <c r="H42"/>
      <c r="I42"/>
      <c r="J42"/>
    </row>
    <row r="43" spans="2:10" x14ac:dyDescent="0.3">
      <c r="B43"/>
      <c r="C43"/>
      <c r="D43"/>
      <c r="E43"/>
      <c r="F43"/>
      <c r="G43"/>
      <c r="H43"/>
      <c r="I43"/>
      <c r="J43"/>
    </row>
    <row r="44" spans="2:10" x14ac:dyDescent="0.3">
      <c r="B44"/>
      <c r="C44"/>
      <c r="D44"/>
      <c r="E44"/>
      <c r="F44"/>
      <c r="G44"/>
      <c r="H44"/>
      <c r="I44"/>
      <c r="J44"/>
    </row>
    <row r="45" spans="2:10" x14ac:dyDescent="0.3">
      <c r="B45"/>
      <c r="C45"/>
      <c r="D45"/>
      <c r="E45"/>
      <c r="F45"/>
      <c r="G45"/>
      <c r="H45"/>
      <c r="I45"/>
      <c r="J45"/>
    </row>
    <row r="46" spans="2:10" x14ac:dyDescent="0.3">
      <c r="B46"/>
      <c r="C46"/>
      <c r="D46"/>
      <c r="E46"/>
      <c r="F46"/>
      <c r="G46"/>
      <c r="H46"/>
      <c r="I46"/>
      <c r="J46"/>
    </row>
    <row r="47" spans="2:10" x14ac:dyDescent="0.3">
      <c r="B47"/>
      <c r="C47"/>
      <c r="D47"/>
      <c r="E47"/>
      <c r="F47"/>
      <c r="G47"/>
      <c r="H47"/>
      <c r="I47"/>
      <c r="J47"/>
    </row>
    <row r="48" spans="2:10" x14ac:dyDescent="0.3">
      <c r="B48"/>
      <c r="C48"/>
      <c r="D48"/>
      <c r="E48"/>
      <c r="F48"/>
      <c r="G48"/>
      <c r="H48"/>
      <c r="I48"/>
      <c r="J48"/>
    </row>
    <row r="49" spans="2:10" x14ac:dyDescent="0.3">
      <c r="B49"/>
      <c r="C49"/>
      <c r="D49"/>
      <c r="E49"/>
      <c r="F49"/>
      <c r="G49"/>
      <c r="H49"/>
      <c r="I49"/>
      <c r="J49"/>
    </row>
    <row r="50" spans="2:10" x14ac:dyDescent="0.3">
      <c r="B50"/>
      <c r="C50"/>
      <c r="D50"/>
      <c r="E50"/>
      <c r="F50"/>
      <c r="G50"/>
      <c r="H50"/>
      <c r="I50"/>
      <c r="J50"/>
    </row>
    <row r="51" spans="2:10" x14ac:dyDescent="0.3">
      <c r="B51"/>
      <c r="C51"/>
      <c r="D51"/>
      <c r="E51"/>
      <c r="F51"/>
      <c r="G51"/>
      <c r="H51"/>
      <c r="I51"/>
      <c r="J51"/>
    </row>
    <row r="52" spans="2:10" x14ac:dyDescent="0.3">
      <c r="B52"/>
      <c r="C52"/>
      <c r="D52"/>
      <c r="E52"/>
      <c r="F52"/>
      <c r="G52"/>
      <c r="H52"/>
      <c r="I52"/>
      <c r="J52"/>
    </row>
    <row r="53" spans="2:10" x14ac:dyDescent="0.3">
      <c r="B53"/>
      <c r="C53"/>
      <c r="D53"/>
      <c r="E53"/>
      <c r="F53"/>
      <c r="G53"/>
      <c r="H53"/>
      <c r="I53"/>
      <c r="J53"/>
    </row>
    <row r="54" spans="2:10" x14ac:dyDescent="0.3">
      <c r="B54"/>
      <c r="C54"/>
      <c r="D54"/>
      <c r="E54"/>
      <c r="F54"/>
      <c r="G54"/>
      <c r="H54"/>
      <c r="I54"/>
      <c r="J54"/>
    </row>
    <row r="55" spans="2:10" x14ac:dyDescent="0.3">
      <c r="B55"/>
      <c r="C55"/>
      <c r="D55"/>
      <c r="E55"/>
      <c r="F55"/>
      <c r="G55"/>
      <c r="H55"/>
      <c r="I55"/>
      <c r="J55"/>
    </row>
    <row r="56" spans="2:10" x14ac:dyDescent="0.3">
      <c r="B56"/>
      <c r="C56"/>
      <c r="D56"/>
      <c r="E56"/>
      <c r="F56"/>
      <c r="G56"/>
      <c r="H56"/>
      <c r="I56"/>
      <c r="J56"/>
    </row>
    <row r="57" spans="2:10" x14ac:dyDescent="0.3">
      <c r="B57"/>
      <c r="C57"/>
      <c r="D57"/>
      <c r="E57"/>
      <c r="F57"/>
      <c r="G57"/>
      <c r="H57"/>
      <c r="I57"/>
      <c r="J57"/>
    </row>
    <row r="58" spans="2:10" x14ac:dyDescent="0.3">
      <c r="B58"/>
      <c r="C58"/>
      <c r="D58"/>
      <c r="E58"/>
      <c r="F58"/>
      <c r="G58"/>
      <c r="H58"/>
      <c r="I58"/>
      <c r="J58"/>
    </row>
    <row r="59" spans="2:10" x14ac:dyDescent="0.3">
      <c r="B59"/>
      <c r="C59"/>
      <c r="D59"/>
      <c r="E59"/>
      <c r="F59"/>
      <c r="G59"/>
      <c r="H59"/>
      <c r="I59"/>
      <c r="J59"/>
    </row>
    <row r="60" spans="2:10" x14ac:dyDescent="0.3">
      <c r="B60"/>
      <c r="C60"/>
      <c r="D60"/>
      <c r="E60"/>
      <c r="F60"/>
      <c r="G60"/>
      <c r="H60"/>
      <c r="I60"/>
      <c r="J60"/>
    </row>
    <row r="61" spans="2:10" x14ac:dyDescent="0.3">
      <c r="B61"/>
      <c r="C61"/>
      <c r="D61"/>
      <c r="E61"/>
      <c r="F61"/>
      <c r="G61"/>
      <c r="H61"/>
      <c r="I61"/>
      <c r="J61"/>
    </row>
    <row r="62" spans="2:10" x14ac:dyDescent="0.3">
      <c r="B62"/>
      <c r="C62"/>
      <c r="D62"/>
      <c r="E62"/>
      <c r="F62"/>
      <c r="G62"/>
      <c r="H62"/>
      <c r="I62"/>
      <c r="J62"/>
    </row>
    <row r="63" spans="2:10" x14ac:dyDescent="0.3">
      <c r="B63"/>
      <c r="C63"/>
      <c r="D63"/>
      <c r="E63"/>
      <c r="F63"/>
      <c r="G63"/>
      <c r="H63"/>
      <c r="I63"/>
      <c r="J63"/>
    </row>
    <row r="64" spans="2:10" x14ac:dyDescent="0.3">
      <c r="B64"/>
      <c r="C64"/>
      <c r="D64"/>
      <c r="E64"/>
      <c r="F64"/>
      <c r="G64"/>
      <c r="H64"/>
      <c r="I64"/>
      <c r="J64"/>
    </row>
    <row r="65" spans="2:10" x14ac:dyDescent="0.3">
      <c r="B65"/>
      <c r="C65"/>
      <c r="D65"/>
      <c r="E65"/>
      <c r="F65"/>
      <c r="G65"/>
      <c r="H65"/>
      <c r="I65"/>
      <c r="J65"/>
    </row>
    <row r="66" spans="2:10" x14ac:dyDescent="0.3">
      <c r="B66"/>
      <c r="C66"/>
      <c r="D66"/>
      <c r="E66"/>
      <c r="F66"/>
      <c r="G66"/>
      <c r="H66"/>
      <c r="I66"/>
      <c r="J66"/>
    </row>
    <row r="67" spans="2:10" x14ac:dyDescent="0.3">
      <c r="B67"/>
      <c r="C67"/>
      <c r="D67"/>
      <c r="E67"/>
      <c r="F67"/>
      <c r="G67"/>
      <c r="H67"/>
      <c r="I67"/>
      <c r="J67"/>
    </row>
    <row r="68" spans="2:10" x14ac:dyDescent="0.3">
      <c r="B68"/>
      <c r="C68"/>
      <c r="D68"/>
      <c r="E68"/>
      <c r="F68"/>
      <c r="G68"/>
      <c r="H68"/>
      <c r="I68"/>
      <c r="J68"/>
    </row>
    <row r="69" spans="2:10" x14ac:dyDescent="0.3">
      <c r="B69"/>
      <c r="C69"/>
      <c r="D69"/>
      <c r="E69"/>
      <c r="F69"/>
      <c r="G69"/>
      <c r="H69"/>
      <c r="I69"/>
      <c r="J69"/>
    </row>
    <row r="70" spans="2:10" x14ac:dyDescent="0.3">
      <c r="B70"/>
      <c r="C70"/>
      <c r="D70"/>
      <c r="E70"/>
      <c r="F70"/>
      <c r="G70"/>
      <c r="H70"/>
      <c r="I70"/>
      <c r="J70"/>
    </row>
    <row r="71" spans="2:10" x14ac:dyDescent="0.3">
      <c r="B71"/>
      <c r="C71"/>
      <c r="D71"/>
      <c r="E71"/>
      <c r="F71"/>
      <c r="G71"/>
      <c r="H71"/>
      <c r="I71"/>
      <c r="J71"/>
    </row>
    <row r="72" spans="2:10" x14ac:dyDescent="0.3">
      <c r="B72"/>
      <c r="C72"/>
      <c r="D72"/>
      <c r="E72"/>
      <c r="F72"/>
      <c r="G72"/>
      <c r="H72"/>
      <c r="I72"/>
      <c r="J72"/>
    </row>
    <row r="73" spans="2:10" x14ac:dyDescent="0.3">
      <c r="B73"/>
      <c r="C73"/>
      <c r="D73"/>
      <c r="E73"/>
      <c r="F73"/>
      <c r="G73"/>
      <c r="H73"/>
      <c r="I73"/>
      <c r="J73"/>
    </row>
    <row r="74" spans="2:10" x14ac:dyDescent="0.3">
      <c r="B74"/>
      <c r="C74"/>
      <c r="D74"/>
      <c r="E74"/>
      <c r="F74"/>
      <c r="G74"/>
      <c r="H74"/>
      <c r="I74"/>
      <c r="J74"/>
    </row>
    <row r="75" spans="2:10" x14ac:dyDescent="0.3">
      <c r="B75"/>
      <c r="C75"/>
      <c r="D75"/>
      <c r="E75"/>
      <c r="F75"/>
      <c r="G75"/>
      <c r="H75"/>
      <c r="I75"/>
      <c r="J75"/>
    </row>
    <row r="76" spans="2:10" x14ac:dyDescent="0.3">
      <c r="B76"/>
      <c r="C76"/>
      <c r="D76"/>
      <c r="E76"/>
      <c r="F76"/>
      <c r="G76"/>
      <c r="H76"/>
      <c r="I76"/>
      <c r="J76"/>
    </row>
    <row r="77" spans="2:10" x14ac:dyDescent="0.3">
      <c r="B77"/>
      <c r="C77"/>
      <c r="D77"/>
      <c r="E77"/>
      <c r="F77"/>
      <c r="G77"/>
      <c r="H77"/>
      <c r="I77"/>
      <c r="J77"/>
    </row>
    <row r="78" spans="2:10" x14ac:dyDescent="0.3">
      <c r="B78"/>
      <c r="C78"/>
      <c r="D78"/>
      <c r="E78"/>
      <c r="F78"/>
      <c r="G78"/>
      <c r="H78"/>
      <c r="I78"/>
      <c r="J78"/>
    </row>
    <row r="79" spans="2:10" x14ac:dyDescent="0.3">
      <c r="B79"/>
      <c r="C79"/>
      <c r="D79"/>
      <c r="E79"/>
      <c r="F79"/>
      <c r="G79"/>
      <c r="H79"/>
      <c r="I79"/>
      <c r="J79"/>
    </row>
    <row r="80" spans="2:10" x14ac:dyDescent="0.3">
      <c r="B80"/>
      <c r="C80"/>
      <c r="D80"/>
      <c r="E80"/>
      <c r="F80"/>
      <c r="G80"/>
      <c r="H80"/>
      <c r="I80"/>
      <c r="J80"/>
    </row>
    <row r="81" spans="2:10" x14ac:dyDescent="0.3">
      <c r="B81"/>
      <c r="C81"/>
      <c r="D81"/>
      <c r="E81"/>
      <c r="F81"/>
      <c r="G81"/>
      <c r="H81"/>
      <c r="I81"/>
      <c r="J81"/>
    </row>
    <row r="82" spans="2:10" x14ac:dyDescent="0.3">
      <c r="B82"/>
      <c r="C82"/>
      <c r="D82"/>
      <c r="E82"/>
      <c r="F82"/>
      <c r="G82"/>
      <c r="H82"/>
      <c r="I82"/>
      <c r="J82"/>
    </row>
    <row r="83" spans="2:10" x14ac:dyDescent="0.3">
      <c r="B83"/>
      <c r="C83"/>
      <c r="D83"/>
      <c r="E83"/>
      <c r="F83"/>
      <c r="G83"/>
      <c r="H83"/>
      <c r="I83"/>
      <c r="J83"/>
    </row>
    <row r="84" spans="2:10" x14ac:dyDescent="0.3">
      <c r="B84"/>
      <c r="C84"/>
      <c r="D84"/>
      <c r="E84"/>
      <c r="F84"/>
      <c r="G84"/>
      <c r="H84"/>
      <c r="I84"/>
      <c r="J84"/>
    </row>
    <row r="85" spans="2:10" x14ac:dyDescent="0.3">
      <c r="B85"/>
      <c r="C85"/>
      <c r="D85"/>
      <c r="E85"/>
      <c r="F85"/>
      <c r="G85"/>
      <c r="H85"/>
      <c r="I85"/>
      <c r="J85"/>
    </row>
    <row r="86" spans="2:10" x14ac:dyDescent="0.3">
      <c r="B86"/>
      <c r="C86"/>
      <c r="D86"/>
      <c r="E86"/>
      <c r="F86"/>
      <c r="G86"/>
      <c r="H86"/>
      <c r="I86"/>
      <c r="J86"/>
    </row>
    <row r="87" spans="2:10" x14ac:dyDescent="0.3">
      <c r="B87"/>
      <c r="C87"/>
      <c r="D87"/>
      <c r="E87"/>
      <c r="F87"/>
      <c r="G87"/>
      <c r="H87"/>
      <c r="I87"/>
      <c r="J87"/>
    </row>
    <row r="88" spans="2:10" x14ac:dyDescent="0.3">
      <c r="B88"/>
      <c r="C88"/>
      <c r="D88"/>
      <c r="E88"/>
      <c r="F88"/>
      <c r="G88"/>
      <c r="H88"/>
      <c r="I88"/>
      <c r="J88"/>
    </row>
    <row r="89" spans="2:10" x14ac:dyDescent="0.3">
      <c r="B89"/>
      <c r="C89"/>
      <c r="D89"/>
      <c r="E89"/>
      <c r="F89"/>
      <c r="G89"/>
      <c r="H89"/>
      <c r="I89"/>
      <c r="J89"/>
    </row>
    <row r="90" spans="2:10" x14ac:dyDescent="0.3">
      <c r="B90"/>
      <c r="C90"/>
      <c r="D90"/>
      <c r="E90"/>
      <c r="F90"/>
      <c r="G90"/>
      <c r="H90"/>
      <c r="I90"/>
      <c r="J90"/>
    </row>
    <row r="91" spans="2:10" x14ac:dyDescent="0.3">
      <c r="B91"/>
      <c r="C91"/>
      <c r="D91"/>
      <c r="E91"/>
      <c r="F91"/>
      <c r="G91"/>
      <c r="H91"/>
      <c r="I91"/>
      <c r="J91"/>
    </row>
    <row r="92" spans="2:10" x14ac:dyDescent="0.3">
      <c r="B92"/>
      <c r="C92"/>
      <c r="D92"/>
      <c r="E92"/>
      <c r="F92"/>
      <c r="G92"/>
      <c r="H92"/>
      <c r="I92"/>
      <c r="J92"/>
    </row>
    <row r="93" spans="2:10" x14ac:dyDescent="0.3">
      <c r="B93"/>
      <c r="C93"/>
      <c r="D93"/>
      <c r="E93"/>
      <c r="F93"/>
      <c r="G93"/>
      <c r="H93"/>
      <c r="I93"/>
      <c r="J93"/>
    </row>
    <row r="94" spans="2:10" x14ac:dyDescent="0.3">
      <c r="B94"/>
      <c r="C94"/>
      <c r="D94"/>
      <c r="E94"/>
      <c r="F94"/>
      <c r="G94"/>
      <c r="H94"/>
      <c r="I94"/>
      <c r="J94"/>
    </row>
    <row r="95" spans="2:10" x14ac:dyDescent="0.3">
      <c r="B95"/>
      <c r="C95"/>
      <c r="D95"/>
      <c r="E95"/>
      <c r="F95"/>
      <c r="G95"/>
      <c r="H95"/>
      <c r="I95"/>
      <c r="J95"/>
    </row>
    <row r="96" spans="2:10" x14ac:dyDescent="0.3">
      <c r="B96"/>
      <c r="C96"/>
      <c r="D96"/>
      <c r="E96"/>
      <c r="F96"/>
      <c r="G96"/>
      <c r="H96"/>
      <c r="I96"/>
      <c r="J96"/>
    </row>
    <row r="97" spans="2:10" x14ac:dyDescent="0.3">
      <c r="B97"/>
      <c r="C97"/>
      <c r="D97"/>
      <c r="E97"/>
      <c r="F97"/>
      <c r="G97"/>
      <c r="H97"/>
      <c r="I97"/>
      <c r="J97"/>
    </row>
    <row r="98" spans="2:10" x14ac:dyDescent="0.3">
      <c r="B98"/>
      <c r="C98"/>
      <c r="D98"/>
      <c r="E98"/>
      <c r="F98"/>
      <c r="G98"/>
      <c r="H98"/>
      <c r="I98"/>
      <c r="J98"/>
    </row>
    <row r="99" spans="2:10" x14ac:dyDescent="0.3">
      <c r="B99"/>
      <c r="C99"/>
      <c r="D99"/>
      <c r="E99"/>
      <c r="F99"/>
      <c r="G99"/>
      <c r="H99"/>
      <c r="I99"/>
      <c r="J99"/>
    </row>
    <row r="100" spans="2:10" x14ac:dyDescent="0.3">
      <c r="B100"/>
      <c r="C100"/>
      <c r="D100"/>
      <c r="E100"/>
      <c r="F100"/>
      <c r="G100"/>
      <c r="H100"/>
      <c r="I100"/>
      <c r="J100"/>
    </row>
    <row r="101" spans="2:10" x14ac:dyDescent="0.3">
      <c r="B101"/>
      <c r="C101"/>
      <c r="D101"/>
      <c r="E101"/>
      <c r="F101"/>
      <c r="G101"/>
      <c r="H101"/>
      <c r="I101"/>
      <c r="J101"/>
    </row>
    <row r="102" spans="2:10" x14ac:dyDescent="0.3">
      <c r="B102"/>
      <c r="C102"/>
      <c r="D102"/>
      <c r="E102"/>
      <c r="F102"/>
      <c r="G102"/>
      <c r="H102"/>
      <c r="I102"/>
      <c r="J102"/>
    </row>
    <row r="103" spans="2:10" x14ac:dyDescent="0.3">
      <c r="B103"/>
      <c r="C103"/>
      <c r="D103"/>
      <c r="E103"/>
      <c r="F103"/>
      <c r="G103"/>
      <c r="H103"/>
      <c r="I103"/>
      <c r="J103"/>
    </row>
    <row r="104" spans="2:10" x14ac:dyDescent="0.3">
      <c r="B104"/>
      <c r="C104"/>
      <c r="D104"/>
      <c r="E104"/>
      <c r="F104"/>
      <c r="G104"/>
      <c r="H104"/>
      <c r="I104"/>
      <c r="J104"/>
    </row>
    <row r="105" spans="2:10" x14ac:dyDescent="0.3">
      <c r="B105"/>
      <c r="C105"/>
      <c r="D105"/>
      <c r="E105"/>
      <c r="F105"/>
      <c r="G105"/>
      <c r="H105"/>
      <c r="I105"/>
      <c r="J105"/>
    </row>
    <row r="106" spans="2:10" x14ac:dyDescent="0.3">
      <c r="B106"/>
      <c r="C106"/>
      <c r="D106"/>
      <c r="E106"/>
      <c r="F106"/>
      <c r="G106"/>
      <c r="H106"/>
      <c r="I106"/>
      <c r="J106"/>
    </row>
    <row r="107" spans="2:10" x14ac:dyDescent="0.3">
      <c r="B107"/>
      <c r="C107"/>
      <c r="D107"/>
      <c r="E107"/>
      <c r="F107"/>
      <c r="G107"/>
      <c r="H107"/>
      <c r="I107"/>
      <c r="J107"/>
    </row>
    <row r="108" spans="2:10" x14ac:dyDescent="0.3">
      <c r="B108"/>
      <c r="C108"/>
      <c r="D108"/>
      <c r="E108"/>
      <c r="F108"/>
      <c r="G108"/>
      <c r="H108"/>
      <c r="I108"/>
      <c r="J108"/>
    </row>
    <row r="109" spans="2:10" x14ac:dyDescent="0.3">
      <c r="B109"/>
      <c r="C109"/>
      <c r="D109"/>
      <c r="E109"/>
      <c r="F109"/>
      <c r="G109"/>
      <c r="H109"/>
      <c r="I109"/>
      <c r="J109"/>
    </row>
    <row r="110" spans="2:10" x14ac:dyDescent="0.3">
      <c r="B110"/>
      <c r="C110"/>
      <c r="D110"/>
      <c r="E110"/>
      <c r="F110"/>
      <c r="G110"/>
      <c r="H110"/>
      <c r="I110"/>
      <c r="J110"/>
    </row>
    <row r="111" spans="2:10" x14ac:dyDescent="0.3">
      <c r="B111"/>
      <c r="C111"/>
      <c r="D111"/>
      <c r="E111"/>
      <c r="F111"/>
      <c r="G111"/>
      <c r="H111"/>
      <c r="I111"/>
      <c r="J111"/>
    </row>
    <row r="112" spans="2:10" x14ac:dyDescent="0.3">
      <c r="B112"/>
      <c r="C112"/>
      <c r="D112"/>
      <c r="E112"/>
      <c r="F112"/>
      <c r="G112"/>
      <c r="H112"/>
      <c r="I112"/>
      <c r="J112"/>
    </row>
    <row r="113" spans="2:10" x14ac:dyDescent="0.3">
      <c r="B113"/>
      <c r="C113"/>
      <c r="D113"/>
      <c r="E113"/>
      <c r="F113"/>
      <c r="G113"/>
      <c r="H113"/>
      <c r="I113"/>
      <c r="J113"/>
    </row>
    <row r="114" spans="2:10" x14ac:dyDescent="0.3">
      <c r="B114"/>
      <c r="C114"/>
      <c r="D114"/>
      <c r="E114"/>
      <c r="F114"/>
      <c r="G114"/>
      <c r="H114"/>
      <c r="I114"/>
      <c r="J114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cro">
                <anchor moveWithCells="1">
                  <from>
                    <xdr:col>0</xdr:col>
                    <xdr:colOff>5829300</xdr:colOff>
                    <xdr:row>0</xdr:row>
                    <xdr:rowOff>45720</xdr:rowOff>
                  </from>
                  <to>
                    <xdr:col>0</xdr:col>
                    <xdr:colOff>6606540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U334"/>
  <sheetViews>
    <sheetView showGridLines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93.5546875" style="2" customWidth="1"/>
    <col min="2" max="10" width="11.5546875" style="2"/>
    <col min="11" max="11" width="10.6640625" style="2" customWidth="1"/>
    <col min="12" max="12" width="9" style="2" customWidth="1"/>
    <col min="13" max="13" width="4.109375" style="2" customWidth="1"/>
    <col min="14" max="14" width="2.6640625" style="2" customWidth="1"/>
    <col min="15" max="15" width="24.21875" style="2" customWidth="1"/>
    <col min="16" max="20" width="8.77734375" style="5" customWidth="1"/>
    <col min="21" max="16384" width="11.5546875" style="2"/>
  </cols>
  <sheetData>
    <row r="1" spans="1:21" x14ac:dyDescent="0.3">
      <c r="A1" s="2" t="s">
        <v>16</v>
      </c>
      <c r="B1" s="50" t="s">
        <v>0</v>
      </c>
      <c r="C1" s="2" t="s">
        <v>4</v>
      </c>
      <c r="D1" s="2" t="s">
        <v>5</v>
      </c>
      <c r="E1" s="50" t="s">
        <v>1</v>
      </c>
      <c r="F1" s="2" t="s">
        <v>2</v>
      </c>
      <c r="G1" s="2" t="s">
        <v>3</v>
      </c>
      <c r="H1" s="2" t="s">
        <v>6</v>
      </c>
      <c r="I1" s="2" t="s">
        <v>7</v>
      </c>
      <c r="J1" s="2" t="s">
        <v>8</v>
      </c>
      <c r="K1" s="2" t="str">
        <f>"2015-04-"</f>
        <v>2015-04-</v>
      </c>
      <c r="L1" s="2" t="s">
        <v>9</v>
      </c>
      <c r="M1" s="2">
        <v>5</v>
      </c>
      <c r="P1" s="5" t="s">
        <v>12</v>
      </c>
      <c r="Q1" s="5" t="s">
        <v>11</v>
      </c>
      <c r="R1" s="5" t="s">
        <v>13</v>
      </c>
      <c r="S1" s="5" t="s">
        <v>14</v>
      </c>
      <c r="T1" s="5" t="s">
        <v>15</v>
      </c>
    </row>
    <row r="2" spans="1:21" x14ac:dyDescent="0.3">
      <c r="A2" s="51" t="s">
        <v>428</v>
      </c>
      <c r="B2" s="51">
        <v>0.45427299999999998</v>
      </c>
      <c r="C2" s="51">
        <v>0.45416000000000001</v>
      </c>
      <c r="D2" s="51">
        <v>0.45385500000000001</v>
      </c>
      <c r="E2" s="51">
        <v>0.195911</v>
      </c>
      <c r="F2" s="51">
        <v>0.19584599999999999</v>
      </c>
      <c r="G2" s="51">
        <v>0.19573133333333301</v>
      </c>
      <c r="H2" s="51">
        <v>0.22124466666666701</v>
      </c>
      <c r="I2" s="51">
        <v>0.22118933333333299</v>
      </c>
      <c r="J2" s="51">
        <v>0.221042666666667</v>
      </c>
      <c r="O2" s="2" t="str">
        <f>SUBSTITUTE(MID(A2,53,FIND("GBHS",A2)-54), ".", ",")</f>
        <v>-0,52-0,00-0,28-0,00-0,20</v>
      </c>
      <c r="P2" s="6" t="str">
        <f>MID(O2,1,4)</f>
        <v>-0,5</v>
      </c>
      <c r="Q2" s="6" t="str">
        <f>MID(O2,6,4)</f>
        <v>-0,0</v>
      </c>
      <c r="R2" s="6" t="str">
        <f>MID(O2,11,4)</f>
        <v>-0,2</v>
      </c>
      <c r="S2" s="6" t="str">
        <f>MID(O2,16,4)</f>
        <v>-0,0</v>
      </c>
      <c r="T2" s="6" t="str">
        <f>MID(O2,21,4)</f>
        <v>-0,2</v>
      </c>
      <c r="U2" s="2" t="str">
        <f>SUBSTITUTE(CONCATENATE("&lt;Parametros&gt;","&lt;Alfa&gt;",P2,"&lt;/Alfa&gt;","&lt;Beta&gt;",Q2,"&lt;/Beta&gt;","&lt;Gamma&gt;",R2,"&lt;/Gamma&gt;","&lt;Delta&gt;",S2,"&lt;/Delta&gt;","&lt;Ro&gt;",T2,"&lt;/Ro&gt;","&lt;/Parametros&gt;"),",",",")</f>
        <v>&lt;Parametros&gt;&lt;Alfa&gt;-0,5&lt;/Alfa&gt;&lt;Beta&gt;-0,0&lt;/Beta&gt;&lt;Gamma&gt;-0,2&lt;/Gamma&gt;&lt;Delta&gt;-0,0&lt;/Delta&gt;&lt;Ro&gt;-0,2&lt;/Ro&gt;&lt;/Parametros&gt;</v>
      </c>
    </row>
    <row r="3" spans="1:21" x14ac:dyDescent="0.3">
      <c r="A3" s="2" t="s">
        <v>437</v>
      </c>
      <c r="B3" s="4">
        <v>0.45439966666666698</v>
      </c>
      <c r="C3" s="4">
        <v>0.45424233333333303</v>
      </c>
      <c r="D3" s="4">
        <v>0.45395966666666698</v>
      </c>
      <c r="E3" s="4">
        <v>0.19605966666666699</v>
      </c>
      <c r="F3" s="4">
        <v>0.19599566666666701</v>
      </c>
      <c r="G3" s="4">
        <v>0.19588133333333299</v>
      </c>
      <c r="H3" s="4">
        <v>0.221287333333333</v>
      </c>
      <c r="I3" s="4">
        <v>0.221210666666667</v>
      </c>
      <c r="J3" s="4">
        <v>0.22107433333333301</v>
      </c>
      <c r="O3" s="2" t="str">
        <f t="shared" ref="O3:O66" si="0">SUBSTITUTE(MID(A3,53,FIND("GBHS",A3)-54), ".", ",")</f>
        <v>-0,52-0,00-0,28-0,00-0,20</v>
      </c>
      <c r="P3" s="6" t="str">
        <f t="shared" ref="P3:P66" si="1">MID(O3,1,4)</f>
        <v>-0,5</v>
      </c>
      <c r="Q3" s="6" t="str">
        <f t="shared" ref="Q3:Q66" si="2">MID(O3,6,4)</f>
        <v>-0,0</v>
      </c>
      <c r="R3" s="6" t="str">
        <f t="shared" ref="R3:R66" si="3">MID(O3,11,4)</f>
        <v>-0,2</v>
      </c>
      <c r="S3" s="6" t="str">
        <f t="shared" ref="S3:S66" si="4">MID(O3,16,4)</f>
        <v>-0,0</v>
      </c>
      <c r="T3" s="6" t="str">
        <f t="shared" ref="T3:T66" si="5">MID(O3,21,4)</f>
        <v>-0,2</v>
      </c>
      <c r="U3" s="2" t="str">
        <f t="shared" ref="U3:U66" si="6">SUBSTITUTE(CONCATENATE("&lt;Parametros&gt;","&lt;Alfa&gt;",P3,"&lt;/Alfa&gt;","&lt;Beta&gt;",Q3,"&lt;/Beta&gt;","&lt;Gamma&gt;",R3,"&lt;/Gamma&gt;","&lt;Delta&gt;",S3,"&lt;/Delta&gt;","&lt;Ro&gt;",T3,"&lt;/Ro&gt;","&lt;/Parametros&gt;"),",",",")</f>
        <v>&lt;Parametros&gt;&lt;Alfa&gt;-0,5&lt;/Alfa&gt;&lt;Beta&gt;-0,0&lt;/Beta&gt;&lt;Gamma&gt;-0,2&lt;/Gamma&gt;&lt;Delta&gt;-0,0&lt;/Delta&gt;&lt;Ro&gt;-0,2&lt;/Ro&gt;&lt;/Parametros&gt;</v>
      </c>
    </row>
    <row r="4" spans="1:21" x14ac:dyDescent="0.3">
      <c r="A4" s="2" t="s">
        <v>421</v>
      </c>
      <c r="B4" s="4">
        <v>0.454334666666667</v>
      </c>
      <c r="C4" s="4">
        <v>0.45422099999999999</v>
      </c>
      <c r="D4" s="4">
        <v>0.45391300000000001</v>
      </c>
      <c r="E4" s="4">
        <v>0.19550999999999999</v>
      </c>
      <c r="F4" s="4">
        <v>0.19547200000000001</v>
      </c>
      <c r="G4" s="4">
        <v>0.19534199999999999</v>
      </c>
      <c r="H4" s="4">
        <v>0.220937666666667</v>
      </c>
      <c r="I4" s="4">
        <v>0.22089166666666701</v>
      </c>
      <c r="J4" s="4">
        <v>0.22073899999999999</v>
      </c>
      <c r="O4" s="2" t="str">
        <f t="shared" si="0"/>
        <v>-0,52-0,00-0,28-0,00-0,20</v>
      </c>
      <c r="P4" s="6" t="str">
        <f t="shared" si="1"/>
        <v>-0,5</v>
      </c>
      <c r="Q4" s="6" t="str">
        <f t="shared" si="2"/>
        <v>-0,0</v>
      </c>
      <c r="R4" s="6" t="str">
        <f t="shared" si="3"/>
        <v>-0,2</v>
      </c>
      <c r="S4" s="6" t="str">
        <f t="shared" si="4"/>
        <v>-0,0</v>
      </c>
      <c r="T4" s="6" t="str">
        <f t="shared" si="5"/>
        <v>-0,2</v>
      </c>
      <c r="U4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5" spans="1:21" x14ac:dyDescent="0.3">
      <c r="A5" s="2" t="s">
        <v>420</v>
      </c>
      <c r="B5" s="4">
        <v>0.45454066666666698</v>
      </c>
      <c r="C5" s="4">
        <v>0.454415333333333</v>
      </c>
      <c r="D5" s="4">
        <v>0.45411499999999999</v>
      </c>
      <c r="E5" s="4">
        <v>0.19619900000000001</v>
      </c>
      <c r="F5" s="4">
        <v>0.19616600000000001</v>
      </c>
      <c r="G5" s="4">
        <v>0.19603499999999999</v>
      </c>
      <c r="H5" s="4">
        <v>0.221437666666667</v>
      </c>
      <c r="I5" s="4">
        <v>0.22139800000000001</v>
      </c>
      <c r="J5" s="4">
        <v>0.221244</v>
      </c>
      <c r="O5" s="2" t="str">
        <f t="shared" si="0"/>
        <v>-0,52-0,00-0,28-0,00-0,20</v>
      </c>
      <c r="P5" s="6" t="str">
        <f t="shared" si="1"/>
        <v>-0,5</v>
      </c>
      <c r="Q5" s="6" t="str">
        <f t="shared" si="2"/>
        <v>-0,0</v>
      </c>
      <c r="R5" s="6" t="str">
        <f t="shared" si="3"/>
        <v>-0,2</v>
      </c>
      <c r="S5" s="6" t="str">
        <f t="shared" si="4"/>
        <v>-0,0</v>
      </c>
      <c r="T5" s="6" t="str">
        <f t="shared" si="5"/>
        <v>-0,2</v>
      </c>
      <c r="U5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6" spans="1:21" x14ac:dyDescent="0.3">
      <c r="A6" s="2" t="s">
        <v>446</v>
      </c>
      <c r="B6" s="4">
        <v>0.45416266666666699</v>
      </c>
      <c r="C6" s="4">
        <v>0.45389566666666697</v>
      </c>
      <c r="D6" s="4">
        <v>0.453668666666667</v>
      </c>
      <c r="E6" s="4">
        <v>0.19613566666666701</v>
      </c>
      <c r="F6" s="4">
        <v>0.19601333333333301</v>
      </c>
      <c r="G6" s="4">
        <v>0.19592699999999999</v>
      </c>
      <c r="H6" s="4">
        <v>0.22133433333333299</v>
      </c>
      <c r="I6" s="4">
        <v>0.22119</v>
      </c>
      <c r="J6" s="4">
        <v>0.221088333333333</v>
      </c>
      <c r="O6" s="2" t="str">
        <f t="shared" si="0"/>
        <v>-0,52-0,00-0,28-0,00-0,20</v>
      </c>
      <c r="P6" s="6" t="str">
        <f t="shared" si="1"/>
        <v>-0,5</v>
      </c>
      <c r="Q6" s="6" t="str">
        <f t="shared" si="2"/>
        <v>-0,0</v>
      </c>
      <c r="R6" s="6" t="str">
        <f t="shared" si="3"/>
        <v>-0,2</v>
      </c>
      <c r="S6" s="6" t="str">
        <f t="shared" si="4"/>
        <v>-0,0</v>
      </c>
      <c r="T6" s="6" t="str">
        <f t="shared" si="5"/>
        <v>-0,2</v>
      </c>
      <c r="U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7" spans="1:21" x14ac:dyDescent="0.3">
      <c r="A7" s="2" t="s">
        <v>432</v>
      </c>
      <c r="B7" s="4">
        <v>0.45413199999999998</v>
      </c>
      <c r="C7" s="4">
        <v>0.45399200000000001</v>
      </c>
      <c r="D7" s="4">
        <v>0.45369633333333298</v>
      </c>
      <c r="E7" s="4">
        <v>0.19561100000000001</v>
      </c>
      <c r="F7" s="4">
        <v>0.195537666666667</v>
      </c>
      <c r="G7" s="4">
        <v>0.19542699999999999</v>
      </c>
      <c r="H7" s="4">
        <v>0.22096299999999999</v>
      </c>
      <c r="I7" s="4">
        <v>0.220891</v>
      </c>
      <c r="J7" s="4">
        <v>0.220751</v>
      </c>
      <c r="O7" s="2" t="str">
        <f t="shared" si="0"/>
        <v>-0,52-0,00-0,28-0,00-0,20</v>
      </c>
      <c r="P7" s="6" t="str">
        <f t="shared" si="1"/>
        <v>-0,5</v>
      </c>
      <c r="Q7" s="6" t="str">
        <f t="shared" si="2"/>
        <v>-0,0</v>
      </c>
      <c r="R7" s="6" t="str">
        <f t="shared" si="3"/>
        <v>-0,2</v>
      </c>
      <c r="S7" s="6" t="str">
        <f t="shared" si="4"/>
        <v>-0,0</v>
      </c>
      <c r="T7" s="6" t="str">
        <f t="shared" si="5"/>
        <v>-0,2</v>
      </c>
      <c r="U7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8" spans="1:21" x14ac:dyDescent="0.3">
      <c r="A8" s="2" t="s">
        <v>416</v>
      </c>
      <c r="B8" s="3">
        <v>0.45406633333333302</v>
      </c>
      <c r="C8" s="4">
        <v>0.45395433333333302</v>
      </c>
      <c r="D8" s="4">
        <v>0.45364966666666701</v>
      </c>
      <c r="E8" s="3">
        <v>0.19606433333333301</v>
      </c>
      <c r="F8" s="4">
        <v>0.196001333333333</v>
      </c>
      <c r="G8" s="4">
        <v>0.195886</v>
      </c>
      <c r="H8" s="4">
        <v>0.221145333333333</v>
      </c>
      <c r="I8" s="4">
        <v>0.22109366666666699</v>
      </c>
      <c r="J8" s="4">
        <v>0.220945</v>
      </c>
      <c r="O8" s="2" t="str">
        <f t="shared" si="0"/>
        <v>-0,53-0,00-0,28-0,00-0,19</v>
      </c>
      <c r="P8" s="6" t="str">
        <f t="shared" si="1"/>
        <v>-0,5</v>
      </c>
      <c r="Q8" s="6" t="str">
        <f t="shared" si="2"/>
        <v>-0,0</v>
      </c>
      <c r="R8" s="6" t="str">
        <f t="shared" si="3"/>
        <v>-0,2</v>
      </c>
      <c r="S8" s="6" t="str">
        <f t="shared" si="4"/>
        <v>-0,0</v>
      </c>
      <c r="T8" s="6" t="str">
        <f t="shared" si="5"/>
        <v>-0,1</v>
      </c>
      <c r="U8" s="2" t="str">
        <f t="shared" si="6"/>
        <v>&lt;Parametros&gt;&lt;Alfa&gt;-0,5&lt;/Alfa&gt;&lt;Beta&gt;-0,0&lt;/Beta&gt;&lt;Gamma&gt;-0,2&lt;/Gamma&gt;&lt;Delta&gt;-0,0&lt;/Delta&gt;&lt;Ro&gt;-0,1&lt;/Ro&gt;&lt;/Parametros&gt;</v>
      </c>
    </row>
    <row r="9" spans="1:21" x14ac:dyDescent="0.3">
      <c r="A9" s="2" t="s">
        <v>426</v>
      </c>
      <c r="B9" s="4">
        <v>0.45405833333333301</v>
      </c>
      <c r="C9" s="4">
        <v>0.45389833333333302</v>
      </c>
      <c r="D9" s="4">
        <v>0.45361433333333301</v>
      </c>
      <c r="E9" s="4">
        <v>0.19587233333333301</v>
      </c>
      <c r="F9" s="4">
        <v>0.19580866666666699</v>
      </c>
      <c r="G9" s="4">
        <v>0.19569266666666699</v>
      </c>
      <c r="H9" s="4">
        <v>0.22105166666666701</v>
      </c>
      <c r="I9" s="4">
        <v>0.220986666666667</v>
      </c>
      <c r="J9" s="4">
        <v>0.220845333333333</v>
      </c>
      <c r="O9" s="2" t="str">
        <f t="shared" si="0"/>
        <v>-0,52-0,00-0,28-0,00-0,20</v>
      </c>
      <c r="P9" s="6" t="str">
        <f t="shared" si="1"/>
        <v>-0,5</v>
      </c>
      <c r="Q9" s="6" t="str">
        <f t="shared" si="2"/>
        <v>-0,0</v>
      </c>
      <c r="R9" s="6" t="str">
        <f t="shared" si="3"/>
        <v>-0,2</v>
      </c>
      <c r="S9" s="6" t="str">
        <f t="shared" si="4"/>
        <v>-0,0</v>
      </c>
      <c r="T9" s="6" t="str">
        <f t="shared" si="5"/>
        <v>-0,2</v>
      </c>
      <c r="U9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0" spans="1:21" x14ac:dyDescent="0.3">
      <c r="A10" s="2" t="s">
        <v>435</v>
      </c>
      <c r="B10" s="4">
        <v>0.45404499999999998</v>
      </c>
      <c r="C10" s="4">
        <v>0.45383933333333298</v>
      </c>
      <c r="D10" s="4">
        <v>0.45357433333333302</v>
      </c>
      <c r="E10" s="4">
        <v>0.19557099999999999</v>
      </c>
      <c r="F10" s="4">
        <v>0.19547600000000001</v>
      </c>
      <c r="G10" s="4">
        <v>0.19537533333333301</v>
      </c>
      <c r="H10" s="4">
        <v>0.22105466666666701</v>
      </c>
      <c r="I10" s="4">
        <v>0.220948333333333</v>
      </c>
      <c r="J10" s="4">
        <v>0.22082433333333301</v>
      </c>
      <c r="O10" s="2" t="str">
        <f t="shared" si="0"/>
        <v>-0,52-0,00-0,28-0,00-0,20</v>
      </c>
      <c r="P10" s="6" t="str">
        <f t="shared" si="1"/>
        <v>-0,5</v>
      </c>
      <c r="Q10" s="6" t="str">
        <f t="shared" si="2"/>
        <v>-0,0</v>
      </c>
      <c r="R10" s="6" t="str">
        <f t="shared" si="3"/>
        <v>-0,2</v>
      </c>
      <c r="S10" s="6" t="str">
        <f t="shared" si="4"/>
        <v>-0,0</v>
      </c>
      <c r="T10" s="6" t="str">
        <f t="shared" si="5"/>
        <v>-0,2</v>
      </c>
      <c r="U10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1" spans="1:21" x14ac:dyDescent="0.3">
      <c r="A11" s="2" t="s">
        <v>327</v>
      </c>
      <c r="B11" s="3">
        <v>0.45401633333333302</v>
      </c>
      <c r="C11" s="4">
        <v>0.45388299999999998</v>
      </c>
      <c r="D11" s="4">
        <v>0.45358866666666697</v>
      </c>
      <c r="E11" s="3">
        <v>0.195648666666667</v>
      </c>
      <c r="F11" s="4">
        <v>0.19555700000000001</v>
      </c>
      <c r="G11" s="4">
        <v>0.19545633333333301</v>
      </c>
      <c r="H11" s="4">
        <v>0.22101299999999999</v>
      </c>
      <c r="I11" s="4">
        <v>0.22094333333333299</v>
      </c>
      <c r="J11" s="4">
        <v>0.22080533333333299</v>
      </c>
      <c r="O11" s="2" t="str">
        <f t="shared" si="0"/>
        <v>-0,52-0,00-0,28-0,00-0,20</v>
      </c>
      <c r="P11" s="6" t="str">
        <f t="shared" si="1"/>
        <v>-0,5</v>
      </c>
      <c r="Q11" s="6" t="str">
        <f t="shared" si="2"/>
        <v>-0,0</v>
      </c>
      <c r="R11" s="6" t="str">
        <f t="shared" si="3"/>
        <v>-0,2</v>
      </c>
      <c r="S11" s="6" t="str">
        <f t="shared" si="4"/>
        <v>-0,0</v>
      </c>
      <c r="T11" s="6" t="str">
        <f t="shared" si="5"/>
        <v>-0,2</v>
      </c>
      <c r="U11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2" spans="1:21" x14ac:dyDescent="0.3">
      <c r="A12" s="2" t="s">
        <v>424</v>
      </c>
      <c r="B12" s="4">
        <v>0.45395633333333302</v>
      </c>
      <c r="C12" s="4">
        <v>0.45375933333333301</v>
      </c>
      <c r="D12" s="4">
        <v>0.45349099999999998</v>
      </c>
      <c r="E12" s="4">
        <v>0.195377</v>
      </c>
      <c r="F12" s="4">
        <v>0.195282333333333</v>
      </c>
      <c r="G12" s="4">
        <v>0.195180666666667</v>
      </c>
      <c r="H12" s="4">
        <v>0.22082599999999999</v>
      </c>
      <c r="I12" s="4">
        <v>0.22072266666666701</v>
      </c>
      <c r="J12" s="4">
        <v>0.22059833333333301</v>
      </c>
      <c r="O12" s="2" t="str">
        <f t="shared" si="0"/>
        <v>-0,52-0,00-0,28-0,00-0,20</v>
      </c>
      <c r="P12" s="6" t="str">
        <f t="shared" si="1"/>
        <v>-0,5</v>
      </c>
      <c r="Q12" s="6" t="str">
        <f t="shared" si="2"/>
        <v>-0,0</v>
      </c>
      <c r="R12" s="6" t="str">
        <f t="shared" si="3"/>
        <v>-0,2</v>
      </c>
      <c r="S12" s="6" t="str">
        <f t="shared" si="4"/>
        <v>-0,0</v>
      </c>
      <c r="T12" s="6" t="str">
        <f t="shared" si="5"/>
        <v>-0,2</v>
      </c>
      <c r="U12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3" spans="1:21" x14ac:dyDescent="0.3">
      <c r="A13" s="2" t="s">
        <v>425</v>
      </c>
      <c r="B13" s="4">
        <v>0.45393766666666702</v>
      </c>
      <c r="C13" s="4">
        <v>0.45373766666666698</v>
      </c>
      <c r="D13" s="4">
        <v>0.45347599999999999</v>
      </c>
      <c r="E13" s="4">
        <v>0.195588333333333</v>
      </c>
      <c r="F13" s="4">
        <v>0.19551533333333301</v>
      </c>
      <c r="G13" s="4">
        <v>0.19540399999999999</v>
      </c>
      <c r="H13" s="4">
        <v>0.22088333333333299</v>
      </c>
      <c r="I13" s="4">
        <v>0.22079699999999999</v>
      </c>
      <c r="J13" s="4">
        <v>0.22066533333333299</v>
      </c>
      <c r="O13" s="2" t="str">
        <f t="shared" si="0"/>
        <v>-0,52-0,00-0,28-0,00-0,20</v>
      </c>
      <c r="P13" s="6" t="str">
        <f t="shared" si="1"/>
        <v>-0,5</v>
      </c>
      <c r="Q13" s="6" t="str">
        <f t="shared" si="2"/>
        <v>-0,0</v>
      </c>
      <c r="R13" s="6" t="str">
        <f t="shared" si="3"/>
        <v>-0,2</v>
      </c>
      <c r="S13" s="6" t="str">
        <f t="shared" si="4"/>
        <v>-0,0</v>
      </c>
      <c r="T13" s="6" t="str">
        <f t="shared" si="5"/>
        <v>-0,2</v>
      </c>
      <c r="U13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4" spans="1:21" x14ac:dyDescent="0.3">
      <c r="A14" s="2" t="s">
        <v>441</v>
      </c>
      <c r="B14" s="4">
        <v>0.45392633333333299</v>
      </c>
      <c r="C14" s="4">
        <v>0.45366966666666703</v>
      </c>
      <c r="D14" s="4">
        <v>0.45343099999999997</v>
      </c>
      <c r="E14" s="4">
        <v>0.19545699999999999</v>
      </c>
      <c r="F14" s="4">
        <v>0.19532833333333299</v>
      </c>
      <c r="G14" s="4">
        <v>0.195242</v>
      </c>
      <c r="H14" s="4">
        <v>0.22086366666666701</v>
      </c>
      <c r="I14" s="4">
        <v>0.22072266666666701</v>
      </c>
      <c r="J14" s="4">
        <v>0.22061566666666699</v>
      </c>
      <c r="K14" s="7"/>
      <c r="L14" s="7"/>
      <c r="M14" s="7"/>
      <c r="O14" s="2" t="str">
        <f t="shared" si="0"/>
        <v>-0,52-0,00-0,28-0,00-0,20</v>
      </c>
      <c r="P14" s="6" t="str">
        <f t="shared" si="1"/>
        <v>-0,5</v>
      </c>
      <c r="Q14" s="6" t="str">
        <f t="shared" si="2"/>
        <v>-0,0</v>
      </c>
      <c r="R14" s="6" t="str">
        <f t="shared" si="3"/>
        <v>-0,2</v>
      </c>
      <c r="S14" s="6" t="str">
        <f t="shared" si="4"/>
        <v>-0,0</v>
      </c>
      <c r="T14" s="6" t="str">
        <f t="shared" si="5"/>
        <v>-0,2</v>
      </c>
      <c r="U14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5" spans="1:21" x14ac:dyDescent="0.3">
      <c r="A15" s="2" t="s">
        <v>409</v>
      </c>
      <c r="B15" s="3">
        <v>0.45388133333333303</v>
      </c>
      <c r="C15" s="4">
        <v>0.45360866666666699</v>
      </c>
      <c r="D15" s="4">
        <v>0.45337733333333302</v>
      </c>
      <c r="E15" s="4">
        <v>0.19524533333333299</v>
      </c>
      <c r="F15" s="4">
        <v>0.195142333333333</v>
      </c>
      <c r="G15" s="4">
        <v>0.195044666666667</v>
      </c>
      <c r="H15" s="4">
        <v>0.220745</v>
      </c>
      <c r="I15" s="4">
        <v>0.220619333333333</v>
      </c>
      <c r="J15" s="4">
        <v>0.22050566666666699</v>
      </c>
      <c r="K15" s="7"/>
      <c r="L15" s="7"/>
      <c r="M15" s="7"/>
      <c r="O15" s="2" t="str">
        <f t="shared" si="0"/>
        <v>-0,51-0,00-0,28-0,00-0,21</v>
      </c>
      <c r="P15" s="6" t="str">
        <f t="shared" si="1"/>
        <v>-0,5</v>
      </c>
      <c r="Q15" s="6" t="str">
        <f t="shared" si="2"/>
        <v>-0,0</v>
      </c>
      <c r="R15" s="6" t="str">
        <f t="shared" si="3"/>
        <v>-0,2</v>
      </c>
      <c r="S15" s="6" t="str">
        <f t="shared" si="4"/>
        <v>-0,0</v>
      </c>
      <c r="T15" s="6" t="str">
        <f t="shared" si="5"/>
        <v>-0,2</v>
      </c>
      <c r="U15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6" spans="1:21" x14ac:dyDescent="0.3">
      <c r="A16" s="2" t="s">
        <v>427</v>
      </c>
      <c r="B16" s="4">
        <v>0.453859333333333</v>
      </c>
      <c r="C16" s="4">
        <v>0.45370633333333299</v>
      </c>
      <c r="D16" s="4">
        <v>0.453419666666667</v>
      </c>
      <c r="E16" s="4">
        <v>0.195784333333333</v>
      </c>
      <c r="F16" s="4">
        <v>0.19570066666666699</v>
      </c>
      <c r="G16" s="4">
        <v>0.195596666666667</v>
      </c>
      <c r="H16" s="4">
        <v>0.221034333333333</v>
      </c>
      <c r="I16" s="4">
        <v>0.220950333333333</v>
      </c>
      <c r="J16" s="4">
        <v>0.22081833333333301</v>
      </c>
      <c r="O16" s="2" t="str">
        <f t="shared" si="0"/>
        <v>-0,52-0,00-0,28-0,00-0,20</v>
      </c>
      <c r="P16" s="6" t="str">
        <f t="shared" si="1"/>
        <v>-0,5</v>
      </c>
      <c r="Q16" s="6" t="str">
        <f t="shared" si="2"/>
        <v>-0,0</v>
      </c>
      <c r="R16" s="6" t="str">
        <f t="shared" si="3"/>
        <v>-0,2</v>
      </c>
      <c r="S16" s="6" t="str">
        <f t="shared" si="4"/>
        <v>-0,0</v>
      </c>
      <c r="T16" s="6" t="str">
        <f t="shared" si="5"/>
        <v>-0,2</v>
      </c>
      <c r="U1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7" spans="1:21" x14ac:dyDescent="0.3">
      <c r="A17" s="2" t="s">
        <v>434</v>
      </c>
      <c r="B17" s="4">
        <v>0.45381466666666698</v>
      </c>
      <c r="C17" s="4">
        <v>0.45365533333333302</v>
      </c>
      <c r="D17" s="4">
        <v>0.45337666666666698</v>
      </c>
      <c r="E17" s="4">
        <v>0.19512966666666701</v>
      </c>
      <c r="F17" s="4">
        <v>0.19506200000000001</v>
      </c>
      <c r="G17" s="4">
        <v>0.19494966666666699</v>
      </c>
      <c r="H17" s="4">
        <v>0.22046299999999999</v>
      </c>
      <c r="I17" s="4">
        <v>0.22038966666666701</v>
      </c>
      <c r="J17" s="4">
        <v>0.22025500000000001</v>
      </c>
      <c r="O17" s="2" t="str">
        <f t="shared" si="0"/>
        <v>-0,52-0,00-0,28-0,00-0,20</v>
      </c>
      <c r="P17" s="6" t="str">
        <f t="shared" si="1"/>
        <v>-0,5</v>
      </c>
      <c r="Q17" s="6" t="str">
        <f t="shared" si="2"/>
        <v>-0,0</v>
      </c>
      <c r="R17" s="6" t="str">
        <f t="shared" si="3"/>
        <v>-0,2</v>
      </c>
      <c r="S17" s="6" t="str">
        <f t="shared" si="4"/>
        <v>-0,0</v>
      </c>
      <c r="T17" s="6" t="str">
        <f t="shared" si="5"/>
        <v>-0,2</v>
      </c>
      <c r="U17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8" spans="1:21" x14ac:dyDescent="0.3">
      <c r="A18" s="2" t="s">
        <v>422</v>
      </c>
      <c r="B18" s="4">
        <v>0.45380900000000002</v>
      </c>
      <c r="C18" s="4">
        <v>0.45364966666666701</v>
      </c>
      <c r="D18" s="4">
        <v>0.45336233333333298</v>
      </c>
      <c r="E18" s="4">
        <v>0.19495199999999999</v>
      </c>
      <c r="F18" s="4">
        <v>0.194859333333333</v>
      </c>
      <c r="G18" s="4">
        <v>0.194757666666667</v>
      </c>
      <c r="H18" s="4">
        <v>0.220381666666667</v>
      </c>
      <c r="I18" s="4">
        <v>0.22029433333333301</v>
      </c>
      <c r="J18" s="4">
        <v>0.220162</v>
      </c>
      <c r="O18" s="2" t="str">
        <f t="shared" si="0"/>
        <v>-0,52-0,00-0,28-0,00-0,20</v>
      </c>
      <c r="P18" s="6" t="str">
        <f t="shared" si="1"/>
        <v>-0,5</v>
      </c>
      <c r="Q18" s="6" t="str">
        <f t="shared" si="2"/>
        <v>-0,0</v>
      </c>
      <c r="R18" s="6" t="str">
        <f t="shared" si="3"/>
        <v>-0,2</v>
      </c>
      <c r="S18" s="6" t="str">
        <f t="shared" si="4"/>
        <v>-0,0</v>
      </c>
      <c r="T18" s="6" t="str">
        <f t="shared" si="5"/>
        <v>-0,2</v>
      </c>
      <c r="U18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19" spans="1:21" x14ac:dyDescent="0.3">
      <c r="A19" s="2" t="s">
        <v>413</v>
      </c>
      <c r="B19" s="4">
        <v>0.45378366666666697</v>
      </c>
      <c r="C19" s="4">
        <v>0.45370766666666701</v>
      </c>
      <c r="D19" s="4">
        <v>0.45338499999999998</v>
      </c>
      <c r="E19" s="4">
        <v>0.19531599999999999</v>
      </c>
      <c r="F19" s="4">
        <v>0.195284333333333</v>
      </c>
      <c r="G19" s="4">
        <v>0.19515399999999999</v>
      </c>
      <c r="H19" s="4">
        <v>0.22065733333333301</v>
      </c>
      <c r="I19" s="4">
        <v>0.220633</v>
      </c>
      <c r="J19" s="4">
        <v>0.22047133333333299</v>
      </c>
      <c r="K19" s="7"/>
      <c r="L19" s="7"/>
      <c r="M19" s="7"/>
      <c r="O19" s="2" t="str">
        <f t="shared" si="0"/>
        <v>-0,52-0,00-0,28-0,00-0,20</v>
      </c>
      <c r="P19" s="6" t="str">
        <f t="shared" si="1"/>
        <v>-0,5</v>
      </c>
      <c r="Q19" s="6" t="str">
        <f t="shared" si="2"/>
        <v>-0,0</v>
      </c>
      <c r="R19" s="6" t="str">
        <f t="shared" si="3"/>
        <v>-0,2</v>
      </c>
      <c r="S19" s="6" t="str">
        <f t="shared" si="4"/>
        <v>-0,0</v>
      </c>
      <c r="T19" s="6" t="str">
        <f t="shared" si="5"/>
        <v>-0,2</v>
      </c>
      <c r="U19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0" spans="1:21" x14ac:dyDescent="0.3">
      <c r="A20" s="2" t="s">
        <v>447</v>
      </c>
      <c r="B20" s="4">
        <v>0.45375966666666701</v>
      </c>
      <c r="C20" s="4">
        <v>0.45356366666666698</v>
      </c>
      <c r="D20" s="4">
        <v>0.45329066666666701</v>
      </c>
      <c r="E20" s="4">
        <v>0.19578066666666699</v>
      </c>
      <c r="F20" s="4">
        <v>0.19567499999999999</v>
      </c>
      <c r="G20" s="4">
        <v>0.19557733333333299</v>
      </c>
      <c r="H20" s="4">
        <v>0.22128066666666699</v>
      </c>
      <c r="I20" s="4">
        <v>0.221158666666667</v>
      </c>
      <c r="J20" s="4">
        <v>0.22104233333333301</v>
      </c>
      <c r="O20" s="2" t="str">
        <f t="shared" si="0"/>
        <v>-0,52-0,00-0,28-0,00-0,20</v>
      </c>
      <c r="P20" s="6" t="str">
        <f t="shared" si="1"/>
        <v>-0,5</v>
      </c>
      <c r="Q20" s="6" t="str">
        <f t="shared" si="2"/>
        <v>-0,0</v>
      </c>
      <c r="R20" s="6" t="str">
        <f t="shared" si="3"/>
        <v>-0,2</v>
      </c>
      <c r="S20" s="6" t="str">
        <f t="shared" si="4"/>
        <v>-0,0</v>
      </c>
      <c r="T20" s="6" t="str">
        <f t="shared" si="5"/>
        <v>-0,2</v>
      </c>
      <c r="U20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1" spans="1:21" x14ac:dyDescent="0.3">
      <c r="A21" s="2" t="s">
        <v>431</v>
      </c>
      <c r="B21" s="4">
        <v>0.45362733333333299</v>
      </c>
      <c r="C21" s="4">
        <v>0.45346133333333299</v>
      </c>
      <c r="D21" s="4">
        <v>0.45317966666666698</v>
      </c>
      <c r="E21" s="4">
        <v>0.195230666666667</v>
      </c>
      <c r="F21" s="4">
        <v>0.19514100000000001</v>
      </c>
      <c r="G21" s="4">
        <v>0.195038666666667</v>
      </c>
      <c r="H21" s="4">
        <v>0.22042700000000001</v>
      </c>
      <c r="I21" s="4">
        <v>0.22034100000000001</v>
      </c>
      <c r="J21" s="4">
        <v>0.220208666666667</v>
      </c>
      <c r="O21" s="2" t="str">
        <f t="shared" si="0"/>
        <v>-0,52-0,00-0,28-0,00-0,20</v>
      </c>
      <c r="P21" s="6" t="str">
        <f t="shared" si="1"/>
        <v>-0,5</v>
      </c>
      <c r="Q21" s="6" t="str">
        <f t="shared" si="2"/>
        <v>-0,0</v>
      </c>
      <c r="R21" s="6" t="str">
        <f t="shared" si="3"/>
        <v>-0,2</v>
      </c>
      <c r="S21" s="6" t="str">
        <f t="shared" si="4"/>
        <v>-0,0</v>
      </c>
      <c r="T21" s="6" t="str">
        <f t="shared" si="5"/>
        <v>-0,2</v>
      </c>
      <c r="U21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2" spans="1:21" x14ac:dyDescent="0.3">
      <c r="A22" s="2" t="s">
        <v>414</v>
      </c>
      <c r="B22" s="4">
        <v>0.45359266666666698</v>
      </c>
      <c r="C22" s="4">
        <v>0.45355333333333298</v>
      </c>
      <c r="D22" s="4">
        <v>0.453212</v>
      </c>
      <c r="E22" s="4">
        <v>0.19555033333333299</v>
      </c>
      <c r="F22" s="4">
        <v>0.19552333333333299</v>
      </c>
      <c r="G22" s="4">
        <v>0.195390333333333</v>
      </c>
      <c r="H22" s="4">
        <v>0.220600666666667</v>
      </c>
      <c r="I22" s="4">
        <v>0.220586333333333</v>
      </c>
      <c r="J22" s="4">
        <v>0.22042</v>
      </c>
      <c r="O22" s="2" t="str">
        <f t="shared" si="0"/>
        <v>-0,52-0,00-0,29-0,00-0,19</v>
      </c>
      <c r="P22" s="6" t="str">
        <f t="shared" si="1"/>
        <v>-0,5</v>
      </c>
      <c r="Q22" s="6" t="str">
        <f t="shared" si="2"/>
        <v>-0,0</v>
      </c>
      <c r="R22" s="6" t="str">
        <f t="shared" si="3"/>
        <v>-0,2</v>
      </c>
      <c r="S22" s="6" t="str">
        <f t="shared" si="4"/>
        <v>-0,0</v>
      </c>
      <c r="T22" s="6" t="str">
        <f t="shared" si="5"/>
        <v>-0,1</v>
      </c>
      <c r="U22" s="2" t="str">
        <f t="shared" si="6"/>
        <v>&lt;Parametros&gt;&lt;Alfa&gt;-0,5&lt;/Alfa&gt;&lt;Beta&gt;-0,0&lt;/Beta&gt;&lt;Gamma&gt;-0,2&lt;/Gamma&gt;&lt;Delta&gt;-0,0&lt;/Delta&gt;&lt;Ro&gt;-0,1&lt;/Ro&gt;&lt;/Parametros&gt;</v>
      </c>
    </row>
    <row r="23" spans="1:21" x14ac:dyDescent="0.3">
      <c r="A23" s="2" t="s">
        <v>419</v>
      </c>
      <c r="B23" s="4">
        <v>0.453579333333333</v>
      </c>
      <c r="C23" s="4">
        <v>0.45338533333333297</v>
      </c>
      <c r="D23" s="4">
        <v>0.45311933333333299</v>
      </c>
      <c r="E23" s="4">
        <v>0.19500266666666699</v>
      </c>
      <c r="F23" s="4">
        <v>0.19494266666666701</v>
      </c>
      <c r="G23" s="4">
        <v>0.19482533333333299</v>
      </c>
      <c r="H23" s="4">
        <v>0.22059699999999999</v>
      </c>
      <c r="I23" s="4">
        <v>0.22051633333333301</v>
      </c>
      <c r="J23" s="4">
        <v>0.22038233333333301</v>
      </c>
      <c r="O23" s="2" t="str">
        <f t="shared" si="0"/>
        <v>-0,52-0,00-0,28-0,00-0,20</v>
      </c>
      <c r="P23" s="6" t="str">
        <f t="shared" si="1"/>
        <v>-0,5</v>
      </c>
      <c r="Q23" s="6" t="str">
        <f t="shared" si="2"/>
        <v>-0,0</v>
      </c>
      <c r="R23" s="6" t="str">
        <f t="shared" si="3"/>
        <v>-0,2</v>
      </c>
      <c r="S23" s="6" t="str">
        <f t="shared" si="4"/>
        <v>-0,0</v>
      </c>
      <c r="T23" s="6" t="str">
        <f t="shared" si="5"/>
        <v>-0,2</v>
      </c>
      <c r="U23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4" spans="1:21" x14ac:dyDescent="0.3">
      <c r="A24" s="2" t="s">
        <v>423</v>
      </c>
      <c r="B24" s="4">
        <v>0.45356099999999999</v>
      </c>
      <c r="C24" s="4">
        <v>0.45336133333333301</v>
      </c>
      <c r="D24" s="4">
        <v>0.45309766666666701</v>
      </c>
      <c r="E24" s="4">
        <v>0.19475500000000001</v>
      </c>
      <c r="F24" s="4">
        <v>0.19465099999999999</v>
      </c>
      <c r="G24" s="4">
        <v>0.19455866666666699</v>
      </c>
      <c r="H24" s="4">
        <v>0.22032733333333299</v>
      </c>
      <c r="I24" s="4">
        <v>0.22021866666666701</v>
      </c>
      <c r="J24" s="4">
        <v>0.220098666666667</v>
      </c>
      <c r="O24" s="2" t="str">
        <f t="shared" si="0"/>
        <v>-0,52-0,00-0,28-0,00-0,20</v>
      </c>
      <c r="P24" s="6" t="str">
        <f t="shared" si="1"/>
        <v>-0,5</v>
      </c>
      <c r="Q24" s="6" t="str">
        <f t="shared" si="2"/>
        <v>-0,0</v>
      </c>
      <c r="R24" s="6" t="str">
        <f t="shared" si="3"/>
        <v>-0,2</v>
      </c>
      <c r="S24" s="6" t="str">
        <f t="shared" si="4"/>
        <v>-0,0</v>
      </c>
      <c r="T24" s="6" t="str">
        <f t="shared" si="5"/>
        <v>-0,2</v>
      </c>
      <c r="U24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5" spans="1:21" x14ac:dyDescent="0.3">
      <c r="A25" s="2" t="s">
        <v>444</v>
      </c>
      <c r="B25" s="4">
        <v>0.45352366666666699</v>
      </c>
      <c r="C25" s="4">
        <v>0.45329900000000001</v>
      </c>
      <c r="D25" s="4">
        <v>0.45304466666666698</v>
      </c>
      <c r="E25" s="4">
        <v>0.195478333333333</v>
      </c>
      <c r="F25" s="4">
        <v>0.19539000000000001</v>
      </c>
      <c r="G25" s="4">
        <v>0.19528533333333301</v>
      </c>
      <c r="H25" s="4">
        <v>0.220953333333333</v>
      </c>
      <c r="I25" s="4">
        <v>0.22084100000000001</v>
      </c>
      <c r="J25" s="4">
        <v>0.22071966666666701</v>
      </c>
      <c r="O25" s="2" t="str">
        <f t="shared" si="0"/>
        <v>-0,52-0,00-0,28-0,00-0,20</v>
      </c>
      <c r="P25" s="6" t="str">
        <f t="shared" si="1"/>
        <v>-0,5</v>
      </c>
      <c r="Q25" s="6" t="str">
        <f t="shared" si="2"/>
        <v>-0,0</v>
      </c>
      <c r="R25" s="6" t="str">
        <f t="shared" si="3"/>
        <v>-0,2</v>
      </c>
      <c r="S25" s="6" t="str">
        <f t="shared" si="4"/>
        <v>-0,0</v>
      </c>
      <c r="T25" s="6" t="str">
        <f t="shared" si="5"/>
        <v>-0,2</v>
      </c>
      <c r="U25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6" spans="1:21" x14ac:dyDescent="0.3">
      <c r="A26" s="2" t="s">
        <v>429</v>
      </c>
      <c r="B26" s="4">
        <v>0.45351766666666699</v>
      </c>
      <c r="C26" s="4">
        <v>0.45335500000000001</v>
      </c>
      <c r="D26" s="4">
        <v>0.45307033333333302</v>
      </c>
      <c r="E26" s="4">
        <v>0.195117333333333</v>
      </c>
      <c r="F26" s="4">
        <v>0.195037666666667</v>
      </c>
      <c r="G26" s="4">
        <v>0.19493033333333301</v>
      </c>
      <c r="H26" s="4">
        <v>0.220528</v>
      </c>
      <c r="I26" s="4">
        <v>0.22044333333333299</v>
      </c>
      <c r="J26" s="4">
        <v>0.22031000000000001</v>
      </c>
      <c r="O26" s="2" t="str">
        <f t="shared" si="0"/>
        <v>-0,52-0,00-0,28-0,00-0,20</v>
      </c>
      <c r="P26" s="6" t="str">
        <f t="shared" si="1"/>
        <v>-0,5</v>
      </c>
      <c r="Q26" s="6" t="str">
        <f t="shared" si="2"/>
        <v>-0,0</v>
      </c>
      <c r="R26" s="6" t="str">
        <f t="shared" si="3"/>
        <v>-0,2</v>
      </c>
      <c r="S26" s="6" t="str">
        <f t="shared" si="4"/>
        <v>-0,0</v>
      </c>
      <c r="T26" s="6" t="str">
        <f t="shared" si="5"/>
        <v>-0,2</v>
      </c>
      <c r="U2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7" spans="1:21" x14ac:dyDescent="0.3">
      <c r="A27" s="2" t="s">
        <v>401</v>
      </c>
      <c r="B27" s="4">
        <v>0.453504666666667</v>
      </c>
      <c r="C27" s="4">
        <v>0.45338333333333303</v>
      </c>
      <c r="D27" s="4">
        <v>0.45307799999999998</v>
      </c>
      <c r="E27" s="4">
        <v>0.195037666666667</v>
      </c>
      <c r="F27" s="4">
        <v>0.194972333333333</v>
      </c>
      <c r="G27" s="4">
        <v>0.19485666666666701</v>
      </c>
      <c r="H27" s="4">
        <v>0.22032133333333301</v>
      </c>
      <c r="I27" s="4">
        <v>0.22026633333333301</v>
      </c>
      <c r="J27" s="4">
        <v>0.220119333333333</v>
      </c>
      <c r="O27" s="2" t="str">
        <f t="shared" si="0"/>
        <v>-0,49-0,00-0,30-0,00-0,21</v>
      </c>
      <c r="P27" s="6" t="str">
        <f t="shared" si="1"/>
        <v>-0,4</v>
      </c>
      <c r="Q27" s="6" t="str">
        <f t="shared" si="2"/>
        <v>-0,0</v>
      </c>
      <c r="R27" s="6" t="str">
        <f t="shared" si="3"/>
        <v>-0,3</v>
      </c>
      <c r="S27" s="6" t="str">
        <f t="shared" si="4"/>
        <v>-0,0</v>
      </c>
      <c r="T27" s="6" t="str">
        <f t="shared" si="5"/>
        <v>-0,2</v>
      </c>
      <c r="U27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28" spans="1:21" x14ac:dyDescent="0.3">
      <c r="A28" s="2" t="s">
        <v>440</v>
      </c>
      <c r="B28" s="4">
        <v>0.453504666666667</v>
      </c>
      <c r="C28" s="4">
        <v>0.453253666666667</v>
      </c>
      <c r="D28" s="4">
        <v>0.45302066666666702</v>
      </c>
      <c r="E28" s="4">
        <v>0.19536300000000001</v>
      </c>
      <c r="F28" s="4">
        <v>0.19520599999999999</v>
      </c>
      <c r="G28" s="4">
        <v>0.19513800000000001</v>
      </c>
      <c r="H28" s="4">
        <v>0.22055900000000001</v>
      </c>
      <c r="I28" s="4">
        <v>0.220405666666667</v>
      </c>
      <c r="J28" s="4">
        <v>0.220310333333333</v>
      </c>
      <c r="O28" s="2" t="str">
        <f t="shared" si="0"/>
        <v>-0,52-0,00-0,28-0,00-0,20</v>
      </c>
      <c r="P28" s="6" t="str">
        <f t="shared" si="1"/>
        <v>-0,5</v>
      </c>
      <c r="Q28" s="6" t="str">
        <f t="shared" si="2"/>
        <v>-0,0</v>
      </c>
      <c r="R28" s="6" t="str">
        <f t="shared" si="3"/>
        <v>-0,2</v>
      </c>
      <c r="S28" s="6" t="str">
        <f t="shared" si="4"/>
        <v>-0,0</v>
      </c>
      <c r="T28" s="6" t="str">
        <f t="shared" si="5"/>
        <v>-0,2</v>
      </c>
      <c r="U28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29" spans="1:21" x14ac:dyDescent="0.3">
      <c r="A29" s="2" t="s">
        <v>411</v>
      </c>
      <c r="B29" s="4">
        <v>0.45350333333333298</v>
      </c>
      <c r="C29" s="4">
        <v>0.45343699999999998</v>
      </c>
      <c r="D29" s="4">
        <v>0.45310800000000001</v>
      </c>
      <c r="E29" s="4">
        <v>0.19551399999999999</v>
      </c>
      <c r="F29" s="4">
        <v>0.195493</v>
      </c>
      <c r="G29" s="4">
        <v>0.19535466666666701</v>
      </c>
      <c r="H29" s="4">
        <v>0.22057099999999999</v>
      </c>
      <c r="I29" s="4">
        <v>0.220561333333333</v>
      </c>
      <c r="J29" s="4">
        <v>0.22039133333333299</v>
      </c>
      <c r="O29" s="2" t="str">
        <f t="shared" si="0"/>
        <v>-0,51-0,00-0,30-0,00-0,19</v>
      </c>
      <c r="P29" s="6" t="str">
        <f t="shared" si="1"/>
        <v>-0,5</v>
      </c>
      <c r="Q29" s="6" t="str">
        <f t="shared" si="2"/>
        <v>-0,0</v>
      </c>
      <c r="R29" s="6" t="str">
        <f t="shared" si="3"/>
        <v>-0,3</v>
      </c>
      <c r="S29" s="6" t="str">
        <f t="shared" si="4"/>
        <v>-0,0</v>
      </c>
      <c r="T29" s="6" t="str">
        <f t="shared" si="5"/>
        <v>-0,1</v>
      </c>
      <c r="U29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30" spans="1:21" x14ac:dyDescent="0.3">
      <c r="A30" s="2" t="s">
        <v>365</v>
      </c>
      <c r="B30" s="4">
        <v>0.45347100000000001</v>
      </c>
      <c r="C30" s="4">
        <v>0.45319633333333298</v>
      </c>
      <c r="D30" s="4">
        <v>0.45296766666666699</v>
      </c>
      <c r="E30" s="4">
        <v>0.19458033333333299</v>
      </c>
      <c r="F30" s="4">
        <v>0.19455666666666699</v>
      </c>
      <c r="G30" s="4">
        <v>0.194424333333333</v>
      </c>
      <c r="H30" s="4">
        <v>0.21997233333333299</v>
      </c>
      <c r="I30" s="4">
        <v>0.219869333333333</v>
      </c>
      <c r="J30" s="4">
        <v>0.21974566666666701</v>
      </c>
      <c r="O30" s="2" t="str">
        <f t="shared" si="0"/>
        <v>-0,60-0,00-0,20-0,00-0,20</v>
      </c>
      <c r="P30" s="6" t="str">
        <f t="shared" si="1"/>
        <v>-0,6</v>
      </c>
      <c r="Q30" s="6" t="str">
        <f t="shared" si="2"/>
        <v>-0,0</v>
      </c>
      <c r="R30" s="6" t="str">
        <f t="shared" si="3"/>
        <v>-0,2</v>
      </c>
      <c r="S30" s="6" t="str">
        <f t="shared" si="4"/>
        <v>-0,0</v>
      </c>
      <c r="T30" s="6" t="str">
        <f t="shared" si="5"/>
        <v>-0,2</v>
      </c>
      <c r="U30" s="2" t="str">
        <f t="shared" si="6"/>
        <v>&lt;Parametros&gt;&lt;Alfa&gt;-0,6&lt;/Alfa&gt;&lt;Beta&gt;-0,0&lt;/Beta&gt;&lt;Gamma&gt;-0,2&lt;/Gamma&gt;&lt;Delta&gt;-0,0&lt;/Delta&gt;&lt;Ro&gt;-0,2&lt;/Ro&gt;&lt;/Parametros&gt;</v>
      </c>
    </row>
    <row r="31" spans="1:21" x14ac:dyDescent="0.3">
      <c r="A31" s="2" t="s">
        <v>438</v>
      </c>
      <c r="B31" s="4">
        <v>0.453421666666667</v>
      </c>
      <c r="C31" s="4">
        <v>0.45322333333333298</v>
      </c>
      <c r="D31" s="4">
        <v>0.45295666666666701</v>
      </c>
      <c r="E31" s="4">
        <v>0.19509633333333301</v>
      </c>
      <c r="F31" s="4">
        <v>0.19501533333333301</v>
      </c>
      <c r="G31" s="4">
        <v>0.19490666666666701</v>
      </c>
      <c r="H31" s="4">
        <v>0.220534333333333</v>
      </c>
      <c r="I31" s="4">
        <v>0.22043533333333301</v>
      </c>
      <c r="J31" s="4">
        <v>0.220308333333333</v>
      </c>
      <c r="O31" s="2" t="str">
        <f t="shared" si="0"/>
        <v>-0,52-0,00-0,28-0,00-0,20</v>
      </c>
      <c r="P31" s="6" t="str">
        <f t="shared" si="1"/>
        <v>-0,5</v>
      </c>
      <c r="Q31" s="6" t="str">
        <f t="shared" si="2"/>
        <v>-0,0</v>
      </c>
      <c r="R31" s="6" t="str">
        <f t="shared" si="3"/>
        <v>-0,2</v>
      </c>
      <c r="S31" s="6" t="str">
        <f t="shared" si="4"/>
        <v>-0,0</v>
      </c>
      <c r="T31" s="6" t="str">
        <f t="shared" si="5"/>
        <v>-0,2</v>
      </c>
      <c r="U31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2" spans="1:21" x14ac:dyDescent="0.3">
      <c r="A32" s="2" t="s">
        <v>430</v>
      </c>
      <c r="B32" s="4">
        <v>0.45335033333333302</v>
      </c>
      <c r="C32" s="4">
        <v>0.45317099999999999</v>
      </c>
      <c r="D32" s="4">
        <v>0.452894666666667</v>
      </c>
      <c r="E32" s="4">
        <v>0.19479833333333299</v>
      </c>
      <c r="F32" s="4">
        <v>0.194732666666667</v>
      </c>
      <c r="G32" s="4">
        <v>0.19461666666666699</v>
      </c>
      <c r="H32" s="4">
        <v>0.220191</v>
      </c>
      <c r="I32" s="4">
        <v>0.22010533333333299</v>
      </c>
      <c r="J32" s="4">
        <v>0.219972</v>
      </c>
      <c r="O32" s="2" t="str">
        <f t="shared" si="0"/>
        <v>-0,52-0,00-0,28-0,00-0,20</v>
      </c>
      <c r="P32" s="6" t="str">
        <f t="shared" si="1"/>
        <v>-0,5</v>
      </c>
      <c r="Q32" s="6" t="str">
        <f t="shared" si="2"/>
        <v>-0,0</v>
      </c>
      <c r="R32" s="6" t="str">
        <f t="shared" si="3"/>
        <v>-0,2</v>
      </c>
      <c r="S32" s="6" t="str">
        <f t="shared" si="4"/>
        <v>-0,0</v>
      </c>
      <c r="T32" s="6" t="str">
        <f t="shared" si="5"/>
        <v>-0,2</v>
      </c>
      <c r="U32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3" spans="1:21" x14ac:dyDescent="0.3">
      <c r="A33" s="2" t="s">
        <v>362</v>
      </c>
      <c r="B33" s="4">
        <v>0.45318199999999997</v>
      </c>
      <c r="C33" s="4">
        <v>0.453038</v>
      </c>
      <c r="D33" s="4">
        <v>0.45274766666666699</v>
      </c>
      <c r="E33" s="4">
        <v>0.19458700000000001</v>
      </c>
      <c r="F33" s="4">
        <v>0.19452333333333299</v>
      </c>
      <c r="G33" s="4">
        <v>0.194408</v>
      </c>
      <c r="H33" s="4">
        <v>0.21996766666666701</v>
      </c>
      <c r="I33" s="4">
        <v>0.21990599999999999</v>
      </c>
      <c r="J33" s="4">
        <v>0.21976266666666699</v>
      </c>
      <c r="O33" s="2" t="str">
        <f t="shared" si="0"/>
        <v>-0,50-0,00-0,30-0,00-0,20</v>
      </c>
      <c r="P33" s="6" t="str">
        <f t="shared" si="1"/>
        <v>-0,5</v>
      </c>
      <c r="Q33" s="6" t="str">
        <f t="shared" si="2"/>
        <v>-0,0</v>
      </c>
      <c r="R33" s="6" t="str">
        <f t="shared" si="3"/>
        <v>-0,3</v>
      </c>
      <c r="S33" s="6" t="str">
        <f t="shared" si="4"/>
        <v>-0,0</v>
      </c>
      <c r="T33" s="6" t="str">
        <f t="shared" si="5"/>
        <v>-0,2</v>
      </c>
      <c r="U33" s="2" t="str">
        <f t="shared" si="6"/>
        <v>&lt;Parametros&gt;&lt;Alfa&gt;-0,5&lt;/Alfa&gt;&lt;Beta&gt;-0,0&lt;/Beta&gt;&lt;Gamma&gt;-0,3&lt;/Gamma&gt;&lt;Delta&gt;-0,0&lt;/Delta&gt;&lt;Ro&gt;-0,2&lt;/Ro&gt;&lt;/Parametros&gt;</v>
      </c>
    </row>
    <row r="34" spans="1:21" x14ac:dyDescent="0.3">
      <c r="A34" s="2" t="s">
        <v>404</v>
      </c>
      <c r="B34" s="4">
        <v>0.45315466666666698</v>
      </c>
      <c r="C34" s="4">
        <v>0.45290399999999997</v>
      </c>
      <c r="D34" s="4">
        <v>0.45266200000000001</v>
      </c>
      <c r="E34" s="4">
        <v>0.193495</v>
      </c>
      <c r="F34" s="4">
        <v>0.193396333333333</v>
      </c>
      <c r="G34" s="4">
        <v>0.19329766666666701</v>
      </c>
      <c r="H34" s="4">
        <v>0.21925900000000001</v>
      </c>
      <c r="I34" s="4">
        <v>0.21914666666666699</v>
      </c>
      <c r="J34" s="4">
        <v>0.219026</v>
      </c>
      <c r="O34" s="2" t="str">
        <f t="shared" si="0"/>
        <v>-0,50-0,00-0,28-0,00-0,22</v>
      </c>
      <c r="P34" s="6" t="str">
        <f t="shared" si="1"/>
        <v>-0,5</v>
      </c>
      <c r="Q34" s="6" t="str">
        <f t="shared" si="2"/>
        <v>-0,0</v>
      </c>
      <c r="R34" s="6" t="str">
        <f t="shared" si="3"/>
        <v>-0,2</v>
      </c>
      <c r="S34" s="6" t="str">
        <f t="shared" si="4"/>
        <v>-0,0</v>
      </c>
      <c r="T34" s="6" t="str">
        <f t="shared" si="5"/>
        <v>-0,2</v>
      </c>
      <c r="U34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5" spans="1:21" x14ac:dyDescent="0.3">
      <c r="A35" s="2" t="s">
        <v>410</v>
      </c>
      <c r="B35" s="4">
        <v>0.45309533333333302</v>
      </c>
      <c r="C35" s="4">
        <v>0.45296900000000001</v>
      </c>
      <c r="D35" s="4">
        <v>0.452670666666667</v>
      </c>
      <c r="E35" s="4">
        <v>0.19494600000000001</v>
      </c>
      <c r="F35" s="4">
        <v>0.19489400000000001</v>
      </c>
      <c r="G35" s="4">
        <v>0.194772</v>
      </c>
      <c r="H35" s="4">
        <v>0.220147333333333</v>
      </c>
      <c r="I35" s="4">
        <v>0.22010399999999999</v>
      </c>
      <c r="J35" s="4">
        <v>0.21995166666666699</v>
      </c>
      <c r="O35" s="2" t="str">
        <f t="shared" si="0"/>
        <v>-0,51-0,00-0,29-0,00-0,20</v>
      </c>
      <c r="P35" s="6" t="str">
        <f t="shared" si="1"/>
        <v>-0,5</v>
      </c>
      <c r="Q35" s="6" t="str">
        <f t="shared" si="2"/>
        <v>-0,0</v>
      </c>
      <c r="R35" s="6" t="str">
        <f t="shared" si="3"/>
        <v>-0,2</v>
      </c>
      <c r="S35" s="6" t="str">
        <f t="shared" si="4"/>
        <v>-0,0</v>
      </c>
      <c r="T35" s="6" t="str">
        <f t="shared" si="5"/>
        <v>-0,2</v>
      </c>
      <c r="U35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6" spans="1:21" x14ac:dyDescent="0.3">
      <c r="A36" s="2" t="s">
        <v>439</v>
      </c>
      <c r="B36" s="4">
        <v>0.45307133333333299</v>
      </c>
      <c r="C36" s="4">
        <v>0.45287899999999998</v>
      </c>
      <c r="D36" s="4">
        <v>0.45260566666666702</v>
      </c>
      <c r="E36" s="4">
        <v>0.194715</v>
      </c>
      <c r="F36" s="4">
        <v>0.194603</v>
      </c>
      <c r="G36" s="4">
        <v>0.19450999999999999</v>
      </c>
      <c r="H36" s="4">
        <v>0.22018133333333301</v>
      </c>
      <c r="I36" s="4">
        <v>0.220053</v>
      </c>
      <c r="J36" s="4">
        <v>0.21994033333333299</v>
      </c>
      <c r="O36" s="2" t="str">
        <f t="shared" si="0"/>
        <v>-0,52-0,00-0,28-0,00-0,20</v>
      </c>
      <c r="P36" s="6" t="str">
        <f t="shared" si="1"/>
        <v>-0,5</v>
      </c>
      <c r="Q36" s="6" t="str">
        <f t="shared" si="2"/>
        <v>-0,0</v>
      </c>
      <c r="R36" s="6" t="str">
        <f t="shared" si="3"/>
        <v>-0,2</v>
      </c>
      <c r="S36" s="6" t="str">
        <f t="shared" si="4"/>
        <v>-0,0</v>
      </c>
      <c r="T36" s="6" t="str">
        <f t="shared" si="5"/>
        <v>-0,2</v>
      </c>
      <c r="U3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7" spans="1:21" x14ac:dyDescent="0.3">
      <c r="A37" s="2" t="s">
        <v>400</v>
      </c>
      <c r="B37" s="4">
        <v>0.45305333333333297</v>
      </c>
      <c r="C37" s="4">
        <v>0.452903</v>
      </c>
      <c r="D37" s="4">
        <v>0.452608333333333</v>
      </c>
      <c r="E37" s="4">
        <v>0.193769</v>
      </c>
      <c r="F37" s="4">
        <v>0.193712</v>
      </c>
      <c r="G37" s="4">
        <v>0.193590333333333</v>
      </c>
      <c r="H37" s="4">
        <v>0.21941033333333301</v>
      </c>
      <c r="I37" s="4">
        <v>0.21934733333333301</v>
      </c>
      <c r="J37" s="4">
        <v>0.219201333333333</v>
      </c>
      <c r="O37" s="2" t="str">
        <f t="shared" si="0"/>
        <v>-0,49-0,00-0,29-0,00-0,22</v>
      </c>
      <c r="P37" s="6" t="str">
        <f t="shared" si="1"/>
        <v>-0,4</v>
      </c>
      <c r="Q37" s="6" t="str">
        <f t="shared" si="2"/>
        <v>-0,0</v>
      </c>
      <c r="R37" s="6" t="str">
        <f t="shared" si="3"/>
        <v>-0,2</v>
      </c>
      <c r="S37" s="6" t="str">
        <f t="shared" si="4"/>
        <v>-0,0</v>
      </c>
      <c r="T37" s="6" t="str">
        <f t="shared" si="5"/>
        <v>-0,2</v>
      </c>
      <c r="U37" s="2" t="str">
        <f t="shared" si="6"/>
        <v>&lt;Parametros&gt;&lt;Alfa&gt;-0,4&lt;/Alfa&gt;&lt;Beta&gt;-0,0&lt;/Beta&gt;&lt;Gamma&gt;-0,2&lt;/Gamma&gt;&lt;Delta&gt;-0,0&lt;/Delta&gt;&lt;Ro&gt;-0,2&lt;/Ro&gt;&lt;/Parametros&gt;</v>
      </c>
    </row>
    <row r="38" spans="1:21" x14ac:dyDescent="0.3">
      <c r="A38" s="2" t="s">
        <v>436</v>
      </c>
      <c r="B38" s="4">
        <v>0.45302999999999999</v>
      </c>
      <c r="C38" s="4">
        <v>0.45275533333333301</v>
      </c>
      <c r="D38" s="4">
        <v>0.452527333333333</v>
      </c>
      <c r="E38" s="4">
        <v>0.19467899999999999</v>
      </c>
      <c r="F38" s="4">
        <v>0.19454766666666701</v>
      </c>
      <c r="G38" s="4">
        <v>0.194466</v>
      </c>
      <c r="H38" s="4">
        <v>0.22017700000000001</v>
      </c>
      <c r="I38" s="4">
        <v>0.22001933333333301</v>
      </c>
      <c r="J38" s="4">
        <v>0.21992366666666699</v>
      </c>
      <c r="O38" s="2" t="str">
        <f t="shared" si="0"/>
        <v>-0,52-0,00-0,28-0,00-0,20</v>
      </c>
      <c r="P38" s="6" t="str">
        <f t="shared" si="1"/>
        <v>-0,5</v>
      </c>
      <c r="Q38" s="6" t="str">
        <f t="shared" si="2"/>
        <v>-0,0</v>
      </c>
      <c r="R38" s="6" t="str">
        <f t="shared" si="3"/>
        <v>-0,2</v>
      </c>
      <c r="S38" s="6" t="str">
        <f t="shared" si="4"/>
        <v>-0,0</v>
      </c>
      <c r="T38" s="6" t="str">
        <f t="shared" si="5"/>
        <v>-0,2</v>
      </c>
      <c r="U38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39" spans="1:21" x14ac:dyDescent="0.3">
      <c r="A39" s="2" t="s">
        <v>443</v>
      </c>
      <c r="B39" s="4">
        <v>0.45299566666666702</v>
      </c>
      <c r="C39" s="4">
        <v>0.45275900000000002</v>
      </c>
      <c r="D39" s="4">
        <v>0.45251633333333302</v>
      </c>
      <c r="E39" s="4">
        <v>0.19485266666666701</v>
      </c>
      <c r="F39" s="4">
        <v>0.19472500000000001</v>
      </c>
      <c r="G39" s="4">
        <v>0.194643333333333</v>
      </c>
      <c r="H39" s="4">
        <v>0.22006066666666699</v>
      </c>
      <c r="I39" s="4">
        <v>0.21993033333333301</v>
      </c>
      <c r="J39" s="4">
        <v>0.219822666666667</v>
      </c>
      <c r="O39" s="2" t="str">
        <f t="shared" si="0"/>
        <v>-0,52-0,00-0,28-0,00-0,20</v>
      </c>
      <c r="P39" s="6" t="str">
        <f t="shared" si="1"/>
        <v>-0,5</v>
      </c>
      <c r="Q39" s="6" t="str">
        <f t="shared" si="2"/>
        <v>-0,0</v>
      </c>
      <c r="R39" s="6" t="str">
        <f t="shared" si="3"/>
        <v>-0,2</v>
      </c>
      <c r="S39" s="6" t="str">
        <f t="shared" si="4"/>
        <v>-0,0</v>
      </c>
      <c r="T39" s="6" t="str">
        <f t="shared" si="5"/>
        <v>-0,2</v>
      </c>
      <c r="U39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40" spans="1:21" x14ac:dyDescent="0.3">
      <c r="A40" s="2" t="s">
        <v>406</v>
      </c>
      <c r="B40" s="4">
        <v>0.45295366666666698</v>
      </c>
      <c r="C40" s="4">
        <v>0.45282066666666698</v>
      </c>
      <c r="D40" s="4">
        <v>0.45252566666666699</v>
      </c>
      <c r="E40" s="4">
        <v>0.194757666666667</v>
      </c>
      <c r="F40" s="4">
        <v>0.19471133333333299</v>
      </c>
      <c r="G40" s="4">
        <v>0.194587333333333</v>
      </c>
      <c r="H40" s="4">
        <v>0.219876666666667</v>
      </c>
      <c r="I40" s="4">
        <v>0.21983233333333299</v>
      </c>
      <c r="J40" s="4">
        <v>0.21968033333333301</v>
      </c>
      <c r="K40" s="7"/>
      <c r="L40" s="7"/>
      <c r="M40" s="7"/>
      <c r="O40" s="2" t="str">
        <f t="shared" si="0"/>
        <v>-0,50-0,00-0,30-0,00-0,20</v>
      </c>
      <c r="P40" s="6" t="str">
        <f t="shared" si="1"/>
        <v>-0,5</v>
      </c>
      <c r="Q40" s="6" t="str">
        <f t="shared" si="2"/>
        <v>-0,0</v>
      </c>
      <c r="R40" s="6" t="str">
        <f t="shared" si="3"/>
        <v>-0,3</v>
      </c>
      <c r="S40" s="6" t="str">
        <f t="shared" si="4"/>
        <v>-0,0</v>
      </c>
      <c r="T40" s="6" t="str">
        <f t="shared" si="5"/>
        <v>-0,2</v>
      </c>
      <c r="U40" s="2" t="str">
        <f t="shared" si="6"/>
        <v>&lt;Parametros&gt;&lt;Alfa&gt;-0,5&lt;/Alfa&gt;&lt;Beta&gt;-0,0&lt;/Beta&gt;&lt;Gamma&gt;-0,3&lt;/Gamma&gt;&lt;Delta&gt;-0,0&lt;/Delta&gt;&lt;Ro&gt;-0,2&lt;/Ro&gt;&lt;/Parametros&gt;</v>
      </c>
    </row>
    <row r="41" spans="1:21" x14ac:dyDescent="0.3">
      <c r="A41" s="2" t="s">
        <v>417</v>
      </c>
      <c r="B41" s="4">
        <v>0.45286933333333301</v>
      </c>
      <c r="C41" s="4">
        <v>0.452905</v>
      </c>
      <c r="D41" s="4">
        <v>0.45252266666666702</v>
      </c>
      <c r="E41" s="4">
        <v>0.19548499999999999</v>
      </c>
      <c r="F41" s="4">
        <v>0.195528333333333</v>
      </c>
      <c r="G41" s="4">
        <v>0.195356</v>
      </c>
      <c r="H41" s="4">
        <v>0.220368333333333</v>
      </c>
      <c r="I41" s="4">
        <v>0.22040399999999999</v>
      </c>
      <c r="J41" s="4">
        <v>0.22021033333333301</v>
      </c>
      <c r="O41" s="2" t="str">
        <f t="shared" si="0"/>
        <v>-0,53-0,00-0,29-0,00-0,18</v>
      </c>
      <c r="P41" s="6" t="str">
        <f t="shared" si="1"/>
        <v>-0,5</v>
      </c>
      <c r="Q41" s="6" t="str">
        <f t="shared" si="2"/>
        <v>-0,0</v>
      </c>
      <c r="R41" s="6" t="str">
        <f t="shared" si="3"/>
        <v>-0,2</v>
      </c>
      <c r="S41" s="6" t="str">
        <f t="shared" si="4"/>
        <v>-0,0</v>
      </c>
      <c r="T41" s="6" t="str">
        <f t="shared" si="5"/>
        <v>-0,1</v>
      </c>
      <c r="U41" s="2" t="str">
        <f t="shared" si="6"/>
        <v>&lt;Parametros&gt;&lt;Alfa&gt;-0,5&lt;/Alfa&gt;&lt;Beta&gt;-0,0&lt;/Beta&gt;&lt;Gamma&gt;-0,2&lt;/Gamma&gt;&lt;Delta&gt;-0,0&lt;/Delta&gt;&lt;Ro&gt;-0,1&lt;/Ro&gt;&lt;/Parametros&gt;</v>
      </c>
    </row>
    <row r="42" spans="1:21" x14ac:dyDescent="0.3">
      <c r="A42" s="2" t="s">
        <v>405</v>
      </c>
      <c r="B42" s="4">
        <v>0.45280799999999999</v>
      </c>
      <c r="C42" s="4">
        <v>0.45272833333333301</v>
      </c>
      <c r="D42" s="4">
        <v>0.45240533333333299</v>
      </c>
      <c r="E42" s="4">
        <v>0.19401199999999999</v>
      </c>
      <c r="F42" s="4">
        <v>0.19399433333333299</v>
      </c>
      <c r="G42" s="4">
        <v>0.19385633333333299</v>
      </c>
      <c r="H42" s="4">
        <v>0.219679666666667</v>
      </c>
      <c r="I42" s="4">
        <v>0.219669</v>
      </c>
      <c r="J42" s="4">
        <v>0.21950066666666701</v>
      </c>
      <c r="O42" s="2" t="str">
        <f t="shared" si="0"/>
        <v>-0,50-0,00-0,29-0,00-0,21</v>
      </c>
      <c r="P42" s="6" t="str">
        <f t="shared" si="1"/>
        <v>-0,5</v>
      </c>
      <c r="Q42" s="6" t="str">
        <f t="shared" si="2"/>
        <v>-0,0</v>
      </c>
      <c r="R42" s="6" t="str">
        <f t="shared" si="3"/>
        <v>-0,2</v>
      </c>
      <c r="S42" s="6" t="str">
        <f t="shared" si="4"/>
        <v>-0,0</v>
      </c>
      <c r="T42" s="6" t="str">
        <f t="shared" si="5"/>
        <v>-0,2</v>
      </c>
      <c r="U42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43" spans="1:21" x14ac:dyDescent="0.3">
      <c r="A43" s="2" t="s">
        <v>397</v>
      </c>
      <c r="B43" s="4">
        <v>0.452751666666667</v>
      </c>
      <c r="C43" s="4">
        <v>0.45256866666666701</v>
      </c>
      <c r="D43" s="4">
        <v>0.45229333333333299</v>
      </c>
      <c r="E43" s="4">
        <v>0.19358366666666699</v>
      </c>
      <c r="F43" s="4">
        <v>0.19351333333333301</v>
      </c>
      <c r="G43" s="4">
        <v>0.193398666666667</v>
      </c>
      <c r="H43" s="4">
        <v>0.21939033333333299</v>
      </c>
      <c r="I43" s="4">
        <v>0.21930833333333299</v>
      </c>
      <c r="J43" s="4">
        <v>0.21917300000000001</v>
      </c>
      <c r="O43" s="2" t="str">
        <f t="shared" si="0"/>
        <v>-0,48-0,00-0,30-0,00-0,22</v>
      </c>
      <c r="P43" s="6" t="str">
        <f t="shared" si="1"/>
        <v>-0,4</v>
      </c>
      <c r="Q43" s="6" t="str">
        <f t="shared" si="2"/>
        <v>-0,0</v>
      </c>
      <c r="R43" s="6" t="str">
        <f t="shared" si="3"/>
        <v>-0,3</v>
      </c>
      <c r="S43" s="6" t="str">
        <f t="shared" si="4"/>
        <v>-0,0</v>
      </c>
      <c r="T43" s="6" t="str">
        <f t="shared" si="5"/>
        <v>-0,2</v>
      </c>
      <c r="U43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44" spans="1:21" x14ac:dyDescent="0.3">
      <c r="A44" s="2" t="s">
        <v>399</v>
      </c>
      <c r="B44" s="4">
        <v>0.45265166666666701</v>
      </c>
      <c r="C44" s="4">
        <v>0.45246700000000001</v>
      </c>
      <c r="D44" s="4">
        <v>0.45219500000000001</v>
      </c>
      <c r="E44" s="4">
        <v>0.194526</v>
      </c>
      <c r="F44" s="4">
        <v>0.194462</v>
      </c>
      <c r="G44" s="4">
        <v>0.19434399999999999</v>
      </c>
      <c r="H44" s="4">
        <v>0.21970266666666699</v>
      </c>
      <c r="I44" s="4">
        <v>0.219641</v>
      </c>
      <c r="J44" s="4">
        <v>0.21949766666666701</v>
      </c>
      <c r="O44" s="2" t="str">
        <f t="shared" si="0"/>
        <v>-0,48-0,00-0,32-0,00-0,20</v>
      </c>
      <c r="P44" s="6" t="str">
        <f t="shared" si="1"/>
        <v>-0,4</v>
      </c>
      <c r="Q44" s="6" t="str">
        <f t="shared" si="2"/>
        <v>-0,0</v>
      </c>
      <c r="R44" s="6" t="str">
        <f t="shared" si="3"/>
        <v>-0,3</v>
      </c>
      <c r="S44" s="6" t="str">
        <f t="shared" si="4"/>
        <v>-0,0</v>
      </c>
      <c r="T44" s="6" t="str">
        <f t="shared" si="5"/>
        <v>-0,2</v>
      </c>
      <c r="U44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45" spans="1:21" x14ac:dyDescent="0.3">
      <c r="A45" s="2" t="s">
        <v>433</v>
      </c>
      <c r="B45" s="4">
        <v>0.45262366666666698</v>
      </c>
      <c r="C45" s="4">
        <v>0.45239633333333301</v>
      </c>
      <c r="D45" s="4">
        <v>0.45214466666666697</v>
      </c>
      <c r="E45" s="4">
        <v>0.19416966666666699</v>
      </c>
      <c r="F45" s="4">
        <v>0.194028333333333</v>
      </c>
      <c r="G45" s="4">
        <v>0.19395100000000001</v>
      </c>
      <c r="H45" s="4">
        <v>0.21965833333333301</v>
      </c>
      <c r="I45" s="4">
        <v>0.21950766666666699</v>
      </c>
      <c r="J45" s="4">
        <v>0.21940833333333301</v>
      </c>
      <c r="O45" s="2" t="str">
        <f t="shared" si="0"/>
        <v>-0,52-0,00-0,28-0,00-0,20</v>
      </c>
      <c r="P45" s="6" t="str">
        <f t="shared" si="1"/>
        <v>-0,5</v>
      </c>
      <c r="Q45" s="6" t="str">
        <f t="shared" si="2"/>
        <v>-0,0</v>
      </c>
      <c r="R45" s="6" t="str">
        <f t="shared" si="3"/>
        <v>-0,2</v>
      </c>
      <c r="S45" s="6" t="str">
        <f t="shared" si="4"/>
        <v>-0,0</v>
      </c>
      <c r="T45" s="6" t="str">
        <f t="shared" si="5"/>
        <v>-0,2</v>
      </c>
      <c r="U45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46" spans="1:21" x14ac:dyDescent="0.3">
      <c r="A46" s="2" t="s">
        <v>375</v>
      </c>
      <c r="B46" s="4">
        <v>0.45260033333333299</v>
      </c>
      <c r="C46" s="4">
        <v>0.45251033333333301</v>
      </c>
      <c r="D46" s="4">
        <v>0.45218566666666699</v>
      </c>
      <c r="E46" s="4">
        <v>0.193276</v>
      </c>
      <c r="F46" s="4">
        <v>0.19326299999999999</v>
      </c>
      <c r="G46" s="4">
        <v>0.19312133333333301</v>
      </c>
      <c r="H46" s="4">
        <v>0.219097666666667</v>
      </c>
      <c r="I46" s="4">
        <v>0.219066333333333</v>
      </c>
      <c r="J46" s="4">
        <v>0.21890499999999999</v>
      </c>
      <c r="O46" s="2" t="str">
        <f t="shared" si="0"/>
        <v>-0,50-0,00-0,28-0,00-0,22</v>
      </c>
      <c r="P46" s="6" t="str">
        <f t="shared" si="1"/>
        <v>-0,5</v>
      </c>
      <c r="Q46" s="6" t="str">
        <f t="shared" si="2"/>
        <v>-0,0</v>
      </c>
      <c r="R46" s="6" t="str">
        <f t="shared" si="3"/>
        <v>-0,2</v>
      </c>
      <c r="S46" s="6" t="str">
        <f t="shared" si="4"/>
        <v>-0,0</v>
      </c>
      <c r="T46" s="6" t="str">
        <f t="shared" si="5"/>
        <v>-0,2</v>
      </c>
      <c r="U4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47" spans="1:21" x14ac:dyDescent="0.3">
      <c r="A47" s="2" t="s">
        <v>402</v>
      </c>
      <c r="B47" s="4">
        <v>0.452502666666667</v>
      </c>
      <c r="C47" s="4">
        <v>0.45241166666666699</v>
      </c>
      <c r="D47" s="4">
        <v>0.45209433333333299</v>
      </c>
      <c r="E47" s="4">
        <v>0.19420433333333301</v>
      </c>
      <c r="F47" s="4">
        <v>0.19419266666666701</v>
      </c>
      <c r="G47" s="4">
        <v>0.19405</v>
      </c>
      <c r="H47" s="4">
        <v>0.21947966666666699</v>
      </c>
      <c r="I47" s="4">
        <v>0.219476333333333</v>
      </c>
      <c r="J47" s="4">
        <v>0.21930266666666701</v>
      </c>
      <c r="O47" s="2" t="str">
        <f t="shared" si="0"/>
        <v>-0,49-0,00-0,31-0,00-0,20</v>
      </c>
      <c r="P47" s="6" t="str">
        <f t="shared" si="1"/>
        <v>-0,4</v>
      </c>
      <c r="Q47" s="6" t="str">
        <f t="shared" si="2"/>
        <v>-0,0</v>
      </c>
      <c r="R47" s="6" t="str">
        <f t="shared" si="3"/>
        <v>-0,3</v>
      </c>
      <c r="S47" s="6" t="str">
        <f t="shared" si="4"/>
        <v>-0,0</v>
      </c>
      <c r="T47" s="6" t="str">
        <f t="shared" si="5"/>
        <v>-0,2</v>
      </c>
      <c r="U47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48" spans="1:21" x14ac:dyDescent="0.3">
      <c r="A48" s="2" t="s">
        <v>418</v>
      </c>
      <c r="B48" s="4">
        <v>0.45242866666666698</v>
      </c>
      <c r="C48" s="4">
        <v>0.45244299999999998</v>
      </c>
      <c r="D48" s="4">
        <v>0.45207266666666701</v>
      </c>
      <c r="E48" s="4">
        <v>0.19343399999999999</v>
      </c>
      <c r="F48" s="4">
        <v>0.19345166666666699</v>
      </c>
      <c r="G48" s="4">
        <v>0.193296</v>
      </c>
      <c r="H48" s="4">
        <v>0.21938433333333299</v>
      </c>
      <c r="I48" s="4">
        <v>0.219396333333333</v>
      </c>
      <c r="J48" s="4">
        <v>0.219215666666667</v>
      </c>
      <c r="O48" s="2" t="str">
        <f t="shared" si="0"/>
        <v>-0,52-0,00-0,28-0,00-0,20</v>
      </c>
      <c r="P48" s="6" t="str">
        <f t="shared" si="1"/>
        <v>-0,5</v>
      </c>
      <c r="Q48" s="6" t="str">
        <f t="shared" si="2"/>
        <v>-0,0</v>
      </c>
      <c r="R48" s="6" t="str">
        <f t="shared" si="3"/>
        <v>-0,2</v>
      </c>
      <c r="S48" s="6" t="str">
        <f t="shared" si="4"/>
        <v>-0,0</v>
      </c>
      <c r="T48" s="6" t="str">
        <f t="shared" si="5"/>
        <v>-0,2</v>
      </c>
      <c r="U48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49" spans="1:21" x14ac:dyDescent="0.3">
      <c r="A49" s="2" t="s">
        <v>326</v>
      </c>
      <c r="B49" s="4">
        <v>0.452268</v>
      </c>
      <c r="C49" s="4">
        <v>0.45234233333333301</v>
      </c>
      <c r="D49" s="4">
        <v>0.45193966666666702</v>
      </c>
      <c r="E49" s="4">
        <v>0.19470733333333301</v>
      </c>
      <c r="F49" s="4">
        <v>0.19476766666666701</v>
      </c>
      <c r="G49" s="4">
        <v>0.19458700000000001</v>
      </c>
      <c r="H49" s="4">
        <v>0.219673333333333</v>
      </c>
      <c r="I49" s="4">
        <v>0.21973833333333301</v>
      </c>
      <c r="J49" s="4">
        <v>0.21952933333333299</v>
      </c>
      <c r="O49" s="2" t="str">
        <f t="shared" si="0"/>
        <v>-0,52-0,00-0,30-0,00-0,18</v>
      </c>
      <c r="P49" s="6" t="str">
        <f t="shared" si="1"/>
        <v>-0,5</v>
      </c>
      <c r="Q49" s="6" t="str">
        <f t="shared" si="2"/>
        <v>-0,0</v>
      </c>
      <c r="R49" s="6" t="str">
        <f t="shared" si="3"/>
        <v>-0,3</v>
      </c>
      <c r="S49" s="6" t="str">
        <f t="shared" si="4"/>
        <v>-0,0</v>
      </c>
      <c r="T49" s="6" t="str">
        <f t="shared" si="5"/>
        <v>-0,1</v>
      </c>
      <c r="U49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50" spans="1:21" x14ac:dyDescent="0.3">
      <c r="A50" s="2" t="s">
        <v>403</v>
      </c>
      <c r="B50" s="4">
        <v>0.452139666666667</v>
      </c>
      <c r="C50" s="4">
        <v>0.452058666666667</v>
      </c>
      <c r="D50" s="4">
        <v>0.45173333333333299</v>
      </c>
      <c r="E50" s="4">
        <v>0.19420200000000001</v>
      </c>
      <c r="F50" s="4">
        <v>0.19418733333333299</v>
      </c>
      <c r="G50" s="4">
        <v>0.194044666666667</v>
      </c>
      <c r="H50" s="4">
        <v>0.21930533333333299</v>
      </c>
      <c r="I50" s="4">
        <v>0.21928800000000001</v>
      </c>
      <c r="J50" s="4">
        <v>0.21912066666666699</v>
      </c>
      <c r="O50" s="2" t="str">
        <f t="shared" si="0"/>
        <v>-0,49-0,00-0,32-0,00-0,19</v>
      </c>
      <c r="P50" s="6" t="str">
        <f t="shared" si="1"/>
        <v>-0,4</v>
      </c>
      <c r="Q50" s="6" t="str">
        <f t="shared" si="2"/>
        <v>-0,0</v>
      </c>
      <c r="R50" s="6" t="str">
        <f t="shared" si="3"/>
        <v>-0,3</v>
      </c>
      <c r="S50" s="6" t="str">
        <f t="shared" si="4"/>
        <v>-0,0</v>
      </c>
      <c r="T50" s="6" t="str">
        <f t="shared" si="5"/>
        <v>-0,1</v>
      </c>
      <c r="U50" s="2" t="str">
        <f t="shared" si="6"/>
        <v>&lt;Parametros&gt;&lt;Alfa&gt;-0,4&lt;/Alfa&gt;&lt;Beta&gt;-0,0&lt;/Beta&gt;&lt;Gamma&gt;-0,3&lt;/Gamma&gt;&lt;Delta&gt;-0,0&lt;/Delta&gt;&lt;Ro&gt;-0,1&lt;/Ro&gt;&lt;/Parametros&gt;</v>
      </c>
    </row>
    <row r="51" spans="1:21" x14ac:dyDescent="0.3">
      <c r="A51" s="2" t="s">
        <v>398</v>
      </c>
      <c r="B51" s="4">
        <v>0.45213366666666699</v>
      </c>
      <c r="C51" s="4">
        <v>0.45198300000000002</v>
      </c>
      <c r="D51" s="4">
        <v>0.45169466666666702</v>
      </c>
      <c r="E51" s="4">
        <v>0.19376933333333299</v>
      </c>
      <c r="F51" s="4">
        <v>0.19368666666666701</v>
      </c>
      <c r="G51" s="4">
        <v>0.193579</v>
      </c>
      <c r="H51" s="4">
        <v>0.21933433333333299</v>
      </c>
      <c r="I51" s="4">
        <v>0.219278</v>
      </c>
      <c r="J51" s="4">
        <v>0.21913133333333301</v>
      </c>
      <c r="O51" s="2" t="str">
        <f t="shared" si="0"/>
        <v>-0,48-0,00-0,31-0,00-0,21</v>
      </c>
      <c r="P51" s="6" t="str">
        <f t="shared" si="1"/>
        <v>-0,4</v>
      </c>
      <c r="Q51" s="6" t="str">
        <f t="shared" si="2"/>
        <v>-0,0</v>
      </c>
      <c r="R51" s="6" t="str">
        <f t="shared" si="3"/>
        <v>-0,3</v>
      </c>
      <c r="S51" s="6" t="str">
        <f t="shared" si="4"/>
        <v>-0,0</v>
      </c>
      <c r="T51" s="6" t="str">
        <f t="shared" si="5"/>
        <v>-0,2</v>
      </c>
      <c r="U51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52" spans="1:21" x14ac:dyDescent="0.3">
      <c r="A52" s="2" t="s">
        <v>324</v>
      </c>
      <c r="B52" s="4">
        <v>0.452015</v>
      </c>
      <c r="C52" s="4">
        <v>0.45177299999999998</v>
      </c>
      <c r="D52" s="4">
        <v>0.45152700000000001</v>
      </c>
      <c r="E52" s="4">
        <v>0.193181666666667</v>
      </c>
      <c r="F52" s="4">
        <v>0.19307466666666701</v>
      </c>
      <c r="G52" s="4">
        <v>0.19298000000000001</v>
      </c>
      <c r="H52" s="4">
        <v>0.21891633333333299</v>
      </c>
      <c r="I52" s="4">
        <v>0.21880233333333299</v>
      </c>
      <c r="J52" s="4">
        <v>0.21868299999999999</v>
      </c>
      <c r="O52" s="2" t="str">
        <f t="shared" si="0"/>
        <v>-0,48-0,00-0,30-0,00-0,22</v>
      </c>
      <c r="P52" s="6" t="str">
        <f t="shared" si="1"/>
        <v>-0,4</v>
      </c>
      <c r="Q52" s="6" t="str">
        <f t="shared" si="2"/>
        <v>-0,0</v>
      </c>
      <c r="R52" s="6" t="str">
        <f t="shared" si="3"/>
        <v>-0,3</v>
      </c>
      <c r="S52" s="6" t="str">
        <f t="shared" si="4"/>
        <v>-0,0</v>
      </c>
      <c r="T52" s="6" t="str">
        <f t="shared" si="5"/>
        <v>-0,2</v>
      </c>
      <c r="U52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53" spans="1:21" x14ac:dyDescent="0.3">
      <c r="A53" s="2" t="s">
        <v>407</v>
      </c>
      <c r="B53" s="4">
        <v>0.45190200000000003</v>
      </c>
      <c r="C53" s="4">
        <v>0.45178566666666697</v>
      </c>
      <c r="D53" s="4">
        <v>0.45147933333333301</v>
      </c>
      <c r="E53" s="4">
        <v>0.194187</v>
      </c>
      <c r="F53" s="4">
        <v>0.19417366666666699</v>
      </c>
      <c r="G53" s="4">
        <v>0.194031333333333</v>
      </c>
      <c r="H53" s="4">
        <v>0.21938299999999999</v>
      </c>
      <c r="I53" s="4">
        <v>0.21935733333333299</v>
      </c>
      <c r="J53" s="4">
        <v>0.21919533333333299</v>
      </c>
      <c r="K53" s="8"/>
      <c r="L53" s="8"/>
      <c r="M53" s="8"/>
      <c r="O53" s="2" t="str">
        <f t="shared" si="0"/>
        <v>-0,50-0,00-0,31-0,00-0,19</v>
      </c>
      <c r="P53" s="6" t="str">
        <f t="shared" si="1"/>
        <v>-0,5</v>
      </c>
      <c r="Q53" s="6" t="str">
        <f t="shared" si="2"/>
        <v>-0,0</v>
      </c>
      <c r="R53" s="6" t="str">
        <f t="shared" si="3"/>
        <v>-0,3</v>
      </c>
      <c r="S53" s="6" t="str">
        <f t="shared" si="4"/>
        <v>-0,0</v>
      </c>
      <c r="T53" s="6" t="str">
        <f t="shared" si="5"/>
        <v>-0,1</v>
      </c>
      <c r="U53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54" spans="1:21" x14ac:dyDescent="0.3">
      <c r="A54" s="2" t="s">
        <v>325</v>
      </c>
      <c r="B54" s="4">
        <v>0.451899</v>
      </c>
      <c r="C54" s="4">
        <v>0.45161600000000002</v>
      </c>
      <c r="D54" s="4">
        <v>0.45139299999999999</v>
      </c>
      <c r="E54" s="4">
        <v>0.193547</v>
      </c>
      <c r="F54" s="4">
        <v>0.19343433333333299</v>
      </c>
      <c r="G54" s="4">
        <v>0.193341333333333</v>
      </c>
      <c r="H54" s="4">
        <v>0.21905366666666701</v>
      </c>
      <c r="I54" s="4">
        <v>0.21892866666666699</v>
      </c>
      <c r="J54" s="4">
        <v>0.21881566666666699</v>
      </c>
      <c r="O54" s="2" t="str">
        <f t="shared" si="0"/>
        <v>-0,48-0,00-0,32-0,00-0,20</v>
      </c>
      <c r="P54" s="6" t="str">
        <f t="shared" si="1"/>
        <v>-0,4</v>
      </c>
      <c r="Q54" s="6" t="str">
        <f t="shared" si="2"/>
        <v>-0,0</v>
      </c>
      <c r="R54" s="6" t="str">
        <f t="shared" si="3"/>
        <v>-0,3</v>
      </c>
      <c r="S54" s="6" t="str">
        <f t="shared" si="4"/>
        <v>-0,0</v>
      </c>
      <c r="T54" s="6" t="str">
        <f t="shared" si="5"/>
        <v>-0,2</v>
      </c>
      <c r="U54" s="2" t="str">
        <f t="shared" si="6"/>
        <v>&lt;Parametros&gt;&lt;Alfa&gt;-0,4&lt;/Alfa&gt;&lt;Beta&gt;-0,0&lt;/Beta&gt;&lt;Gamma&gt;-0,3&lt;/Gamma&gt;&lt;Delta&gt;-0,0&lt;/Delta&gt;&lt;Ro&gt;-0,2&lt;/Ro&gt;&lt;/Parametros&gt;</v>
      </c>
    </row>
    <row r="55" spans="1:21" x14ac:dyDescent="0.3">
      <c r="A55" s="2" t="s">
        <v>412</v>
      </c>
      <c r="B55" s="4">
        <v>0.45181966666666701</v>
      </c>
      <c r="C55" s="4">
        <v>0.45179033333333302</v>
      </c>
      <c r="D55" s="4">
        <v>0.45144400000000001</v>
      </c>
      <c r="E55" s="4">
        <v>0.19434199999999999</v>
      </c>
      <c r="F55" s="4">
        <v>0.19432133333333301</v>
      </c>
      <c r="G55" s="4">
        <v>0.194182666666667</v>
      </c>
      <c r="H55" s="4">
        <v>0.21938199999999999</v>
      </c>
      <c r="I55" s="4">
        <v>0.219378666666667</v>
      </c>
      <c r="J55" s="4">
        <v>0.219206333333333</v>
      </c>
      <c r="O55" s="2" t="str">
        <f t="shared" si="0"/>
        <v>-0,51-0,00-0,31-0,00-0,18</v>
      </c>
      <c r="P55" s="6" t="str">
        <f t="shared" si="1"/>
        <v>-0,5</v>
      </c>
      <c r="Q55" s="6" t="str">
        <f t="shared" si="2"/>
        <v>-0,0</v>
      </c>
      <c r="R55" s="6" t="str">
        <f t="shared" si="3"/>
        <v>-0,3</v>
      </c>
      <c r="S55" s="6" t="str">
        <f t="shared" si="4"/>
        <v>-0,0</v>
      </c>
      <c r="T55" s="6" t="str">
        <f t="shared" si="5"/>
        <v>-0,1</v>
      </c>
      <c r="U55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56" spans="1:21" x14ac:dyDescent="0.3">
      <c r="A56" s="2" t="s">
        <v>445</v>
      </c>
      <c r="B56" s="4">
        <v>0.45169266666666702</v>
      </c>
      <c r="C56" s="4">
        <v>0.45136333333333301</v>
      </c>
      <c r="D56" s="4">
        <v>0.45116133333333303</v>
      </c>
      <c r="E56" s="4">
        <v>0.193251333333333</v>
      </c>
      <c r="F56" s="4">
        <v>0.19309299999999999</v>
      </c>
      <c r="G56" s="4">
        <v>0.193023</v>
      </c>
      <c r="H56" s="4">
        <v>0.218794666666667</v>
      </c>
      <c r="I56" s="4">
        <v>0.21859833333333301</v>
      </c>
      <c r="J56" s="4">
        <v>0.21852033333333301</v>
      </c>
      <c r="O56" s="2" t="str">
        <f t="shared" si="0"/>
        <v>-0,52-0,00-0,28-0,00-0,20</v>
      </c>
      <c r="P56" s="6" t="str">
        <f t="shared" si="1"/>
        <v>-0,5</v>
      </c>
      <c r="Q56" s="6" t="str">
        <f t="shared" si="2"/>
        <v>-0,0</v>
      </c>
      <c r="R56" s="6" t="str">
        <f t="shared" si="3"/>
        <v>-0,2</v>
      </c>
      <c r="S56" s="6" t="str">
        <f t="shared" si="4"/>
        <v>-0,0</v>
      </c>
      <c r="T56" s="6" t="str">
        <f t="shared" si="5"/>
        <v>-0,2</v>
      </c>
      <c r="U56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57" spans="1:21" x14ac:dyDescent="0.3">
      <c r="A57" s="2" t="s">
        <v>442</v>
      </c>
      <c r="B57" s="4">
        <v>0.45164433333333298</v>
      </c>
      <c r="C57" s="4">
        <v>0.45145633333333302</v>
      </c>
      <c r="D57" s="4">
        <v>0.45118433333333302</v>
      </c>
      <c r="E57" s="4">
        <v>0.19347300000000001</v>
      </c>
      <c r="F57" s="4">
        <v>0.193383</v>
      </c>
      <c r="G57" s="4">
        <v>0.19328000000000001</v>
      </c>
      <c r="H57" s="4">
        <v>0.21894266666666701</v>
      </c>
      <c r="I57" s="4">
        <v>0.21882966666666701</v>
      </c>
      <c r="J57" s="4">
        <v>0.21870933333333301</v>
      </c>
      <c r="O57" s="2" t="str">
        <f t="shared" si="0"/>
        <v>-0,52-0,00-0,28-0,00-0,20</v>
      </c>
      <c r="P57" s="6" t="str">
        <f t="shared" si="1"/>
        <v>-0,5</v>
      </c>
      <c r="Q57" s="6" t="str">
        <f t="shared" si="2"/>
        <v>-0,0</v>
      </c>
      <c r="R57" s="6" t="str">
        <f t="shared" si="3"/>
        <v>-0,2</v>
      </c>
      <c r="S57" s="6" t="str">
        <f t="shared" si="4"/>
        <v>-0,0</v>
      </c>
      <c r="T57" s="6" t="str">
        <f t="shared" si="5"/>
        <v>-0,2</v>
      </c>
      <c r="U57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58" spans="1:21" x14ac:dyDescent="0.3">
      <c r="A58" s="2" t="s">
        <v>368</v>
      </c>
      <c r="B58" s="4">
        <v>0.45151833333333302</v>
      </c>
      <c r="C58" s="4">
        <v>0.45181033333333298</v>
      </c>
      <c r="D58" s="4">
        <v>0.45130199999999998</v>
      </c>
      <c r="E58" s="3">
        <v>0.19675200000000001</v>
      </c>
      <c r="F58" s="4">
        <v>0.19688666666666699</v>
      </c>
      <c r="G58" s="4">
        <v>0.19667166666666699</v>
      </c>
      <c r="H58" s="4">
        <v>0.220631666666667</v>
      </c>
      <c r="I58" s="4">
        <v>0.22082433333333301</v>
      </c>
      <c r="J58" s="4">
        <v>0.22055366666666701</v>
      </c>
      <c r="K58" s="7"/>
      <c r="L58" s="7"/>
      <c r="M58" s="7"/>
      <c r="O58" s="2" t="str">
        <f t="shared" si="0"/>
        <v>-0,70-0,00-0,20-0,00-0,10</v>
      </c>
      <c r="P58" s="6" t="str">
        <f t="shared" si="1"/>
        <v>-0,7</v>
      </c>
      <c r="Q58" s="6" t="str">
        <f t="shared" si="2"/>
        <v>-0,0</v>
      </c>
      <c r="R58" s="6" t="str">
        <f t="shared" si="3"/>
        <v>-0,2</v>
      </c>
      <c r="S58" s="6" t="str">
        <f t="shared" si="4"/>
        <v>-0,0</v>
      </c>
      <c r="T58" s="6" t="str">
        <f t="shared" si="5"/>
        <v>-0,1</v>
      </c>
      <c r="U58" s="2" t="str">
        <f t="shared" si="6"/>
        <v>&lt;Parametros&gt;&lt;Alfa&gt;-0,7&lt;/Alfa&gt;&lt;Beta&gt;-0,0&lt;/Beta&gt;&lt;Gamma&gt;-0,2&lt;/Gamma&gt;&lt;Delta&gt;-0,0&lt;/Delta&gt;&lt;Ro&gt;-0,1&lt;/Ro&gt;&lt;/Parametros&gt;</v>
      </c>
    </row>
    <row r="59" spans="1:21" x14ac:dyDescent="0.3">
      <c r="A59" s="2" t="s">
        <v>415</v>
      </c>
      <c r="B59" s="4">
        <v>0.45146966666666699</v>
      </c>
      <c r="C59" s="4">
        <v>0.45148266666666698</v>
      </c>
      <c r="D59" s="4">
        <v>0.45111366666666702</v>
      </c>
      <c r="E59" s="4">
        <v>0.193980666666667</v>
      </c>
      <c r="F59" s="4">
        <v>0.19398399999999999</v>
      </c>
      <c r="G59" s="4">
        <v>0.193833333333333</v>
      </c>
      <c r="H59" s="4">
        <v>0.21898466666666699</v>
      </c>
      <c r="I59" s="4">
        <v>0.21899433333333301</v>
      </c>
      <c r="J59" s="4">
        <v>0.21881600000000001</v>
      </c>
      <c r="K59" s="7"/>
      <c r="L59" s="7"/>
      <c r="M59" s="7"/>
      <c r="O59" s="2" t="str">
        <f t="shared" si="0"/>
        <v>-0,52-0,00-0,30-0,00-0,18</v>
      </c>
      <c r="P59" s="6" t="str">
        <f t="shared" si="1"/>
        <v>-0,5</v>
      </c>
      <c r="Q59" s="6" t="str">
        <f t="shared" si="2"/>
        <v>-0,0</v>
      </c>
      <c r="R59" s="6" t="str">
        <f t="shared" si="3"/>
        <v>-0,3</v>
      </c>
      <c r="S59" s="6" t="str">
        <f t="shared" si="4"/>
        <v>-0,0</v>
      </c>
      <c r="T59" s="6" t="str">
        <f t="shared" si="5"/>
        <v>-0,1</v>
      </c>
      <c r="U59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60" spans="1:21" x14ac:dyDescent="0.3">
      <c r="A60" s="2" t="s">
        <v>408</v>
      </c>
      <c r="B60" s="4">
        <v>0.45136833333333298</v>
      </c>
      <c r="C60" s="4">
        <v>0.45137033333333298</v>
      </c>
      <c r="D60" s="4">
        <v>0.45100533333333298</v>
      </c>
      <c r="E60" s="4">
        <v>0.193863333333333</v>
      </c>
      <c r="F60" s="4">
        <v>0.19387099999999999</v>
      </c>
      <c r="G60" s="4">
        <v>0.19371866666666701</v>
      </c>
      <c r="H60" s="4">
        <v>0.21906933333333301</v>
      </c>
      <c r="I60" s="4">
        <v>0.21908</v>
      </c>
      <c r="J60" s="4">
        <v>0.218899333333333</v>
      </c>
      <c r="O60" s="2" t="str">
        <f t="shared" si="0"/>
        <v>-0,50-0,00-0,32-0,00-0,18</v>
      </c>
      <c r="P60" s="6" t="str">
        <f t="shared" si="1"/>
        <v>-0,5</v>
      </c>
      <c r="Q60" s="6" t="str">
        <f t="shared" si="2"/>
        <v>-0,0</v>
      </c>
      <c r="R60" s="6" t="str">
        <f t="shared" si="3"/>
        <v>-0,3</v>
      </c>
      <c r="S60" s="6" t="str">
        <f t="shared" si="4"/>
        <v>-0,0</v>
      </c>
      <c r="T60" s="6" t="str">
        <f t="shared" si="5"/>
        <v>-0,1</v>
      </c>
      <c r="U60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61" spans="1:21" x14ac:dyDescent="0.3">
      <c r="A61" s="2" t="s">
        <v>323</v>
      </c>
      <c r="B61" s="4">
        <v>0.45116066666666699</v>
      </c>
      <c r="C61" s="4">
        <v>0.45116200000000001</v>
      </c>
      <c r="D61" s="4">
        <v>0.45079866666666701</v>
      </c>
      <c r="E61" s="4">
        <v>0.193333333333333</v>
      </c>
      <c r="F61" s="4">
        <v>0.19334899999999999</v>
      </c>
      <c r="G61" s="4">
        <v>0.19319266666666701</v>
      </c>
      <c r="H61" s="4">
        <v>0.21875900000000001</v>
      </c>
      <c r="I61" s="4">
        <v>0.21877566666666701</v>
      </c>
      <c r="J61" s="4">
        <v>0.21859300000000001</v>
      </c>
      <c r="O61" s="2" t="str">
        <f t="shared" si="0"/>
        <v>-0,50-0,00-0,32-0,00-0,18</v>
      </c>
      <c r="P61" s="6" t="str">
        <f t="shared" si="1"/>
        <v>-0,5</v>
      </c>
      <c r="Q61" s="6" t="str">
        <f t="shared" si="2"/>
        <v>-0,0</v>
      </c>
      <c r="R61" s="6" t="str">
        <f t="shared" si="3"/>
        <v>-0,3</v>
      </c>
      <c r="S61" s="6" t="str">
        <f t="shared" si="4"/>
        <v>-0,0</v>
      </c>
      <c r="T61" s="6" t="str">
        <f t="shared" si="5"/>
        <v>-0,1</v>
      </c>
      <c r="U61" s="2" t="str">
        <f t="shared" si="6"/>
        <v>&lt;Parametros&gt;&lt;Alfa&gt;-0,5&lt;/Alfa&gt;&lt;Beta&gt;-0,0&lt;/Beta&gt;&lt;Gamma&gt;-0,3&lt;/Gamma&gt;&lt;Delta&gt;-0,0&lt;/Delta&gt;&lt;Ro&gt;-0,1&lt;/Ro&gt;&lt;/Parametros&gt;</v>
      </c>
    </row>
    <row r="62" spans="1:21" x14ac:dyDescent="0.3">
      <c r="A62" s="2" t="s">
        <v>367</v>
      </c>
      <c r="B62" s="4">
        <v>0.45095800000000003</v>
      </c>
      <c r="C62" s="4">
        <v>0.450799333333333</v>
      </c>
      <c r="D62" s="4">
        <v>0.45051733333333299</v>
      </c>
      <c r="E62" s="4">
        <v>0.191342333333333</v>
      </c>
      <c r="F62" s="4">
        <v>0.191441</v>
      </c>
      <c r="G62" s="4">
        <v>0.19125300000000001</v>
      </c>
      <c r="H62" s="4">
        <v>0.217344333333333</v>
      </c>
      <c r="I62" s="4">
        <v>0.217357666666667</v>
      </c>
      <c r="J62" s="4">
        <v>0.21717966666666699</v>
      </c>
      <c r="O62" s="2" t="str">
        <f t="shared" si="0"/>
        <v>-0,70-0,00-0,10-0,00-0,20</v>
      </c>
      <c r="P62" s="6" t="str">
        <f t="shared" si="1"/>
        <v>-0,7</v>
      </c>
      <c r="Q62" s="6" t="str">
        <f t="shared" si="2"/>
        <v>-0,0</v>
      </c>
      <c r="R62" s="6" t="str">
        <f t="shared" si="3"/>
        <v>-0,1</v>
      </c>
      <c r="S62" s="6" t="str">
        <f t="shared" si="4"/>
        <v>-0,0</v>
      </c>
      <c r="T62" s="6" t="str">
        <f t="shared" si="5"/>
        <v>-0,2</v>
      </c>
      <c r="U62" s="2" t="str">
        <f t="shared" si="6"/>
        <v>&lt;Parametros&gt;&lt;Alfa&gt;-0,7&lt;/Alfa&gt;&lt;Beta&gt;-0,0&lt;/Beta&gt;&lt;Gamma&gt;-0,1&lt;/Gamma&gt;&lt;Delta&gt;-0,0&lt;/Delta&gt;&lt;Ro&gt;-0,2&lt;/Ro&gt;&lt;/Parametros&gt;</v>
      </c>
    </row>
    <row r="63" spans="1:21" x14ac:dyDescent="0.3">
      <c r="A63" s="2" t="s">
        <v>369</v>
      </c>
      <c r="B63" s="4">
        <v>0.45059066666666697</v>
      </c>
      <c r="C63" s="4">
        <v>0.450645666666667</v>
      </c>
      <c r="D63" s="4">
        <v>0.45025399999999999</v>
      </c>
      <c r="E63" s="4">
        <v>0.194061333333333</v>
      </c>
      <c r="F63" s="4">
        <v>0.194067666666667</v>
      </c>
      <c r="G63" s="4">
        <v>0.193917333333333</v>
      </c>
      <c r="H63" s="4">
        <v>0.21861066666666701</v>
      </c>
      <c r="I63" s="4">
        <v>0.21865799999999999</v>
      </c>
      <c r="J63" s="4">
        <v>0.218458666666667</v>
      </c>
      <c r="K63" s="7"/>
      <c r="L63" s="7"/>
      <c r="M63" s="7"/>
      <c r="O63" s="2" t="str">
        <f t="shared" si="0"/>
        <v>-0,80-0,00-0,10-0,00-0,10</v>
      </c>
      <c r="P63" s="6" t="str">
        <f t="shared" si="1"/>
        <v>-0,8</v>
      </c>
      <c r="Q63" s="6" t="str">
        <f t="shared" si="2"/>
        <v>-0,0</v>
      </c>
      <c r="R63" s="6" t="str">
        <f t="shared" si="3"/>
        <v>-0,1</v>
      </c>
      <c r="S63" s="6" t="str">
        <f t="shared" si="4"/>
        <v>-0,0</v>
      </c>
      <c r="T63" s="6" t="str">
        <f t="shared" si="5"/>
        <v>-0,1</v>
      </c>
      <c r="U63" s="2" t="str">
        <f t="shared" si="6"/>
        <v>&lt;Parametros&gt;&lt;Alfa&gt;-0,8&lt;/Alfa&gt;&lt;Beta&gt;-0,0&lt;/Beta&gt;&lt;Gamma&gt;-0,1&lt;/Gamma&gt;&lt;Delta&gt;-0,0&lt;/Delta&gt;&lt;Ro&gt;-0,1&lt;/Ro&gt;&lt;/Parametros&gt;</v>
      </c>
    </row>
    <row r="64" spans="1:21" x14ac:dyDescent="0.3">
      <c r="A64" s="2" t="s">
        <v>448</v>
      </c>
      <c r="B64" s="4">
        <v>0.45013766666666699</v>
      </c>
      <c r="C64" s="4">
        <v>0.44984866666666701</v>
      </c>
      <c r="D64" s="4">
        <v>0.44962566666666698</v>
      </c>
      <c r="E64" s="4">
        <v>0.191774</v>
      </c>
      <c r="F64" s="4">
        <v>0.19166433333333299</v>
      </c>
      <c r="G64" s="4">
        <v>0.19156999999999999</v>
      </c>
      <c r="H64" s="4">
        <v>0.217557</v>
      </c>
      <c r="I64" s="4">
        <v>0.21740200000000001</v>
      </c>
      <c r="J64" s="4">
        <v>0.21730233333333299</v>
      </c>
      <c r="O64" s="2" t="str">
        <f t="shared" si="0"/>
        <v>-0,52-0,00-0,28-0,00-0,20</v>
      </c>
      <c r="P64" s="6" t="str">
        <f t="shared" si="1"/>
        <v>-0,5</v>
      </c>
      <c r="Q64" s="6" t="str">
        <f t="shared" si="2"/>
        <v>-0,0</v>
      </c>
      <c r="R64" s="6" t="str">
        <f t="shared" si="3"/>
        <v>-0,2</v>
      </c>
      <c r="S64" s="6" t="str">
        <f t="shared" si="4"/>
        <v>-0,0</v>
      </c>
      <c r="T64" s="6" t="str">
        <f t="shared" si="5"/>
        <v>-0,2</v>
      </c>
      <c r="U64" s="2" t="str">
        <f t="shared" si="6"/>
        <v>&lt;Parametros&gt;&lt;Alfa&gt;-0,5&lt;/Alfa&gt;&lt;Beta&gt;-0,0&lt;/Beta&gt;&lt;Gamma&gt;-0,2&lt;/Gamma&gt;&lt;Delta&gt;-0,0&lt;/Delta&gt;&lt;Ro&gt;-0,2&lt;/Ro&gt;&lt;/Parametros&gt;</v>
      </c>
    </row>
    <row r="65" spans="1:21" x14ac:dyDescent="0.3">
      <c r="A65" s="2" t="s">
        <v>358</v>
      </c>
      <c r="B65" s="4">
        <v>0.44771</v>
      </c>
      <c r="C65" s="4">
        <v>0.44782699999999998</v>
      </c>
      <c r="D65" s="4">
        <v>0.44741233333333302</v>
      </c>
      <c r="E65" s="4">
        <v>0.19043299999999999</v>
      </c>
      <c r="F65" s="4">
        <v>0.19038533333333299</v>
      </c>
      <c r="G65" s="4">
        <v>0.19026799999999999</v>
      </c>
      <c r="H65" s="4">
        <v>0.21616099999999999</v>
      </c>
      <c r="I65" s="4">
        <v>0.216157666666667</v>
      </c>
      <c r="J65" s="4">
        <v>0.215991666666667</v>
      </c>
      <c r="O65" s="2" t="str">
        <f t="shared" si="0"/>
        <v>-0,40-0,00-0,40-0,00-0,20</v>
      </c>
      <c r="P65" s="6" t="str">
        <f t="shared" si="1"/>
        <v>-0,4</v>
      </c>
      <c r="Q65" s="6" t="str">
        <f t="shared" si="2"/>
        <v>-0,0</v>
      </c>
      <c r="R65" s="6" t="str">
        <f t="shared" si="3"/>
        <v>-0,4</v>
      </c>
      <c r="S65" s="6" t="str">
        <f t="shared" si="4"/>
        <v>-0,0</v>
      </c>
      <c r="T65" s="6" t="str">
        <f t="shared" si="5"/>
        <v>-0,2</v>
      </c>
      <c r="U65" s="2" t="str">
        <f t="shared" si="6"/>
        <v>&lt;Parametros&gt;&lt;Alfa&gt;-0,4&lt;/Alfa&gt;&lt;Beta&gt;-0,0&lt;/Beta&gt;&lt;Gamma&gt;-0,4&lt;/Gamma&gt;&lt;Delta&gt;-0,0&lt;/Delta&gt;&lt;Ro&gt;-0,2&lt;/Ro&gt;&lt;/Parametros&gt;</v>
      </c>
    </row>
    <row r="66" spans="1:21" x14ac:dyDescent="0.3">
      <c r="A66" s="2" t="s">
        <v>366</v>
      </c>
      <c r="B66" s="4">
        <v>0.44669799999999998</v>
      </c>
      <c r="C66" s="4">
        <v>0.44705566666666702</v>
      </c>
      <c r="D66" s="4">
        <v>0.44651566666666698</v>
      </c>
      <c r="E66" s="4">
        <v>0.19072133333333299</v>
      </c>
      <c r="F66" s="4">
        <v>0.19081066666666699</v>
      </c>
      <c r="G66" s="4">
        <v>0.19062066666666699</v>
      </c>
      <c r="H66" s="4">
        <v>0.21550266666666701</v>
      </c>
      <c r="I66" s="4">
        <v>0.21562266666666699</v>
      </c>
      <c r="J66" s="4">
        <v>0.21539133333333299</v>
      </c>
      <c r="O66" s="2" t="str">
        <f t="shared" si="0"/>
        <v>-0,60-0,00-0,30-0,00-0,10</v>
      </c>
      <c r="P66" s="6" t="str">
        <f t="shared" si="1"/>
        <v>-0,6</v>
      </c>
      <c r="Q66" s="6" t="str">
        <f t="shared" si="2"/>
        <v>-0,0</v>
      </c>
      <c r="R66" s="6" t="str">
        <f t="shared" si="3"/>
        <v>-0,3</v>
      </c>
      <c r="S66" s="6" t="str">
        <f t="shared" si="4"/>
        <v>-0,0</v>
      </c>
      <c r="T66" s="6" t="str">
        <f t="shared" si="5"/>
        <v>-0,1</v>
      </c>
      <c r="U66" s="2" t="str">
        <f t="shared" si="6"/>
        <v>&lt;Parametros&gt;&lt;Alfa&gt;-0,6&lt;/Alfa&gt;&lt;Beta&gt;-0,0&lt;/Beta&gt;&lt;Gamma&gt;-0,3&lt;/Gamma&gt;&lt;Delta&gt;-0,0&lt;/Delta&gt;&lt;Ro&gt;-0,1&lt;/Ro&gt;&lt;/Parametros&gt;</v>
      </c>
    </row>
    <row r="67" spans="1:21" x14ac:dyDescent="0.3">
      <c r="A67" s="2" t="s">
        <v>352</v>
      </c>
      <c r="B67" s="4">
        <v>0.44497500000000001</v>
      </c>
      <c r="C67" s="4">
        <v>0.44508666666666702</v>
      </c>
      <c r="D67" s="4">
        <v>0.44467066666666699</v>
      </c>
      <c r="E67" s="4">
        <v>0.18488333333333301</v>
      </c>
      <c r="F67" s="4">
        <v>0.18512300000000001</v>
      </c>
      <c r="G67" s="4">
        <v>0.184865</v>
      </c>
      <c r="H67" s="4">
        <v>0.212071333333333</v>
      </c>
      <c r="I67" s="4">
        <v>0.21223366666666699</v>
      </c>
      <c r="J67" s="4">
        <v>0.211982333333333</v>
      </c>
      <c r="O67" s="2" t="str">
        <f t="shared" ref="O67:O130" si="7">SUBSTITUTE(MID(A67,53,FIND("GBHS",A67)-54), ".", ",")</f>
        <v>-0,30-0,00-0,40-0,00-0,30</v>
      </c>
      <c r="P67" s="6" t="str">
        <f t="shared" ref="P67:P130" si="8">MID(O67,1,4)</f>
        <v>-0,3</v>
      </c>
      <c r="Q67" s="6" t="str">
        <f t="shared" ref="Q67:Q130" si="9">MID(O67,6,4)</f>
        <v>-0,0</v>
      </c>
      <c r="R67" s="6" t="str">
        <f t="shared" ref="R67:R130" si="10">MID(O67,11,4)</f>
        <v>-0,4</v>
      </c>
      <c r="S67" s="6" t="str">
        <f t="shared" ref="S67:S130" si="11">MID(O67,16,4)</f>
        <v>-0,0</v>
      </c>
      <c r="T67" s="6" t="str">
        <f t="shared" ref="T67:T130" si="12">MID(O67,21,4)</f>
        <v>-0,3</v>
      </c>
      <c r="U67" s="2" t="str">
        <f t="shared" ref="U67:U130" si="13">SUBSTITUTE(CONCATENATE("&lt;Parametros&gt;","&lt;Alfa&gt;",P67,"&lt;/Alfa&gt;","&lt;Beta&gt;",Q67,"&lt;/Beta&gt;","&lt;Gamma&gt;",R67,"&lt;/Gamma&gt;","&lt;Delta&gt;",S67,"&lt;/Delta&gt;","&lt;Ro&gt;",T67,"&lt;/Ro&gt;","&lt;/Parametros&gt;"),",",",")</f>
        <v>&lt;Parametros&gt;&lt;Alfa&gt;-0,3&lt;/Alfa&gt;&lt;Beta&gt;-0,0&lt;/Beta&gt;&lt;Gamma&gt;-0,4&lt;/Gamma&gt;&lt;Delta&gt;-0,0&lt;/Delta&gt;&lt;Ro&gt;-0,3&lt;/Ro&gt;&lt;/Parametros&gt;</v>
      </c>
    </row>
    <row r="68" spans="1:21" x14ac:dyDescent="0.3">
      <c r="A68" s="2" t="s">
        <v>328</v>
      </c>
      <c r="B68" s="4">
        <v>0.44423333333333298</v>
      </c>
      <c r="C68" s="4">
        <v>0.444168333333333</v>
      </c>
      <c r="D68" s="4">
        <v>0.44384400000000002</v>
      </c>
      <c r="E68" s="4">
        <v>0.182493666666667</v>
      </c>
      <c r="F68" s="4">
        <v>0.18259166666666701</v>
      </c>
      <c r="G68" s="4">
        <v>0.182407333333333</v>
      </c>
      <c r="H68" s="4">
        <v>0.20995566666666701</v>
      </c>
      <c r="I68" s="4">
        <v>0.20997199999999999</v>
      </c>
      <c r="J68" s="4">
        <v>0.209797333333333</v>
      </c>
      <c r="O68" s="2" t="str">
        <f t="shared" si="7"/>
        <v>-0,40-0,00-0,30-0,00-0,30</v>
      </c>
      <c r="P68" s="6" t="str">
        <f t="shared" si="8"/>
        <v>-0,4</v>
      </c>
      <c r="Q68" s="6" t="str">
        <f t="shared" si="9"/>
        <v>-0,0</v>
      </c>
      <c r="R68" s="6" t="str">
        <f t="shared" si="10"/>
        <v>-0,3</v>
      </c>
      <c r="S68" s="6" t="str">
        <f t="shared" si="11"/>
        <v>-0,0</v>
      </c>
      <c r="T68" s="6" t="str">
        <f t="shared" si="12"/>
        <v>-0,3</v>
      </c>
      <c r="U68" s="2" t="str">
        <f t="shared" si="13"/>
        <v>&lt;Parametros&gt;&lt;Alfa&gt;-0,4&lt;/Alfa&gt;&lt;Beta&gt;-0,0&lt;/Beta&gt;&lt;Gamma&gt;-0,3&lt;/Gamma&gt;&lt;Delta&gt;-0,0&lt;/Delta&gt;&lt;Ro&gt;-0,3&lt;/Ro&gt;&lt;/Parametros&gt;</v>
      </c>
    </row>
    <row r="69" spans="1:21" x14ac:dyDescent="0.3">
      <c r="A69" s="2" t="s">
        <v>357</v>
      </c>
      <c r="B69" s="4">
        <v>0.44368366666666698</v>
      </c>
      <c r="C69" s="4">
        <v>0.44351966666666698</v>
      </c>
      <c r="D69" s="4">
        <v>0.44324266666666701</v>
      </c>
      <c r="E69" s="4">
        <v>0.18226000000000001</v>
      </c>
      <c r="F69" s="4">
        <v>0.182315</v>
      </c>
      <c r="G69" s="4">
        <v>0.18215466666666699</v>
      </c>
      <c r="H69" s="4">
        <v>0.20972233333333301</v>
      </c>
      <c r="I69" s="4">
        <v>0.20967033333333299</v>
      </c>
      <c r="J69" s="4">
        <v>0.20952833333333301</v>
      </c>
      <c r="O69" s="2" t="str">
        <f t="shared" si="7"/>
        <v>-0,40-0,00-0,30-0,00-0,30</v>
      </c>
      <c r="P69" s="6" t="str">
        <f t="shared" si="8"/>
        <v>-0,4</v>
      </c>
      <c r="Q69" s="6" t="str">
        <f t="shared" si="9"/>
        <v>-0,0</v>
      </c>
      <c r="R69" s="6" t="str">
        <f t="shared" si="10"/>
        <v>-0,3</v>
      </c>
      <c r="S69" s="6" t="str">
        <f t="shared" si="11"/>
        <v>-0,0</v>
      </c>
      <c r="T69" s="6" t="str">
        <f t="shared" si="12"/>
        <v>-0,3</v>
      </c>
      <c r="U69" s="2" t="str">
        <f t="shared" si="13"/>
        <v>&lt;Parametros&gt;&lt;Alfa&gt;-0,4&lt;/Alfa&gt;&lt;Beta&gt;-0,0&lt;/Beta&gt;&lt;Gamma&gt;-0,3&lt;/Gamma&gt;&lt;Delta&gt;-0,0&lt;/Delta&gt;&lt;Ro&gt;-0,3&lt;/Ro&gt;&lt;/Parametros&gt;</v>
      </c>
    </row>
    <row r="70" spans="1:21" x14ac:dyDescent="0.3">
      <c r="A70" s="2" t="s">
        <v>329</v>
      </c>
      <c r="B70" s="4">
        <v>0.44360633333333299</v>
      </c>
      <c r="C70" s="4">
        <v>0.44380133333333299</v>
      </c>
      <c r="D70" s="4">
        <v>0.44334499999999999</v>
      </c>
      <c r="E70" s="4">
        <v>0.18296899999999999</v>
      </c>
      <c r="F70" s="4">
        <v>0.18324533333333301</v>
      </c>
      <c r="G70" s="4">
        <v>0.18297033333333301</v>
      </c>
      <c r="H70" s="4">
        <v>0.210252666666667</v>
      </c>
      <c r="I70" s="4">
        <v>0.210442666666667</v>
      </c>
      <c r="J70" s="4">
        <v>0.210179</v>
      </c>
      <c r="O70" s="2" t="str">
        <f t="shared" si="7"/>
        <v>-0,30-0,00-0,40-0,00-0,30</v>
      </c>
      <c r="P70" s="6" t="str">
        <f t="shared" si="8"/>
        <v>-0,3</v>
      </c>
      <c r="Q70" s="6" t="str">
        <f t="shared" si="9"/>
        <v>-0,0</v>
      </c>
      <c r="R70" s="6" t="str">
        <f t="shared" si="10"/>
        <v>-0,4</v>
      </c>
      <c r="S70" s="6" t="str">
        <f t="shared" si="11"/>
        <v>-0,0</v>
      </c>
      <c r="T70" s="6" t="str">
        <f t="shared" si="12"/>
        <v>-0,3</v>
      </c>
      <c r="U70" s="2" t="str">
        <f t="shared" si="13"/>
        <v>&lt;Parametros&gt;&lt;Alfa&gt;-0,3&lt;/Alfa&gt;&lt;Beta&gt;-0,0&lt;/Beta&gt;&lt;Gamma&gt;-0,4&lt;/Gamma&gt;&lt;Delta&gt;-0,0&lt;/Delta&gt;&lt;Ro&gt;-0,3&lt;/Ro&gt;&lt;/Parametros&gt;</v>
      </c>
    </row>
    <row r="71" spans="1:21" x14ac:dyDescent="0.3">
      <c r="A71" s="2" t="s">
        <v>361</v>
      </c>
      <c r="B71" s="4">
        <v>0.44343300000000002</v>
      </c>
      <c r="C71" s="4">
        <v>0.44325399999999998</v>
      </c>
      <c r="D71" s="4">
        <v>0.44298933333333301</v>
      </c>
      <c r="E71" s="4">
        <v>0.181089</v>
      </c>
      <c r="F71" s="4">
        <v>0.18127599999999999</v>
      </c>
      <c r="G71" s="4">
        <v>0.18105233333333301</v>
      </c>
      <c r="H71" s="4">
        <v>0.20826233333333299</v>
      </c>
      <c r="I71" s="4">
        <v>0.208323333333333</v>
      </c>
      <c r="J71" s="4">
        <v>0.208128333333333</v>
      </c>
      <c r="O71" s="2" t="str">
        <f t="shared" si="7"/>
        <v>-0,50-0,00-0,20-0,00-0,30</v>
      </c>
      <c r="P71" s="6" t="str">
        <f t="shared" si="8"/>
        <v>-0,5</v>
      </c>
      <c r="Q71" s="6" t="str">
        <f t="shared" si="9"/>
        <v>-0,0</v>
      </c>
      <c r="R71" s="6" t="str">
        <f t="shared" si="10"/>
        <v>-0,2</v>
      </c>
      <c r="S71" s="6" t="str">
        <f t="shared" si="11"/>
        <v>-0,0</v>
      </c>
      <c r="T71" s="6" t="str">
        <f t="shared" si="12"/>
        <v>-0,3</v>
      </c>
      <c r="U71" s="2" t="str">
        <f t="shared" si="13"/>
        <v>&lt;Parametros&gt;&lt;Alfa&gt;-0,5&lt;/Alfa&gt;&lt;Beta&gt;-0,0&lt;/Beta&gt;&lt;Gamma&gt;-0,2&lt;/Gamma&gt;&lt;Delta&gt;-0,0&lt;/Delta&gt;&lt;Ro&gt;-0,3&lt;/Ro&gt;&lt;/Parametros&gt;</v>
      </c>
    </row>
    <row r="72" spans="1:21" x14ac:dyDescent="0.3">
      <c r="A72" s="2" t="s">
        <v>353</v>
      </c>
      <c r="B72" s="4">
        <v>0.44092933333333301</v>
      </c>
      <c r="C72" s="4">
        <v>0.44143033333333298</v>
      </c>
      <c r="D72" s="4">
        <v>0.44082766666666701</v>
      </c>
      <c r="E72" s="4">
        <v>0.18463299999999999</v>
      </c>
      <c r="F72" s="4">
        <v>0.184795666666667</v>
      </c>
      <c r="G72" s="4">
        <v>0.18457733333333301</v>
      </c>
      <c r="H72" s="4">
        <v>0.20985100000000001</v>
      </c>
      <c r="I72" s="4">
        <v>0.210093</v>
      </c>
      <c r="J72" s="4">
        <v>0.209808666666667</v>
      </c>
      <c r="O72" s="2" t="str">
        <f t="shared" si="7"/>
        <v>-0,30-0,00-0,50-0,00-0,20</v>
      </c>
      <c r="P72" s="6" t="str">
        <f t="shared" si="8"/>
        <v>-0,3</v>
      </c>
      <c r="Q72" s="6" t="str">
        <f t="shared" si="9"/>
        <v>-0,0</v>
      </c>
      <c r="R72" s="6" t="str">
        <f t="shared" si="10"/>
        <v>-0,5</v>
      </c>
      <c r="S72" s="6" t="str">
        <f t="shared" si="11"/>
        <v>-0,0</v>
      </c>
      <c r="T72" s="6" t="str">
        <f t="shared" si="12"/>
        <v>-0,2</v>
      </c>
      <c r="U72" s="2" t="str">
        <f t="shared" si="13"/>
        <v>&lt;Parametros&gt;&lt;Alfa&gt;-0,3&lt;/Alfa&gt;&lt;Beta&gt;-0,0&lt;/Beta&gt;&lt;Gamma&gt;-0,5&lt;/Gamma&gt;&lt;Delta&gt;-0,0&lt;/Delta&gt;&lt;Ro&gt;-0,2&lt;/Ro&gt;&lt;/Parametros&gt;</v>
      </c>
    </row>
    <row r="73" spans="1:21" x14ac:dyDescent="0.3">
      <c r="A73" s="2" t="s">
        <v>346</v>
      </c>
      <c r="B73" s="4">
        <v>0.44068166666666703</v>
      </c>
      <c r="C73" s="4">
        <v>0.44134766666666703</v>
      </c>
      <c r="D73" s="4">
        <v>0.44066966666666701</v>
      </c>
      <c r="E73" s="4">
        <v>0.18205533333333301</v>
      </c>
      <c r="F73" s="4">
        <v>0.18243999999999999</v>
      </c>
      <c r="G73" s="4">
        <v>0.182116</v>
      </c>
      <c r="H73" s="4">
        <v>0.20846400000000001</v>
      </c>
      <c r="I73" s="4">
        <v>0.208896</v>
      </c>
      <c r="J73" s="4">
        <v>0.20852166666666699</v>
      </c>
      <c r="O73" s="2" t="str">
        <f t="shared" si="7"/>
        <v>-0,20-0,00-0,50-0,00-0,30</v>
      </c>
      <c r="P73" s="6" t="str">
        <f t="shared" si="8"/>
        <v>-0,2</v>
      </c>
      <c r="Q73" s="6" t="str">
        <f t="shared" si="9"/>
        <v>-0,0</v>
      </c>
      <c r="R73" s="6" t="str">
        <f t="shared" si="10"/>
        <v>-0,5</v>
      </c>
      <c r="S73" s="6" t="str">
        <f t="shared" si="11"/>
        <v>-0,0</v>
      </c>
      <c r="T73" s="6" t="str">
        <f t="shared" si="12"/>
        <v>-0,3</v>
      </c>
      <c r="U73" s="2" t="str">
        <f t="shared" si="13"/>
        <v>&lt;Parametros&gt;&lt;Alfa&gt;-0,2&lt;/Alfa&gt;&lt;Beta&gt;-0,0&lt;/Beta&gt;&lt;Gamma&gt;-0,5&lt;/Gamma&gt;&lt;Delta&gt;-0,0&lt;/Delta&gt;&lt;Ro&gt;-0,3&lt;/Ro&gt;&lt;/Parametros&gt;</v>
      </c>
    </row>
    <row r="74" spans="1:21" x14ac:dyDescent="0.3">
      <c r="A74" s="2" t="s">
        <v>364</v>
      </c>
      <c r="B74" s="4">
        <v>0.43938533333333302</v>
      </c>
      <c r="C74" s="4">
        <v>0.43910233333333298</v>
      </c>
      <c r="D74" s="4">
        <v>0.43889266666666699</v>
      </c>
      <c r="E74" s="4">
        <v>0.17734633333333299</v>
      </c>
      <c r="F74" s="4">
        <v>0.17748900000000001</v>
      </c>
      <c r="G74" s="4">
        <v>0.17729166666666701</v>
      </c>
      <c r="H74" s="4">
        <v>0.20496200000000001</v>
      </c>
      <c r="I74" s="4">
        <v>0.20497299999999999</v>
      </c>
      <c r="J74" s="4">
        <v>0.20480699999999999</v>
      </c>
      <c r="O74" s="2" t="str">
        <f t="shared" si="7"/>
        <v>-0,60-0,00-0,10-0,00-0,30</v>
      </c>
      <c r="P74" s="6" t="str">
        <f t="shared" si="8"/>
        <v>-0,6</v>
      </c>
      <c r="Q74" s="6" t="str">
        <f t="shared" si="9"/>
        <v>-0,0</v>
      </c>
      <c r="R74" s="6" t="str">
        <f t="shared" si="10"/>
        <v>-0,1</v>
      </c>
      <c r="S74" s="6" t="str">
        <f t="shared" si="11"/>
        <v>-0,0</v>
      </c>
      <c r="T74" s="6" t="str">
        <f t="shared" si="12"/>
        <v>-0,3</v>
      </c>
      <c r="U74" s="2" t="str">
        <f t="shared" si="13"/>
        <v>&lt;Parametros&gt;&lt;Alfa&gt;-0,6&lt;/Alfa&gt;&lt;Beta&gt;-0,0&lt;/Beta&gt;&lt;Gamma&gt;-0,1&lt;/Gamma&gt;&lt;Delta&gt;-0,0&lt;/Delta&gt;&lt;Ro&gt;-0,3&lt;/Ro&gt;&lt;/Parametros&gt;</v>
      </c>
    </row>
    <row r="75" spans="1:21" x14ac:dyDescent="0.3">
      <c r="A75" s="2" t="s">
        <v>363</v>
      </c>
      <c r="B75" s="4">
        <v>0.43932833333333299</v>
      </c>
      <c r="C75" s="4">
        <v>0.43966966666666701</v>
      </c>
      <c r="D75" s="4">
        <v>0.439143333333333</v>
      </c>
      <c r="E75" s="4">
        <v>0.18342866666666699</v>
      </c>
      <c r="F75" s="4">
        <v>0.18343366666666699</v>
      </c>
      <c r="G75" s="4">
        <v>0.183291333333333</v>
      </c>
      <c r="H75" s="4">
        <v>0.208791333333333</v>
      </c>
      <c r="I75" s="4">
        <v>0.20885566666666699</v>
      </c>
      <c r="J75" s="4">
        <v>0.20865700000000001</v>
      </c>
      <c r="O75" s="2" t="str">
        <f t="shared" si="7"/>
        <v>-0,50-0,00-0,40-0,00-0,10</v>
      </c>
      <c r="P75" s="6" t="str">
        <f t="shared" si="8"/>
        <v>-0,5</v>
      </c>
      <c r="Q75" s="6" t="str">
        <f t="shared" si="9"/>
        <v>-0,0</v>
      </c>
      <c r="R75" s="6" t="str">
        <f t="shared" si="10"/>
        <v>-0,4</v>
      </c>
      <c r="S75" s="6" t="str">
        <f t="shared" si="11"/>
        <v>-0,0</v>
      </c>
      <c r="T75" s="6" t="str">
        <f t="shared" si="12"/>
        <v>-0,1</v>
      </c>
      <c r="U75" s="2" t="str">
        <f t="shared" si="13"/>
        <v>&lt;Parametros&gt;&lt;Alfa&gt;-0,5&lt;/Alfa&gt;&lt;Beta&gt;-0,0&lt;/Beta&gt;&lt;Gamma&gt;-0,4&lt;/Gamma&gt;&lt;Delta&gt;-0,0&lt;/Delta&gt;&lt;Ro&gt;-0,1&lt;/Ro&gt;&lt;/Parametros&gt;</v>
      </c>
    </row>
    <row r="76" spans="1:21" x14ac:dyDescent="0.3">
      <c r="A76" s="2" t="s">
        <v>347</v>
      </c>
      <c r="B76" s="4">
        <v>0.43584200000000001</v>
      </c>
      <c r="C76" s="4">
        <v>0.43644766666666701</v>
      </c>
      <c r="D76" s="4">
        <v>0.435792333333333</v>
      </c>
      <c r="E76" s="4">
        <v>0.17906166666666701</v>
      </c>
      <c r="F76" s="4">
        <v>0.17912500000000001</v>
      </c>
      <c r="G76" s="4">
        <v>0.17895900000000001</v>
      </c>
      <c r="H76" s="4">
        <v>0.20473</v>
      </c>
      <c r="I76" s="4">
        <v>0.20492333333333301</v>
      </c>
      <c r="J76" s="4">
        <v>0.20466500000000001</v>
      </c>
      <c r="O76" s="2" t="str">
        <f t="shared" si="7"/>
        <v>-0,20-0,00-0,60-0,00-0,20</v>
      </c>
      <c r="P76" s="6" t="str">
        <f t="shared" si="8"/>
        <v>-0,2</v>
      </c>
      <c r="Q76" s="6" t="str">
        <f t="shared" si="9"/>
        <v>-0,0</v>
      </c>
      <c r="R76" s="6" t="str">
        <f t="shared" si="10"/>
        <v>-0,6</v>
      </c>
      <c r="S76" s="6" t="str">
        <f t="shared" si="11"/>
        <v>-0,0</v>
      </c>
      <c r="T76" s="6" t="str">
        <f t="shared" si="12"/>
        <v>-0,2</v>
      </c>
      <c r="U76" s="2" t="str">
        <f t="shared" si="13"/>
        <v>&lt;Parametros&gt;&lt;Alfa&gt;-0,2&lt;/Alfa&gt;&lt;Beta&gt;-0,0&lt;/Beta&gt;&lt;Gamma&gt;-0,6&lt;/Gamma&gt;&lt;Delta&gt;-0,0&lt;/Delta&gt;&lt;Ro&gt;-0,2&lt;/Ro&gt;&lt;/Parametros&gt;</v>
      </c>
    </row>
    <row r="77" spans="1:21" x14ac:dyDescent="0.3">
      <c r="A77" s="2" t="s">
        <v>359</v>
      </c>
      <c r="B77" s="4">
        <v>0.435352666666667</v>
      </c>
      <c r="C77" s="4">
        <v>0.43584699999999998</v>
      </c>
      <c r="D77" s="4">
        <v>0.43524766666666698</v>
      </c>
      <c r="E77" s="4">
        <v>0.17971066666666699</v>
      </c>
      <c r="F77" s="4">
        <v>0.17978533333333299</v>
      </c>
      <c r="G77" s="4">
        <v>0.17961233333333301</v>
      </c>
      <c r="H77" s="4">
        <v>0.20491366666666699</v>
      </c>
      <c r="I77" s="4">
        <v>0.20508233333333301</v>
      </c>
      <c r="J77" s="4">
        <v>0.20483833333333301</v>
      </c>
      <c r="O77" s="2" t="str">
        <f t="shared" si="7"/>
        <v>-0,40-0,00-0,50-0,00-0,10</v>
      </c>
      <c r="P77" s="6" t="str">
        <f t="shared" si="8"/>
        <v>-0,4</v>
      </c>
      <c r="Q77" s="6" t="str">
        <f t="shared" si="9"/>
        <v>-0,0</v>
      </c>
      <c r="R77" s="6" t="str">
        <f t="shared" si="10"/>
        <v>-0,5</v>
      </c>
      <c r="S77" s="6" t="str">
        <f t="shared" si="11"/>
        <v>-0,0</v>
      </c>
      <c r="T77" s="6" t="str">
        <f t="shared" si="12"/>
        <v>-0,1</v>
      </c>
      <c r="U77" s="2" t="str">
        <f t="shared" si="13"/>
        <v>&lt;Parametros&gt;&lt;Alfa&gt;-0,4&lt;/Alfa&gt;&lt;Beta&gt;-0,0&lt;/Beta&gt;&lt;Gamma&gt;-0,5&lt;/Gamma&gt;&lt;Delta&gt;-0,0&lt;/Delta&gt;&lt;Ro&gt;-0,1&lt;/Ro&gt;&lt;/Parametros&gt;</v>
      </c>
    </row>
    <row r="78" spans="1:21" x14ac:dyDescent="0.3">
      <c r="A78" s="2" t="s">
        <v>331</v>
      </c>
      <c r="B78" s="4">
        <v>0.43463233333333301</v>
      </c>
      <c r="C78" s="4">
        <v>0.434686666666667</v>
      </c>
      <c r="D78" s="4">
        <v>0.43431700000000001</v>
      </c>
      <c r="E78" s="4">
        <v>0.171655</v>
      </c>
      <c r="F78" s="4">
        <v>0.171983</v>
      </c>
      <c r="G78" s="4">
        <v>0.17169599999999999</v>
      </c>
      <c r="H78" s="4">
        <v>0.20105999999999999</v>
      </c>
      <c r="I78" s="4">
        <v>0.20124600000000001</v>
      </c>
      <c r="J78" s="4">
        <v>0.20099500000000001</v>
      </c>
      <c r="O78" s="2" t="str">
        <f t="shared" si="7"/>
        <v>-0,20-0,00-0,40-0,00-0,40</v>
      </c>
      <c r="P78" s="6" t="str">
        <f t="shared" si="8"/>
        <v>-0,2</v>
      </c>
      <c r="Q78" s="6" t="str">
        <f t="shared" si="9"/>
        <v>-0,0</v>
      </c>
      <c r="R78" s="6" t="str">
        <f t="shared" si="10"/>
        <v>-0,4</v>
      </c>
      <c r="S78" s="6" t="str">
        <f t="shared" si="11"/>
        <v>-0,0</v>
      </c>
      <c r="T78" s="6" t="str">
        <f t="shared" si="12"/>
        <v>-0,4</v>
      </c>
      <c r="U78" s="2" t="str">
        <f t="shared" si="13"/>
        <v>&lt;Parametros&gt;&lt;Alfa&gt;-0,2&lt;/Alfa&gt;&lt;Beta&gt;-0,0&lt;/Beta&gt;&lt;Gamma&gt;-0,4&lt;/Gamma&gt;&lt;Delta&gt;-0,0&lt;/Delta&gt;&lt;Ro&gt;-0,4&lt;/Ro&gt;&lt;/Parametros&gt;</v>
      </c>
    </row>
    <row r="79" spans="1:21" x14ac:dyDescent="0.3">
      <c r="A79" s="2" t="s">
        <v>345</v>
      </c>
      <c r="B79" s="4">
        <v>0.43381599999999998</v>
      </c>
      <c r="C79" s="4">
        <v>0.433925333333333</v>
      </c>
      <c r="D79" s="4">
        <v>0.433522666666667</v>
      </c>
      <c r="E79" s="4">
        <v>0.17019300000000001</v>
      </c>
      <c r="F79" s="4">
        <v>0.170491333333333</v>
      </c>
      <c r="G79" s="4">
        <v>0.17021600000000001</v>
      </c>
      <c r="H79" s="4">
        <v>0.19999133333333299</v>
      </c>
      <c r="I79" s="4">
        <v>0.20017033333333301</v>
      </c>
      <c r="J79" s="4">
        <v>0.19992133333333301</v>
      </c>
      <c r="O79" s="2" t="str">
        <f t="shared" si="7"/>
        <v>-0,20-0,00-0,40-0,00-0,40</v>
      </c>
      <c r="P79" s="6" t="str">
        <f t="shared" si="8"/>
        <v>-0,2</v>
      </c>
      <c r="Q79" s="6" t="str">
        <f t="shared" si="9"/>
        <v>-0,0</v>
      </c>
      <c r="R79" s="6" t="str">
        <f t="shared" si="10"/>
        <v>-0,4</v>
      </c>
      <c r="S79" s="6" t="str">
        <f t="shared" si="11"/>
        <v>-0,0</v>
      </c>
      <c r="T79" s="6" t="str">
        <f t="shared" si="12"/>
        <v>-0,4</v>
      </c>
      <c r="U79" s="2" t="str">
        <f t="shared" si="13"/>
        <v>&lt;Parametros&gt;&lt;Alfa&gt;-0,2&lt;/Alfa&gt;&lt;Beta&gt;-0,0&lt;/Beta&gt;&lt;Gamma&gt;-0,4&lt;/Gamma&gt;&lt;Delta&gt;-0,0&lt;/Delta&gt;&lt;Ro&gt;-0,4&lt;/Ro&gt;&lt;/Parametros&gt;</v>
      </c>
    </row>
    <row r="80" spans="1:21" x14ac:dyDescent="0.3">
      <c r="A80" s="2" t="s">
        <v>339</v>
      </c>
      <c r="B80" s="4">
        <v>0.433022666666667</v>
      </c>
      <c r="C80" s="4">
        <v>0.43378</v>
      </c>
      <c r="D80" s="4">
        <v>0.43305033333333298</v>
      </c>
      <c r="E80" s="4">
        <v>0.171389333333333</v>
      </c>
      <c r="F80" s="4">
        <v>0.171604333333333</v>
      </c>
      <c r="G80" s="4">
        <v>0.171368666666667</v>
      </c>
      <c r="H80" s="4">
        <v>0.199818</v>
      </c>
      <c r="I80" s="4">
        <v>0.200146666666667</v>
      </c>
      <c r="J80" s="4">
        <v>0.19982466666666701</v>
      </c>
      <c r="O80" s="2" t="str">
        <f t="shared" si="7"/>
        <v>-0,10-0,00-0,60-0,00-0,30</v>
      </c>
      <c r="P80" s="6" t="str">
        <f t="shared" si="8"/>
        <v>-0,1</v>
      </c>
      <c r="Q80" s="6" t="str">
        <f t="shared" si="9"/>
        <v>-0,0</v>
      </c>
      <c r="R80" s="6" t="str">
        <f t="shared" si="10"/>
        <v>-0,6</v>
      </c>
      <c r="S80" s="6" t="str">
        <f t="shared" si="11"/>
        <v>-0,0</v>
      </c>
      <c r="T80" s="6" t="str">
        <f t="shared" si="12"/>
        <v>-0,3</v>
      </c>
      <c r="U80" s="2" t="str">
        <f t="shared" si="13"/>
        <v>&lt;Parametros&gt;&lt;Alfa&gt;-0,1&lt;/Alfa&gt;&lt;Beta&gt;-0,0&lt;/Beta&gt;&lt;Gamma&gt;-0,6&lt;/Gamma&gt;&lt;Delta&gt;-0,0&lt;/Delta&gt;&lt;Ro&gt;-0,3&lt;/Ro&gt;&lt;/Parametros&gt;</v>
      </c>
    </row>
    <row r="81" spans="1:21" x14ac:dyDescent="0.3">
      <c r="A81" s="2" t="s">
        <v>354</v>
      </c>
      <c r="B81" s="4">
        <v>0.43219600000000002</v>
      </c>
      <c r="C81" s="4">
        <v>0.43281333333333299</v>
      </c>
      <c r="D81" s="4">
        <v>0.43215666666666702</v>
      </c>
      <c r="E81" s="4">
        <v>0.17577100000000001</v>
      </c>
      <c r="F81" s="4">
        <v>0.175792333333333</v>
      </c>
      <c r="G81" s="4">
        <v>0.17564633333333299</v>
      </c>
      <c r="H81" s="4">
        <v>0.20175499999999999</v>
      </c>
      <c r="I81" s="4">
        <v>0.20190033333333299</v>
      </c>
      <c r="J81" s="4">
        <v>0.201667333333333</v>
      </c>
      <c r="O81" s="2" t="str">
        <f t="shared" si="7"/>
        <v>-0,30-0,00-0,60-0,00-0,10</v>
      </c>
      <c r="P81" s="6" t="str">
        <f t="shared" si="8"/>
        <v>-0,3</v>
      </c>
      <c r="Q81" s="6" t="str">
        <f t="shared" si="9"/>
        <v>-0,0</v>
      </c>
      <c r="R81" s="6" t="str">
        <f t="shared" si="10"/>
        <v>-0,6</v>
      </c>
      <c r="S81" s="6" t="str">
        <f t="shared" si="11"/>
        <v>-0,0</v>
      </c>
      <c r="T81" s="6" t="str">
        <f t="shared" si="12"/>
        <v>-0,1</v>
      </c>
      <c r="U81" s="2" t="str">
        <f t="shared" si="13"/>
        <v>&lt;Parametros&gt;&lt;Alfa&gt;-0,3&lt;/Alfa&gt;&lt;Beta&gt;-0,0&lt;/Beta&gt;&lt;Gamma&gt;-0,6&lt;/Gamma&gt;&lt;Delta&gt;-0,0&lt;/Delta&gt;&lt;Ro&gt;-0,1&lt;/Ro&gt;&lt;/Parametros&gt;</v>
      </c>
    </row>
    <row r="82" spans="1:21" x14ac:dyDescent="0.3">
      <c r="A82" s="2" t="s">
        <v>351</v>
      </c>
      <c r="B82" s="4">
        <v>0.43163899999999999</v>
      </c>
      <c r="C82" s="4">
        <v>0.43126166666666699</v>
      </c>
      <c r="D82" s="4">
        <v>0.43109599999999998</v>
      </c>
      <c r="E82" s="4">
        <v>0.16729566666666701</v>
      </c>
      <c r="F82" s="4">
        <v>0.167429666666667</v>
      </c>
      <c r="G82" s="4">
        <v>0.167238</v>
      </c>
      <c r="H82" s="4">
        <v>0.19696433333333299</v>
      </c>
      <c r="I82" s="4">
        <v>0.19696666666666701</v>
      </c>
      <c r="J82" s="4">
        <v>0.19680500000000001</v>
      </c>
      <c r="O82" s="2" t="str">
        <f t="shared" si="7"/>
        <v>-0,30-0,00-0,30-0,00-0,40</v>
      </c>
      <c r="P82" s="6" t="str">
        <f t="shared" si="8"/>
        <v>-0,3</v>
      </c>
      <c r="Q82" s="6" t="str">
        <f t="shared" si="9"/>
        <v>-0,0</v>
      </c>
      <c r="R82" s="6" t="str">
        <f t="shared" si="10"/>
        <v>-0,3</v>
      </c>
      <c r="S82" s="6" t="str">
        <f t="shared" si="11"/>
        <v>-0,0</v>
      </c>
      <c r="T82" s="6" t="str">
        <f t="shared" si="12"/>
        <v>-0,4</v>
      </c>
      <c r="U82" s="2" t="str">
        <f t="shared" si="13"/>
        <v>&lt;Parametros&gt;&lt;Alfa&gt;-0,3&lt;/Alfa&gt;&lt;Beta&gt;-0,0&lt;/Beta&gt;&lt;Gamma&gt;-0,3&lt;/Gamma&gt;&lt;Delta&gt;-0,0&lt;/Delta&gt;&lt;Ro&gt;-0,4&lt;/Ro&gt;&lt;/Parametros&gt;</v>
      </c>
    </row>
    <row r="83" spans="1:21" x14ac:dyDescent="0.3">
      <c r="A83" s="2" t="s">
        <v>338</v>
      </c>
      <c r="B83" s="4">
        <v>0.43032399999999998</v>
      </c>
      <c r="C83" s="4">
        <v>0.43059233333333302</v>
      </c>
      <c r="D83" s="4">
        <v>0.43012</v>
      </c>
      <c r="E83" s="4">
        <v>0.16658166666666699</v>
      </c>
      <c r="F83" s="4">
        <v>0.16686000000000001</v>
      </c>
      <c r="G83" s="4">
        <v>0.16660133333333299</v>
      </c>
      <c r="H83" s="4">
        <v>0.19737433333333301</v>
      </c>
      <c r="I83" s="4">
        <v>0.197571</v>
      </c>
      <c r="J83" s="4">
        <v>0.19731799999999999</v>
      </c>
      <c r="O83" s="2" t="str">
        <f t="shared" si="7"/>
        <v>-0,10-0,00-0,50-0,00-0,40</v>
      </c>
      <c r="P83" s="6" t="str">
        <f t="shared" si="8"/>
        <v>-0,1</v>
      </c>
      <c r="Q83" s="6" t="str">
        <f t="shared" si="9"/>
        <v>-0,0</v>
      </c>
      <c r="R83" s="6" t="str">
        <f t="shared" si="10"/>
        <v>-0,5</v>
      </c>
      <c r="S83" s="6" t="str">
        <f t="shared" si="11"/>
        <v>-0,0</v>
      </c>
      <c r="T83" s="6" t="str">
        <f t="shared" si="12"/>
        <v>-0,4</v>
      </c>
      <c r="U83" s="2" t="str">
        <f t="shared" si="13"/>
        <v>&lt;Parametros&gt;&lt;Alfa&gt;-0,1&lt;/Alfa&gt;&lt;Beta&gt;-0,0&lt;/Beta&gt;&lt;Gamma&gt;-0,5&lt;/Gamma&gt;&lt;Delta&gt;-0,0&lt;/Delta&gt;&lt;Ro&gt;-0,4&lt;/Ro&gt;&lt;/Parametros&gt;</v>
      </c>
    </row>
    <row r="84" spans="1:21" x14ac:dyDescent="0.3">
      <c r="A84" s="2" t="s">
        <v>330</v>
      </c>
      <c r="B84" s="4">
        <v>0.43028100000000002</v>
      </c>
      <c r="C84" s="4">
        <v>0.429896</v>
      </c>
      <c r="D84" s="4">
        <v>0.42973466666666699</v>
      </c>
      <c r="E84" s="4">
        <v>0.16585233333333299</v>
      </c>
      <c r="F84" s="4">
        <v>0.165974333333333</v>
      </c>
      <c r="G84" s="4">
        <v>0.16578799999999999</v>
      </c>
      <c r="H84" s="4">
        <v>0.19559499999999999</v>
      </c>
      <c r="I84" s="4">
        <v>0.19559133333333301</v>
      </c>
      <c r="J84" s="4">
        <v>0.195432666666667</v>
      </c>
      <c r="O84" s="2" t="str">
        <f t="shared" si="7"/>
        <v>-0,30-0,00-0,30-0,00-0,40</v>
      </c>
      <c r="P84" s="6" t="str">
        <f t="shared" si="8"/>
        <v>-0,3</v>
      </c>
      <c r="Q84" s="6" t="str">
        <f t="shared" si="9"/>
        <v>-0,0</v>
      </c>
      <c r="R84" s="6" t="str">
        <f t="shared" si="10"/>
        <v>-0,3</v>
      </c>
      <c r="S84" s="6" t="str">
        <f t="shared" si="11"/>
        <v>-0,0</v>
      </c>
      <c r="T84" s="6" t="str">
        <f t="shared" si="12"/>
        <v>-0,4</v>
      </c>
      <c r="U84" s="2" t="str">
        <f t="shared" si="13"/>
        <v>&lt;Parametros&gt;&lt;Alfa&gt;-0,3&lt;/Alfa&gt;&lt;Beta&gt;-0,0&lt;/Beta&gt;&lt;Gamma&gt;-0,3&lt;/Gamma&gt;&lt;Delta&gt;-0,0&lt;/Delta&gt;&lt;Ro&gt;-0,4&lt;/Ro&gt;&lt;/Parametros&gt;</v>
      </c>
    </row>
    <row r="85" spans="1:21" x14ac:dyDescent="0.3">
      <c r="A85" s="2" t="s">
        <v>356</v>
      </c>
      <c r="B85" s="4">
        <v>0.42954300000000001</v>
      </c>
      <c r="C85" s="4">
        <v>0.42949666666666703</v>
      </c>
      <c r="D85" s="4">
        <v>0.42916700000000002</v>
      </c>
      <c r="E85" s="4">
        <v>0.16631733333333301</v>
      </c>
      <c r="F85" s="4">
        <v>0.166569666666667</v>
      </c>
      <c r="G85" s="4">
        <v>0.166319666666667</v>
      </c>
      <c r="H85" s="4">
        <v>0.19574900000000001</v>
      </c>
      <c r="I85" s="4">
        <v>0.195893333333333</v>
      </c>
      <c r="J85" s="4">
        <v>0.19566066666666701</v>
      </c>
      <c r="O85" s="2" t="str">
        <f t="shared" si="7"/>
        <v>-0,40-0,00-0,20-0,00-0,40</v>
      </c>
      <c r="P85" s="6" t="str">
        <f t="shared" si="8"/>
        <v>-0,4</v>
      </c>
      <c r="Q85" s="6" t="str">
        <f t="shared" si="9"/>
        <v>-0,0</v>
      </c>
      <c r="R85" s="6" t="str">
        <f t="shared" si="10"/>
        <v>-0,2</v>
      </c>
      <c r="S85" s="6" t="str">
        <f t="shared" si="11"/>
        <v>-0,0</v>
      </c>
      <c r="T85" s="6" t="str">
        <f t="shared" si="12"/>
        <v>-0,4</v>
      </c>
      <c r="U85" s="2" t="str">
        <f t="shared" si="13"/>
        <v>&lt;Parametros&gt;&lt;Alfa&gt;-0,4&lt;/Alfa&gt;&lt;Beta&gt;-0,0&lt;/Beta&gt;&lt;Gamma&gt;-0,2&lt;/Gamma&gt;&lt;Delta&gt;-0,0&lt;/Delta&gt;&lt;Ro&gt;-0,4&lt;/Ro&gt;&lt;/Parametros&gt;</v>
      </c>
    </row>
    <row r="86" spans="1:21" x14ac:dyDescent="0.3">
      <c r="A86" s="2" t="s">
        <v>348</v>
      </c>
      <c r="B86" s="4">
        <v>0.429207333333333</v>
      </c>
      <c r="C86" s="4">
        <v>0.42927866666666697</v>
      </c>
      <c r="D86" s="4">
        <v>0.42887466666666701</v>
      </c>
      <c r="E86" s="4">
        <v>0.17361333333333301</v>
      </c>
      <c r="F86" s="4">
        <v>0.17327566666666699</v>
      </c>
      <c r="G86" s="4">
        <v>0.17330166666666699</v>
      </c>
      <c r="H86" s="4">
        <v>0.19960066666666701</v>
      </c>
      <c r="I86" s="4">
        <v>0.199399666666667</v>
      </c>
      <c r="J86" s="4">
        <v>0.19932966666666699</v>
      </c>
      <c r="O86" s="2" t="str">
        <f t="shared" si="7"/>
        <v>-0,20-0,00-0,70-0,00-0,10</v>
      </c>
      <c r="P86" s="6" t="str">
        <f t="shared" si="8"/>
        <v>-0,2</v>
      </c>
      <c r="Q86" s="6" t="str">
        <f t="shared" si="9"/>
        <v>-0,0</v>
      </c>
      <c r="R86" s="6" t="str">
        <f t="shared" si="10"/>
        <v>-0,7</v>
      </c>
      <c r="S86" s="6" t="str">
        <f t="shared" si="11"/>
        <v>-0,0</v>
      </c>
      <c r="T86" s="6" t="str">
        <f t="shared" si="12"/>
        <v>-0,1</v>
      </c>
      <c r="U86" s="2" t="str">
        <f t="shared" si="13"/>
        <v>&lt;Parametros&gt;&lt;Alfa&gt;-0,2&lt;/Alfa&gt;&lt;Beta&gt;-0,0&lt;/Beta&gt;&lt;Gamma&gt;-0,7&lt;/Gamma&gt;&lt;Delta&gt;-0,0&lt;/Delta&gt;&lt;Ro&gt;-0,1&lt;/Ro&gt;&lt;/Parametros&gt;</v>
      </c>
    </row>
    <row r="87" spans="1:21" x14ac:dyDescent="0.3">
      <c r="A87" s="2" t="s">
        <v>340</v>
      </c>
      <c r="B87" s="4">
        <v>0.42913433333333301</v>
      </c>
      <c r="C87" s="4">
        <v>0.429653333333333</v>
      </c>
      <c r="D87" s="4">
        <v>0.429031</v>
      </c>
      <c r="E87" s="4">
        <v>0.17019266666666699</v>
      </c>
      <c r="F87" s="4">
        <v>0.17009233333333301</v>
      </c>
      <c r="G87" s="4">
        <v>0.17000633333333301</v>
      </c>
      <c r="H87" s="4">
        <v>0.198212</v>
      </c>
      <c r="I87" s="4">
        <v>0.19827266666666701</v>
      </c>
      <c r="J87" s="4">
        <v>0.198076</v>
      </c>
      <c r="O87" s="2" t="str">
        <f t="shared" si="7"/>
        <v>-0,10-0,00-0,70-0,00-0,20</v>
      </c>
      <c r="P87" s="6" t="str">
        <f t="shared" si="8"/>
        <v>-0,1</v>
      </c>
      <c r="Q87" s="6" t="str">
        <f t="shared" si="9"/>
        <v>-0,0</v>
      </c>
      <c r="R87" s="6" t="str">
        <f t="shared" si="10"/>
        <v>-0,7</v>
      </c>
      <c r="S87" s="6" t="str">
        <f t="shared" si="11"/>
        <v>-0,0</v>
      </c>
      <c r="T87" s="6" t="str">
        <f t="shared" si="12"/>
        <v>-0,2</v>
      </c>
      <c r="U87" s="2" t="str">
        <f t="shared" si="13"/>
        <v>&lt;Parametros&gt;&lt;Alfa&gt;-0,1&lt;/Alfa&gt;&lt;Beta&gt;-0,0&lt;/Beta&gt;&lt;Gamma&gt;-0,7&lt;/Gamma&gt;&lt;Delta&gt;-0,0&lt;/Delta&gt;&lt;Ro&gt;-0,2&lt;/Ro&gt;&lt;/Parametros&gt;</v>
      </c>
    </row>
    <row r="88" spans="1:21" x14ac:dyDescent="0.3">
      <c r="A88" s="2" t="s">
        <v>341</v>
      </c>
      <c r="B88" s="4">
        <v>0.428030666666667</v>
      </c>
      <c r="C88" s="4">
        <v>0.42830133333333298</v>
      </c>
      <c r="D88" s="4">
        <v>0.42780433333333301</v>
      </c>
      <c r="E88" s="4">
        <v>0.17053533333333301</v>
      </c>
      <c r="F88" s="4">
        <v>0.170246333333333</v>
      </c>
      <c r="G88" s="4">
        <v>0.17025100000000001</v>
      </c>
      <c r="H88" s="4">
        <v>0.197965</v>
      </c>
      <c r="I88" s="4">
        <v>0.19784033333333301</v>
      </c>
      <c r="J88" s="4">
        <v>0.197734666666667</v>
      </c>
      <c r="O88" s="2" t="str">
        <f t="shared" si="7"/>
        <v>-0,10-0,00-0,80-0,00-0,10</v>
      </c>
      <c r="P88" s="6" t="str">
        <f t="shared" si="8"/>
        <v>-0,1</v>
      </c>
      <c r="Q88" s="6" t="str">
        <f t="shared" si="9"/>
        <v>-0,0</v>
      </c>
      <c r="R88" s="6" t="str">
        <f t="shared" si="10"/>
        <v>-0,8</v>
      </c>
      <c r="S88" s="6" t="str">
        <f t="shared" si="11"/>
        <v>-0,0</v>
      </c>
      <c r="T88" s="6" t="str">
        <f t="shared" si="12"/>
        <v>-0,1</v>
      </c>
      <c r="U88" s="2" t="str">
        <f t="shared" si="13"/>
        <v>&lt;Parametros&gt;&lt;Alfa&gt;-0,1&lt;/Alfa&gt;&lt;Beta&gt;-0,0&lt;/Beta&gt;&lt;Gamma&gt;-0,8&lt;/Gamma&gt;&lt;Delta&gt;-0,0&lt;/Delta&gt;&lt;Ro&gt;-0,1&lt;/Ro&gt;&lt;/Parametros&gt;</v>
      </c>
    </row>
    <row r="89" spans="1:21" x14ac:dyDescent="0.3">
      <c r="A89" s="2" t="s">
        <v>360</v>
      </c>
      <c r="B89" s="4">
        <v>0.42585833333333301</v>
      </c>
      <c r="C89" s="4">
        <v>0.42524833333333301</v>
      </c>
      <c r="D89" s="4">
        <v>0.42519899999999999</v>
      </c>
      <c r="E89" s="4">
        <v>0.16328466666666699</v>
      </c>
      <c r="F89" s="4">
        <v>0.163285666666667</v>
      </c>
      <c r="G89" s="4">
        <v>0.16315966666666701</v>
      </c>
      <c r="H89" s="4">
        <v>0.192814666666667</v>
      </c>
      <c r="I89" s="4">
        <v>0.192666333333333</v>
      </c>
      <c r="J89" s="4">
        <v>0.19258</v>
      </c>
      <c r="O89" s="2" t="str">
        <f t="shared" si="7"/>
        <v>-0,50-0,00-0,10-0,00-0,40</v>
      </c>
      <c r="P89" s="6" t="str">
        <f t="shared" si="8"/>
        <v>-0,5</v>
      </c>
      <c r="Q89" s="6" t="str">
        <f t="shared" si="9"/>
        <v>-0,0</v>
      </c>
      <c r="R89" s="6" t="str">
        <f t="shared" si="10"/>
        <v>-0,1</v>
      </c>
      <c r="S89" s="6" t="str">
        <f t="shared" si="11"/>
        <v>-0,0</v>
      </c>
      <c r="T89" s="6" t="str">
        <f t="shared" si="12"/>
        <v>-0,4</v>
      </c>
      <c r="U89" s="2" t="str">
        <f t="shared" si="13"/>
        <v>&lt;Parametros&gt;&lt;Alfa&gt;-0,5&lt;/Alfa&gt;&lt;Beta&gt;-0,0&lt;/Beta&gt;&lt;Gamma&gt;-0,1&lt;/Gamma&gt;&lt;Delta&gt;-0,0&lt;/Delta&gt;&lt;Ro&gt;-0,4&lt;/Ro&gt;&lt;/Parametros&gt;</v>
      </c>
    </row>
    <row r="90" spans="1:21" x14ac:dyDescent="0.3">
      <c r="A90" s="2" t="s">
        <v>337</v>
      </c>
      <c r="B90" s="4">
        <v>0.41774299999999998</v>
      </c>
      <c r="C90" s="4">
        <v>0.417337666666667</v>
      </c>
      <c r="D90" s="4">
        <v>0.41720833333333301</v>
      </c>
      <c r="E90" s="4">
        <v>0.15060699999999999</v>
      </c>
      <c r="F90" s="4">
        <v>0.15067866666666699</v>
      </c>
      <c r="G90" s="4">
        <v>0.15053266666666701</v>
      </c>
      <c r="H90" s="4">
        <v>0.18405866666666701</v>
      </c>
      <c r="I90" s="4">
        <v>0.18397333333333299</v>
      </c>
      <c r="J90" s="4">
        <v>0.183869</v>
      </c>
      <c r="O90" s="2" t="str">
        <f t="shared" si="7"/>
        <v>-0,10-0,00-0,40-0,00-0,50</v>
      </c>
      <c r="P90" s="6" t="str">
        <f t="shared" si="8"/>
        <v>-0,1</v>
      </c>
      <c r="Q90" s="6" t="str">
        <f t="shared" si="9"/>
        <v>-0,0</v>
      </c>
      <c r="R90" s="6" t="str">
        <f t="shared" si="10"/>
        <v>-0,4</v>
      </c>
      <c r="S90" s="6" t="str">
        <f t="shared" si="11"/>
        <v>-0,0</v>
      </c>
      <c r="T90" s="6" t="str">
        <f t="shared" si="12"/>
        <v>-0,5</v>
      </c>
      <c r="U90" s="2" t="str">
        <f t="shared" si="13"/>
        <v>&lt;Parametros&gt;&lt;Alfa&gt;-0,1&lt;/Alfa&gt;&lt;Beta&gt;-0,0&lt;/Beta&gt;&lt;Gamma&gt;-0,4&lt;/Gamma&gt;&lt;Delta&gt;-0,0&lt;/Delta&gt;&lt;Ro&gt;-0,5&lt;/Ro&gt;&lt;/Parametros&gt;</v>
      </c>
    </row>
    <row r="91" spans="1:21" x14ac:dyDescent="0.3">
      <c r="A91" s="2" t="s">
        <v>344</v>
      </c>
      <c r="B91" s="4">
        <v>0.41731533333333298</v>
      </c>
      <c r="C91" s="4">
        <v>0.416955666666667</v>
      </c>
      <c r="D91" s="4">
        <v>0.41679833333333299</v>
      </c>
      <c r="E91" s="4">
        <v>0.15064233333333299</v>
      </c>
      <c r="F91" s="4">
        <v>0.150818333333333</v>
      </c>
      <c r="G91" s="4">
        <v>0.15061866666666701</v>
      </c>
      <c r="H91" s="4">
        <v>0.183281</v>
      </c>
      <c r="I91" s="4">
        <v>0.18329266666666699</v>
      </c>
      <c r="J91" s="4">
        <v>0.183139</v>
      </c>
      <c r="O91" s="2" t="str">
        <f t="shared" si="7"/>
        <v>-0,20-0,00-0,30-0,00-0,50</v>
      </c>
      <c r="P91" s="6" t="str">
        <f t="shared" si="8"/>
        <v>-0,2</v>
      </c>
      <c r="Q91" s="6" t="str">
        <f t="shared" si="9"/>
        <v>-0,0</v>
      </c>
      <c r="R91" s="6" t="str">
        <f t="shared" si="10"/>
        <v>-0,3</v>
      </c>
      <c r="S91" s="6" t="str">
        <f t="shared" si="11"/>
        <v>-0,0</v>
      </c>
      <c r="T91" s="6" t="str">
        <f t="shared" si="12"/>
        <v>-0,5</v>
      </c>
      <c r="U91" s="2" t="str">
        <f t="shared" si="13"/>
        <v>&lt;Parametros&gt;&lt;Alfa&gt;-0,2&lt;/Alfa&gt;&lt;Beta&gt;-0,0&lt;/Beta&gt;&lt;Gamma&gt;-0,3&lt;/Gamma&gt;&lt;Delta&gt;-0,0&lt;/Delta&gt;&lt;Ro&gt;-0,5&lt;/Ro&gt;&lt;/Parametros&gt;</v>
      </c>
    </row>
    <row r="92" spans="1:21" x14ac:dyDescent="0.3">
      <c r="A92" s="2" t="s">
        <v>350</v>
      </c>
      <c r="B92" s="4">
        <v>0.41695733333333301</v>
      </c>
      <c r="C92" s="4">
        <v>0.416543</v>
      </c>
      <c r="D92" s="4">
        <v>0.41640833333333299</v>
      </c>
      <c r="E92" s="4">
        <v>0.150509</v>
      </c>
      <c r="F92" s="4">
        <v>0.15065200000000001</v>
      </c>
      <c r="G92" s="4">
        <v>0.150465666666667</v>
      </c>
      <c r="H92" s="4">
        <v>0.18237566666666699</v>
      </c>
      <c r="I92" s="4">
        <v>0.18235166666666699</v>
      </c>
      <c r="J92" s="4">
        <v>0.182212333333333</v>
      </c>
      <c r="O92" s="2" t="str">
        <f t="shared" si="7"/>
        <v>-0,30-0,00-0,20-0,00-0,50</v>
      </c>
      <c r="P92" s="6" t="str">
        <f t="shared" si="8"/>
        <v>-0,3</v>
      </c>
      <c r="Q92" s="6" t="str">
        <f t="shared" si="9"/>
        <v>-0,0</v>
      </c>
      <c r="R92" s="6" t="str">
        <f t="shared" si="10"/>
        <v>-0,2</v>
      </c>
      <c r="S92" s="6" t="str">
        <f t="shared" si="11"/>
        <v>-0,0</v>
      </c>
      <c r="T92" s="6" t="str">
        <f t="shared" si="12"/>
        <v>-0,5</v>
      </c>
      <c r="U92" s="2" t="str">
        <f t="shared" si="13"/>
        <v>&lt;Parametros&gt;&lt;Alfa&gt;-0,3&lt;/Alfa&gt;&lt;Beta&gt;-0,0&lt;/Beta&gt;&lt;Gamma&gt;-0,2&lt;/Gamma&gt;&lt;Delta&gt;-0,0&lt;/Delta&gt;&lt;Ro&gt;-0,5&lt;/Ro&gt;&lt;/Parametros&gt;</v>
      </c>
    </row>
    <row r="93" spans="1:21" x14ac:dyDescent="0.3">
      <c r="A93" s="2" t="s">
        <v>355</v>
      </c>
      <c r="B93" s="4">
        <v>0.414515666666667</v>
      </c>
      <c r="C93" s="4">
        <v>0.41380600000000001</v>
      </c>
      <c r="D93" s="4">
        <v>0.41380899999999998</v>
      </c>
      <c r="E93" s="4">
        <v>0.14874200000000001</v>
      </c>
      <c r="F93" s="4">
        <v>0.148606666666667</v>
      </c>
      <c r="G93" s="4">
        <v>0.14855599999999999</v>
      </c>
      <c r="H93" s="4">
        <v>0.18014733333333299</v>
      </c>
      <c r="I93" s="4">
        <v>0.179893</v>
      </c>
      <c r="J93" s="4">
        <v>0.17986566666666701</v>
      </c>
      <c r="O93" s="2" t="str">
        <f t="shared" si="7"/>
        <v>-0,40-0,00-0,10-0,00-0,50</v>
      </c>
      <c r="P93" s="6" t="str">
        <f t="shared" si="8"/>
        <v>-0,4</v>
      </c>
      <c r="Q93" s="6" t="str">
        <f t="shared" si="9"/>
        <v>-0,0</v>
      </c>
      <c r="R93" s="6" t="str">
        <f t="shared" si="10"/>
        <v>-0,1</v>
      </c>
      <c r="S93" s="6" t="str">
        <f t="shared" si="11"/>
        <v>-0,0</v>
      </c>
      <c r="T93" s="6" t="str">
        <f t="shared" si="12"/>
        <v>-0,5</v>
      </c>
      <c r="U93" s="2" t="str">
        <f t="shared" si="13"/>
        <v>&lt;Parametros&gt;&lt;Alfa&gt;-0,4&lt;/Alfa&gt;&lt;Beta&gt;-0,0&lt;/Beta&gt;&lt;Gamma&gt;-0,1&lt;/Gamma&gt;&lt;Delta&gt;-0,0&lt;/Delta&gt;&lt;Ro&gt;-0,5&lt;/Ro&gt;&lt;/Parametros&gt;</v>
      </c>
    </row>
    <row r="94" spans="1:21" x14ac:dyDescent="0.3">
      <c r="A94" s="2" t="s">
        <v>336</v>
      </c>
      <c r="B94" s="4">
        <v>0.41038466666666701</v>
      </c>
      <c r="C94" s="4">
        <v>0.40970133333333297</v>
      </c>
      <c r="D94" s="4">
        <v>0.409715</v>
      </c>
      <c r="E94" s="4">
        <v>0.142385333333333</v>
      </c>
      <c r="F94" s="4">
        <v>0.14228233333333301</v>
      </c>
      <c r="G94" s="4">
        <v>0.142227666666667</v>
      </c>
      <c r="H94" s="4">
        <v>0.17567433333333299</v>
      </c>
      <c r="I94" s="4">
        <v>0.17542766666666701</v>
      </c>
      <c r="J94" s="4">
        <v>0.17540800000000001</v>
      </c>
      <c r="K94" s="7"/>
      <c r="L94" s="7"/>
      <c r="M94" s="7"/>
      <c r="O94" s="2" t="str">
        <f t="shared" si="7"/>
        <v>-0,10-0,00-0,30-0,00-0,60</v>
      </c>
      <c r="P94" s="6" t="str">
        <f t="shared" si="8"/>
        <v>-0,1</v>
      </c>
      <c r="Q94" s="6" t="str">
        <f t="shared" si="9"/>
        <v>-0,0</v>
      </c>
      <c r="R94" s="6" t="str">
        <f t="shared" si="10"/>
        <v>-0,3</v>
      </c>
      <c r="S94" s="6" t="str">
        <f t="shared" si="11"/>
        <v>-0,0</v>
      </c>
      <c r="T94" s="6" t="str">
        <f t="shared" si="12"/>
        <v>-0,6</v>
      </c>
      <c r="U94" s="2" t="str">
        <f t="shared" si="13"/>
        <v>&lt;Parametros&gt;&lt;Alfa&gt;-0,1&lt;/Alfa&gt;&lt;Beta&gt;-0,0&lt;/Beta&gt;&lt;Gamma&gt;-0,3&lt;/Gamma&gt;&lt;Delta&gt;-0,0&lt;/Delta&gt;&lt;Ro&gt;-0,6&lt;/Ro&gt;&lt;/Parametros&gt;</v>
      </c>
    </row>
    <row r="95" spans="1:21" x14ac:dyDescent="0.3">
      <c r="A95" s="2" t="s">
        <v>349</v>
      </c>
      <c r="B95" s="4">
        <v>0.41001399999999999</v>
      </c>
      <c r="C95" s="4">
        <v>0.409297666666667</v>
      </c>
      <c r="D95" s="4">
        <v>0.40932566666666698</v>
      </c>
      <c r="E95" s="4">
        <v>0.14360700000000001</v>
      </c>
      <c r="F95" s="4">
        <v>0.14350033333333301</v>
      </c>
      <c r="G95" s="4">
        <v>0.14344733333333301</v>
      </c>
      <c r="H95" s="4">
        <v>0.17556766666666701</v>
      </c>
      <c r="I95" s="4">
        <v>0.17531033333333301</v>
      </c>
      <c r="J95" s="4">
        <v>0.175296333333333</v>
      </c>
      <c r="O95" s="2" t="str">
        <f t="shared" si="7"/>
        <v>-0,30-0,00-0,10-0,00-0,60</v>
      </c>
      <c r="P95" s="6" t="str">
        <f t="shared" si="8"/>
        <v>-0,3</v>
      </c>
      <c r="Q95" s="6" t="str">
        <f t="shared" si="9"/>
        <v>-0,0</v>
      </c>
      <c r="R95" s="6" t="str">
        <f t="shared" si="10"/>
        <v>-0,1</v>
      </c>
      <c r="S95" s="6" t="str">
        <f t="shared" si="11"/>
        <v>-0,0</v>
      </c>
      <c r="T95" s="6" t="str">
        <f t="shared" si="12"/>
        <v>-0,6</v>
      </c>
      <c r="U95" s="2" t="str">
        <f t="shared" si="13"/>
        <v>&lt;Parametros&gt;&lt;Alfa&gt;-0,3&lt;/Alfa&gt;&lt;Beta&gt;-0,0&lt;/Beta&gt;&lt;Gamma&gt;-0,1&lt;/Gamma&gt;&lt;Delta&gt;-0,0&lt;/Delta&gt;&lt;Ro&gt;-0,6&lt;/Ro&gt;&lt;/Parametros&gt;</v>
      </c>
    </row>
    <row r="96" spans="1:21" x14ac:dyDescent="0.3">
      <c r="A96" s="2" t="s">
        <v>343</v>
      </c>
      <c r="B96" s="4">
        <v>0.40878199999999998</v>
      </c>
      <c r="C96" s="4">
        <v>0.408115333333333</v>
      </c>
      <c r="D96" s="4">
        <v>0.40811999999999998</v>
      </c>
      <c r="E96" s="4">
        <v>0.14187233333333299</v>
      </c>
      <c r="F96" s="4">
        <v>0.14190566666666701</v>
      </c>
      <c r="G96" s="4">
        <v>0.14178399999999999</v>
      </c>
      <c r="H96" s="4">
        <v>0.17464533333333301</v>
      </c>
      <c r="I96" s="4">
        <v>0.17449999999999999</v>
      </c>
      <c r="J96" s="4">
        <v>0.174432</v>
      </c>
      <c r="O96" s="2" t="str">
        <f t="shared" si="7"/>
        <v>-0,20-0,00-0,20-0,00-0,60</v>
      </c>
      <c r="P96" s="6" t="str">
        <f t="shared" si="8"/>
        <v>-0,2</v>
      </c>
      <c r="Q96" s="6" t="str">
        <f t="shared" si="9"/>
        <v>-0,0</v>
      </c>
      <c r="R96" s="6" t="str">
        <f t="shared" si="10"/>
        <v>-0,2</v>
      </c>
      <c r="S96" s="6" t="str">
        <f t="shared" si="11"/>
        <v>-0,0</v>
      </c>
      <c r="T96" s="6" t="str">
        <f t="shared" si="12"/>
        <v>-0,6</v>
      </c>
      <c r="U96" s="2" t="str">
        <f t="shared" si="13"/>
        <v>&lt;Parametros&gt;&lt;Alfa&gt;-0,2&lt;/Alfa&gt;&lt;Beta&gt;-0,0&lt;/Beta&gt;&lt;Gamma&gt;-0,2&lt;/Gamma&gt;&lt;Delta&gt;-0,0&lt;/Delta&gt;&lt;Ro&gt;-0,6&lt;/Ro&gt;&lt;/Parametros&gt;</v>
      </c>
    </row>
    <row r="97" spans="1:21" x14ac:dyDescent="0.3">
      <c r="A97" s="2" t="s">
        <v>342</v>
      </c>
      <c r="B97" s="4">
        <v>0.40297233333333299</v>
      </c>
      <c r="C97" s="4">
        <v>0.40209266666666699</v>
      </c>
      <c r="D97" s="4">
        <v>0.40221600000000002</v>
      </c>
      <c r="E97" s="4">
        <v>0.135725333333333</v>
      </c>
      <c r="F97" s="4">
        <v>0.13565433333333299</v>
      </c>
      <c r="G97" s="4">
        <v>0.135593666666667</v>
      </c>
      <c r="H97" s="4">
        <v>0.16913766666666699</v>
      </c>
      <c r="I97" s="4">
        <v>0.16889000000000001</v>
      </c>
      <c r="J97" s="4">
        <v>0.16888400000000001</v>
      </c>
      <c r="O97" s="2" t="str">
        <f t="shared" si="7"/>
        <v>-0,20-0,00-0,10-0,00-0,70</v>
      </c>
      <c r="P97" s="6" t="str">
        <f t="shared" si="8"/>
        <v>-0,2</v>
      </c>
      <c r="Q97" s="6" t="str">
        <f t="shared" si="9"/>
        <v>-0,0</v>
      </c>
      <c r="R97" s="6" t="str">
        <f t="shared" si="10"/>
        <v>-0,1</v>
      </c>
      <c r="S97" s="6" t="str">
        <f t="shared" si="11"/>
        <v>-0,0</v>
      </c>
      <c r="T97" s="6" t="str">
        <f t="shared" si="12"/>
        <v>-0,7</v>
      </c>
      <c r="U97" s="2" t="str">
        <f t="shared" si="13"/>
        <v>&lt;Parametros&gt;&lt;Alfa&gt;-0,2&lt;/Alfa&gt;&lt;Beta&gt;-0,0&lt;/Beta&gt;&lt;Gamma&gt;-0,1&lt;/Gamma&gt;&lt;Delta&gt;-0,0&lt;/Delta&gt;&lt;Ro&gt;-0,7&lt;/Ro&gt;&lt;/Parametros&gt;</v>
      </c>
    </row>
    <row r="98" spans="1:21" x14ac:dyDescent="0.3">
      <c r="A98" s="2" t="s">
        <v>335</v>
      </c>
      <c r="B98" s="4">
        <v>0.40286633333333299</v>
      </c>
      <c r="C98" s="4">
        <v>0.40210400000000002</v>
      </c>
      <c r="D98" s="4">
        <v>0.40216533333333299</v>
      </c>
      <c r="E98" s="4">
        <v>0.13515466666666701</v>
      </c>
      <c r="F98" s="4">
        <v>0.13508066666666699</v>
      </c>
      <c r="G98" s="4">
        <v>0.13502133333333299</v>
      </c>
      <c r="H98" s="4">
        <v>0.16916</v>
      </c>
      <c r="I98" s="4">
        <v>0.16890966666666701</v>
      </c>
      <c r="J98" s="4">
        <v>0.168901</v>
      </c>
      <c r="O98" s="2" t="str">
        <f t="shared" si="7"/>
        <v>-0,10-0,00-0,20-0,00-0,70</v>
      </c>
      <c r="P98" s="6" t="str">
        <f t="shared" si="8"/>
        <v>-0,1</v>
      </c>
      <c r="Q98" s="6" t="str">
        <f t="shared" si="9"/>
        <v>-0,0</v>
      </c>
      <c r="R98" s="6" t="str">
        <f t="shared" si="10"/>
        <v>-0,2</v>
      </c>
      <c r="S98" s="6" t="str">
        <f t="shared" si="11"/>
        <v>-0,0</v>
      </c>
      <c r="T98" s="6" t="str">
        <f t="shared" si="12"/>
        <v>-0,7</v>
      </c>
      <c r="U98" s="2" t="str">
        <f t="shared" si="13"/>
        <v>&lt;Parametros&gt;&lt;Alfa&gt;-0,1&lt;/Alfa&gt;&lt;Beta&gt;-0,0&lt;/Beta&gt;&lt;Gamma&gt;-0,2&lt;/Gamma&gt;&lt;Delta&gt;-0,0&lt;/Delta&gt;&lt;Ro&gt;-0,7&lt;/Ro&gt;&lt;/Parametros&gt;</v>
      </c>
    </row>
    <row r="99" spans="1:21" x14ac:dyDescent="0.3">
      <c r="A99" s="2" t="s">
        <v>334</v>
      </c>
      <c r="B99" s="4">
        <v>0.400281</v>
      </c>
      <c r="C99" s="4">
        <v>0.399349333333333</v>
      </c>
      <c r="D99" s="4">
        <v>0.399498666666667</v>
      </c>
      <c r="E99" s="4">
        <v>0.132602</v>
      </c>
      <c r="F99" s="4">
        <v>0.13251033333333301</v>
      </c>
      <c r="G99" s="4">
        <v>0.13246466666666701</v>
      </c>
      <c r="H99" s="4">
        <v>0.167200666666667</v>
      </c>
      <c r="I99" s="4">
        <v>0.16690199999999999</v>
      </c>
      <c r="J99" s="4">
        <v>0.166922666666667</v>
      </c>
      <c r="O99" s="2" t="str">
        <f t="shared" si="7"/>
        <v>-0,10-0,00-0,10-0,00-0,80</v>
      </c>
      <c r="P99" s="6" t="str">
        <f t="shared" si="8"/>
        <v>-0,1</v>
      </c>
      <c r="Q99" s="6" t="str">
        <f t="shared" si="9"/>
        <v>-0,0</v>
      </c>
      <c r="R99" s="6" t="str">
        <f t="shared" si="10"/>
        <v>-0,1</v>
      </c>
      <c r="S99" s="6" t="str">
        <f t="shared" si="11"/>
        <v>-0,0</v>
      </c>
      <c r="T99" s="6" t="str">
        <f t="shared" si="12"/>
        <v>-0,8</v>
      </c>
      <c r="U99" s="2" t="str">
        <f t="shared" si="13"/>
        <v>&lt;Parametros&gt;&lt;Alfa&gt;-0,1&lt;/Alfa&gt;&lt;Beta&gt;-0,0&lt;/Beta&gt;&lt;Gamma&gt;-0,1&lt;/Gamma&gt;&lt;Delta&gt;-0,0&lt;/Delta&gt;&lt;Ro&gt;-0,8&lt;/Ro&gt;&lt;/Parametros&gt;</v>
      </c>
    </row>
    <row r="100" spans="1:21" x14ac:dyDescent="0.3">
      <c r="B100" s="4"/>
      <c r="C100" s="4"/>
      <c r="D100" s="4"/>
      <c r="E100" s="4"/>
      <c r="F100" s="4"/>
      <c r="G100" s="4"/>
      <c r="H100" s="4"/>
      <c r="I100" s="4"/>
      <c r="J100" s="4"/>
      <c r="K100" s="7"/>
      <c r="L100" s="7"/>
      <c r="M100" s="7"/>
      <c r="O100" s="2" t="e">
        <f t="shared" si="7"/>
        <v>#VALUE!</v>
      </c>
      <c r="P100" s="6" t="e">
        <f t="shared" si="8"/>
        <v>#VALUE!</v>
      </c>
      <c r="Q100" s="6" t="e">
        <f t="shared" si="9"/>
        <v>#VALUE!</v>
      </c>
      <c r="R100" s="6" t="e">
        <f t="shared" si="10"/>
        <v>#VALUE!</v>
      </c>
      <c r="S100" s="6" t="e">
        <f t="shared" si="11"/>
        <v>#VALUE!</v>
      </c>
      <c r="T100" s="6" t="e">
        <f t="shared" si="12"/>
        <v>#VALUE!</v>
      </c>
      <c r="U100" s="2" t="e">
        <f t="shared" si="13"/>
        <v>#VALUE!</v>
      </c>
    </row>
    <row r="101" spans="1:21" x14ac:dyDescent="0.3">
      <c r="B101" s="4"/>
      <c r="C101" s="4"/>
      <c r="D101" s="4"/>
      <c r="E101" s="4"/>
      <c r="F101" s="4"/>
      <c r="G101" s="4"/>
      <c r="H101" s="4"/>
      <c r="I101" s="4"/>
      <c r="J101" s="4"/>
      <c r="O101" s="2" t="e">
        <f t="shared" si="7"/>
        <v>#VALUE!</v>
      </c>
      <c r="P101" s="6" t="e">
        <f t="shared" si="8"/>
        <v>#VALUE!</v>
      </c>
      <c r="Q101" s="6" t="e">
        <f t="shared" si="9"/>
        <v>#VALUE!</v>
      </c>
      <c r="R101" s="6" t="e">
        <f t="shared" si="10"/>
        <v>#VALUE!</v>
      </c>
      <c r="S101" s="6" t="e">
        <f t="shared" si="11"/>
        <v>#VALUE!</v>
      </c>
      <c r="T101" s="6" t="e">
        <f t="shared" si="12"/>
        <v>#VALUE!</v>
      </c>
      <c r="U101" s="2" t="e">
        <f t="shared" si="13"/>
        <v>#VALUE!</v>
      </c>
    </row>
    <row r="102" spans="1:21" x14ac:dyDescent="0.3">
      <c r="B102" s="4"/>
      <c r="C102" s="4"/>
      <c r="D102" s="4"/>
      <c r="E102" s="4"/>
      <c r="F102" s="4"/>
      <c r="G102" s="4"/>
      <c r="H102" s="4"/>
      <c r="I102" s="4"/>
      <c r="J102" s="4"/>
      <c r="O102" s="2" t="e">
        <f t="shared" si="7"/>
        <v>#VALUE!</v>
      </c>
      <c r="P102" s="6" t="e">
        <f t="shared" si="8"/>
        <v>#VALUE!</v>
      </c>
      <c r="Q102" s="6" t="e">
        <f t="shared" si="9"/>
        <v>#VALUE!</v>
      </c>
      <c r="R102" s="6" t="e">
        <f t="shared" si="10"/>
        <v>#VALUE!</v>
      </c>
      <c r="S102" s="6" t="e">
        <f t="shared" si="11"/>
        <v>#VALUE!</v>
      </c>
      <c r="T102" s="6" t="e">
        <f t="shared" si="12"/>
        <v>#VALUE!</v>
      </c>
      <c r="U102" s="2" t="e">
        <f t="shared" si="13"/>
        <v>#VALUE!</v>
      </c>
    </row>
    <row r="103" spans="1:21" x14ac:dyDescent="0.3">
      <c r="B103" s="4"/>
      <c r="C103" s="4"/>
      <c r="D103" s="4"/>
      <c r="E103" s="4"/>
      <c r="F103" s="4"/>
      <c r="G103" s="4"/>
      <c r="H103" s="4"/>
      <c r="I103" s="4"/>
      <c r="J103" s="4"/>
      <c r="O103" s="2" t="e">
        <f t="shared" si="7"/>
        <v>#VALUE!</v>
      </c>
      <c r="P103" s="6" t="e">
        <f t="shared" si="8"/>
        <v>#VALUE!</v>
      </c>
      <c r="Q103" s="6" t="e">
        <f t="shared" si="9"/>
        <v>#VALUE!</v>
      </c>
      <c r="R103" s="6" t="e">
        <f t="shared" si="10"/>
        <v>#VALUE!</v>
      </c>
      <c r="S103" s="6" t="e">
        <f t="shared" si="11"/>
        <v>#VALUE!</v>
      </c>
      <c r="T103" s="6" t="e">
        <f t="shared" si="12"/>
        <v>#VALUE!</v>
      </c>
      <c r="U103" s="2" t="e">
        <f t="shared" si="13"/>
        <v>#VALUE!</v>
      </c>
    </row>
    <row r="104" spans="1:21" x14ac:dyDescent="0.3">
      <c r="B104" s="4"/>
      <c r="C104" s="4"/>
      <c r="D104" s="4"/>
      <c r="E104" s="4"/>
      <c r="F104" s="4"/>
      <c r="G104" s="4"/>
      <c r="H104" s="4"/>
      <c r="I104" s="4"/>
      <c r="J104" s="4"/>
      <c r="O104" s="2" t="e">
        <f t="shared" si="7"/>
        <v>#VALUE!</v>
      </c>
      <c r="P104" s="6" t="e">
        <f t="shared" si="8"/>
        <v>#VALUE!</v>
      </c>
      <c r="Q104" s="6" t="e">
        <f t="shared" si="9"/>
        <v>#VALUE!</v>
      </c>
      <c r="R104" s="6" t="e">
        <f t="shared" si="10"/>
        <v>#VALUE!</v>
      </c>
      <c r="S104" s="6" t="e">
        <f t="shared" si="11"/>
        <v>#VALUE!</v>
      </c>
      <c r="T104" s="6" t="e">
        <f t="shared" si="12"/>
        <v>#VALUE!</v>
      </c>
      <c r="U104" s="2" t="e">
        <f t="shared" si="13"/>
        <v>#VALUE!</v>
      </c>
    </row>
    <row r="105" spans="1:21" x14ac:dyDescent="0.3">
      <c r="B105" s="4"/>
      <c r="C105" s="4"/>
      <c r="D105" s="4"/>
      <c r="E105" s="4"/>
      <c r="F105" s="4"/>
      <c r="G105" s="4"/>
      <c r="H105" s="4"/>
      <c r="I105" s="4"/>
      <c r="J105" s="4"/>
      <c r="O105" s="2" t="e">
        <f t="shared" si="7"/>
        <v>#VALUE!</v>
      </c>
      <c r="P105" s="6" t="e">
        <f t="shared" si="8"/>
        <v>#VALUE!</v>
      </c>
      <c r="Q105" s="6" t="e">
        <f t="shared" si="9"/>
        <v>#VALUE!</v>
      </c>
      <c r="R105" s="6" t="e">
        <f t="shared" si="10"/>
        <v>#VALUE!</v>
      </c>
      <c r="S105" s="6" t="e">
        <f t="shared" si="11"/>
        <v>#VALUE!</v>
      </c>
      <c r="T105" s="6" t="e">
        <f t="shared" si="12"/>
        <v>#VALUE!</v>
      </c>
      <c r="U105" s="2" t="e">
        <f t="shared" si="13"/>
        <v>#VALUE!</v>
      </c>
    </row>
    <row r="106" spans="1:21" x14ac:dyDescent="0.3">
      <c r="B106" s="4"/>
      <c r="C106" s="4"/>
      <c r="D106" s="4"/>
      <c r="E106" s="4"/>
      <c r="F106" s="4"/>
      <c r="G106" s="4"/>
      <c r="H106" s="4"/>
      <c r="I106" s="4"/>
      <c r="J106" s="4"/>
      <c r="O106" s="2" t="e">
        <f t="shared" si="7"/>
        <v>#VALUE!</v>
      </c>
      <c r="P106" s="6" t="e">
        <f t="shared" si="8"/>
        <v>#VALUE!</v>
      </c>
      <c r="Q106" s="6" t="e">
        <f t="shared" si="9"/>
        <v>#VALUE!</v>
      </c>
      <c r="R106" s="6" t="e">
        <f t="shared" si="10"/>
        <v>#VALUE!</v>
      </c>
      <c r="S106" s="6" t="e">
        <f t="shared" si="11"/>
        <v>#VALUE!</v>
      </c>
      <c r="T106" s="6" t="e">
        <f t="shared" si="12"/>
        <v>#VALUE!</v>
      </c>
      <c r="U106" s="2" t="e">
        <f t="shared" si="13"/>
        <v>#VALUE!</v>
      </c>
    </row>
    <row r="107" spans="1:21" x14ac:dyDescent="0.3">
      <c r="B107" s="4"/>
      <c r="C107" s="4"/>
      <c r="D107" s="4"/>
      <c r="E107" s="4"/>
      <c r="F107" s="4"/>
      <c r="G107" s="4"/>
      <c r="H107" s="4"/>
      <c r="I107" s="4"/>
      <c r="J107" s="4"/>
      <c r="O107" s="2" t="e">
        <f t="shared" si="7"/>
        <v>#VALUE!</v>
      </c>
      <c r="P107" s="6" t="e">
        <f t="shared" si="8"/>
        <v>#VALUE!</v>
      </c>
      <c r="Q107" s="6" t="e">
        <f t="shared" si="9"/>
        <v>#VALUE!</v>
      </c>
      <c r="R107" s="6" t="e">
        <f t="shared" si="10"/>
        <v>#VALUE!</v>
      </c>
      <c r="S107" s="6" t="e">
        <f t="shared" si="11"/>
        <v>#VALUE!</v>
      </c>
      <c r="T107" s="6" t="e">
        <f t="shared" si="12"/>
        <v>#VALUE!</v>
      </c>
      <c r="U107" s="2" t="e">
        <f t="shared" si="13"/>
        <v>#VALUE!</v>
      </c>
    </row>
    <row r="108" spans="1:21" x14ac:dyDescent="0.3">
      <c r="B108" s="4"/>
      <c r="C108" s="4"/>
      <c r="D108" s="4"/>
      <c r="E108" s="4"/>
      <c r="F108" s="4"/>
      <c r="G108" s="4"/>
      <c r="H108" s="4"/>
      <c r="I108" s="4"/>
      <c r="J108" s="4"/>
      <c r="K108" s="7"/>
      <c r="L108" s="7"/>
      <c r="M108" s="7"/>
      <c r="O108" s="2" t="e">
        <f t="shared" si="7"/>
        <v>#VALUE!</v>
      </c>
      <c r="P108" s="6" t="e">
        <f t="shared" si="8"/>
        <v>#VALUE!</v>
      </c>
      <c r="Q108" s="6" t="e">
        <f t="shared" si="9"/>
        <v>#VALUE!</v>
      </c>
      <c r="R108" s="6" t="e">
        <f t="shared" si="10"/>
        <v>#VALUE!</v>
      </c>
      <c r="S108" s="6" t="e">
        <f t="shared" si="11"/>
        <v>#VALUE!</v>
      </c>
      <c r="T108" s="6" t="e">
        <f t="shared" si="12"/>
        <v>#VALUE!</v>
      </c>
      <c r="U108" s="2" t="e">
        <f t="shared" si="13"/>
        <v>#VALUE!</v>
      </c>
    </row>
    <row r="109" spans="1:21" x14ac:dyDescent="0.3">
      <c r="B109" s="4"/>
      <c r="C109" s="4"/>
      <c r="D109" s="4"/>
      <c r="E109" s="4"/>
      <c r="F109" s="4"/>
      <c r="G109" s="4"/>
      <c r="H109" s="4"/>
      <c r="I109" s="4"/>
      <c r="J109" s="4"/>
      <c r="O109" s="2" t="e">
        <f t="shared" si="7"/>
        <v>#VALUE!</v>
      </c>
      <c r="P109" s="6" t="e">
        <f t="shared" si="8"/>
        <v>#VALUE!</v>
      </c>
      <c r="Q109" s="6" t="e">
        <f t="shared" si="9"/>
        <v>#VALUE!</v>
      </c>
      <c r="R109" s="6" t="e">
        <f t="shared" si="10"/>
        <v>#VALUE!</v>
      </c>
      <c r="S109" s="6" t="e">
        <f t="shared" si="11"/>
        <v>#VALUE!</v>
      </c>
      <c r="T109" s="6" t="e">
        <f t="shared" si="12"/>
        <v>#VALUE!</v>
      </c>
      <c r="U109" s="2" t="e">
        <f t="shared" si="13"/>
        <v>#VALUE!</v>
      </c>
    </row>
    <row r="110" spans="1:21" x14ac:dyDescent="0.3">
      <c r="B110" s="4"/>
      <c r="C110" s="4"/>
      <c r="D110" s="4"/>
      <c r="E110" s="4"/>
      <c r="F110" s="4"/>
      <c r="G110" s="4"/>
      <c r="H110" s="4"/>
      <c r="I110" s="4"/>
      <c r="J110" s="4"/>
      <c r="O110" s="2" t="e">
        <f t="shared" si="7"/>
        <v>#VALUE!</v>
      </c>
      <c r="P110" s="6" t="e">
        <f t="shared" si="8"/>
        <v>#VALUE!</v>
      </c>
      <c r="Q110" s="6" t="e">
        <f t="shared" si="9"/>
        <v>#VALUE!</v>
      </c>
      <c r="R110" s="6" t="e">
        <f t="shared" si="10"/>
        <v>#VALUE!</v>
      </c>
      <c r="S110" s="6" t="e">
        <f t="shared" si="11"/>
        <v>#VALUE!</v>
      </c>
      <c r="T110" s="6" t="e">
        <f t="shared" si="12"/>
        <v>#VALUE!</v>
      </c>
      <c r="U110" s="2" t="e">
        <f t="shared" si="13"/>
        <v>#VALUE!</v>
      </c>
    </row>
    <row r="111" spans="1:21" x14ac:dyDescent="0.3">
      <c r="B111" s="4"/>
      <c r="C111" s="4"/>
      <c r="D111" s="4"/>
      <c r="E111" s="4"/>
      <c r="F111" s="4"/>
      <c r="G111" s="4"/>
      <c r="H111" s="4"/>
      <c r="I111" s="4"/>
      <c r="J111" s="4"/>
      <c r="O111" s="2" t="e">
        <f t="shared" si="7"/>
        <v>#VALUE!</v>
      </c>
      <c r="P111" s="6" t="e">
        <f t="shared" si="8"/>
        <v>#VALUE!</v>
      </c>
      <c r="Q111" s="6" t="e">
        <f t="shared" si="9"/>
        <v>#VALUE!</v>
      </c>
      <c r="R111" s="6" t="e">
        <f t="shared" si="10"/>
        <v>#VALUE!</v>
      </c>
      <c r="S111" s="6" t="e">
        <f t="shared" si="11"/>
        <v>#VALUE!</v>
      </c>
      <c r="T111" s="6" t="e">
        <f t="shared" si="12"/>
        <v>#VALUE!</v>
      </c>
      <c r="U111" s="2" t="e">
        <f t="shared" si="13"/>
        <v>#VALUE!</v>
      </c>
    </row>
    <row r="112" spans="1:21" x14ac:dyDescent="0.3">
      <c r="B112" s="4"/>
      <c r="C112" s="4"/>
      <c r="D112" s="4"/>
      <c r="E112" s="4"/>
      <c r="F112" s="4"/>
      <c r="G112" s="4"/>
      <c r="H112" s="4"/>
      <c r="I112" s="4"/>
      <c r="J112" s="4"/>
      <c r="O112" s="2" t="e">
        <f t="shared" si="7"/>
        <v>#VALUE!</v>
      </c>
      <c r="P112" s="6" t="e">
        <f t="shared" si="8"/>
        <v>#VALUE!</v>
      </c>
      <c r="Q112" s="6" t="e">
        <f t="shared" si="9"/>
        <v>#VALUE!</v>
      </c>
      <c r="R112" s="6" t="e">
        <f t="shared" si="10"/>
        <v>#VALUE!</v>
      </c>
      <c r="S112" s="6" t="e">
        <f t="shared" si="11"/>
        <v>#VALUE!</v>
      </c>
      <c r="T112" s="6" t="e">
        <f t="shared" si="12"/>
        <v>#VALUE!</v>
      </c>
      <c r="U112" s="2" t="e">
        <f t="shared" si="13"/>
        <v>#VALUE!</v>
      </c>
    </row>
    <row r="113" spans="2:21" x14ac:dyDescent="0.3">
      <c r="B113" s="4"/>
      <c r="C113" s="4"/>
      <c r="D113" s="4"/>
      <c r="E113" s="4"/>
      <c r="F113" s="4"/>
      <c r="G113" s="4"/>
      <c r="H113" s="4"/>
      <c r="I113" s="4"/>
      <c r="J113" s="4"/>
      <c r="O113" s="2" t="e">
        <f t="shared" si="7"/>
        <v>#VALUE!</v>
      </c>
      <c r="P113" s="6" t="e">
        <f t="shared" si="8"/>
        <v>#VALUE!</v>
      </c>
      <c r="Q113" s="6" t="e">
        <f t="shared" si="9"/>
        <v>#VALUE!</v>
      </c>
      <c r="R113" s="6" t="e">
        <f t="shared" si="10"/>
        <v>#VALUE!</v>
      </c>
      <c r="S113" s="6" t="e">
        <f t="shared" si="11"/>
        <v>#VALUE!</v>
      </c>
      <c r="T113" s="6" t="e">
        <f t="shared" si="12"/>
        <v>#VALUE!</v>
      </c>
      <c r="U113" s="2" t="e">
        <f t="shared" si="13"/>
        <v>#VALUE!</v>
      </c>
    </row>
    <row r="114" spans="2:21" x14ac:dyDescent="0.3">
      <c r="B114" s="4"/>
      <c r="C114" s="4"/>
      <c r="D114" s="4"/>
      <c r="E114" s="4"/>
      <c r="F114" s="4"/>
      <c r="G114" s="4"/>
      <c r="H114" s="4"/>
      <c r="I114" s="4"/>
      <c r="J114" s="4"/>
      <c r="O114" s="2" t="e">
        <f t="shared" si="7"/>
        <v>#VALUE!</v>
      </c>
      <c r="P114" s="6" t="e">
        <f t="shared" si="8"/>
        <v>#VALUE!</v>
      </c>
      <c r="Q114" s="6" t="e">
        <f t="shared" si="9"/>
        <v>#VALUE!</v>
      </c>
      <c r="R114" s="6" t="e">
        <f t="shared" si="10"/>
        <v>#VALUE!</v>
      </c>
      <c r="S114" s="6" t="e">
        <f t="shared" si="11"/>
        <v>#VALUE!</v>
      </c>
      <c r="T114" s="6" t="e">
        <f t="shared" si="12"/>
        <v>#VALUE!</v>
      </c>
      <c r="U114" s="2" t="e">
        <f t="shared" si="13"/>
        <v>#VALUE!</v>
      </c>
    </row>
    <row r="115" spans="2:21" x14ac:dyDescent="0.3">
      <c r="B115" s="4"/>
      <c r="C115" s="4"/>
      <c r="D115" s="4"/>
      <c r="E115" s="4"/>
      <c r="F115" s="4"/>
      <c r="G115" s="4"/>
      <c r="H115" s="4"/>
      <c r="I115" s="4"/>
      <c r="J115" s="4"/>
      <c r="K115" s="7"/>
      <c r="L115" s="7"/>
      <c r="M115" s="7"/>
      <c r="O115" s="2" t="e">
        <f t="shared" si="7"/>
        <v>#VALUE!</v>
      </c>
      <c r="P115" s="6" t="e">
        <f t="shared" si="8"/>
        <v>#VALUE!</v>
      </c>
      <c r="Q115" s="6" t="e">
        <f t="shared" si="9"/>
        <v>#VALUE!</v>
      </c>
      <c r="R115" s="6" t="e">
        <f t="shared" si="10"/>
        <v>#VALUE!</v>
      </c>
      <c r="S115" s="6" t="e">
        <f t="shared" si="11"/>
        <v>#VALUE!</v>
      </c>
      <c r="T115" s="6" t="e">
        <f t="shared" si="12"/>
        <v>#VALUE!</v>
      </c>
      <c r="U115" s="2" t="e">
        <f t="shared" si="13"/>
        <v>#VALUE!</v>
      </c>
    </row>
    <row r="116" spans="2:21" x14ac:dyDescent="0.3">
      <c r="B116" s="4"/>
      <c r="C116" s="4"/>
      <c r="D116" s="4"/>
      <c r="E116" s="4"/>
      <c r="F116" s="4"/>
      <c r="G116" s="4"/>
      <c r="H116" s="4"/>
      <c r="I116" s="4"/>
      <c r="J116" s="4"/>
      <c r="O116" s="2" t="e">
        <f t="shared" si="7"/>
        <v>#VALUE!</v>
      </c>
      <c r="P116" s="6" t="e">
        <f t="shared" si="8"/>
        <v>#VALUE!</v>
      </c>
      <c r="Q116" s="6" t="e">
        <f t="shared" si="9"/>
        <v>#VALUE!</v>
      </c>
      <c r="R116" s="6" t="e">
        <f t="shared" si="10"/>
        <v>#VALUE!</v>
      </c>
      <c r="S116" s="6" t="e">
        <f t="shared" si="11"/>
        <v>#VALUE!</v>
      </c>
      <c r="T116" s="6" t="e">
        <f t="shared" si="12"/>
        <v>#VALUE!</v>
      </c>
      <c r="U116" s="2" t="e">
        <f t="shared" si="13"/>
        <v>#VALUE!</v>
      </c>
    </row>
    <row r="117" spans="2:21" x14ac:dyDescent="0.3">
      <c r="B117" s="4"/>
      <c r="C117" s="4"/>
      <c r="D117" s="4"/>
      <c r="E117" s="4"/>
      <c r="F117" s="4"/>
      <c r="G117" s="4"/>
      <c r="H117" s="4"/>
      <c r="I117" s="4"/>
      <c r="J117" s="4"/>
      <c r="O117" s="2" t="e">
        <f t="shared" si="7"/>
        <v>#VALUE!</v>
      </c>
      <c r="P117" s="6" t="e">
        <f t="shared" si="8"/>
        <v>#VALUE!</v>
      </c>
      <c r="Q117" s="6" t="e">
        <f t="shared" si="9"/>
        <v>#VALUE!</v>
      </c>
      <c r="R117" s="6" t="e">
        <f t="shared" si="10"/>
        <v>#VALUE!</v>
      </c>
      <c r="S117" s="6" t="e">
        <f t="shared" si="11"/>
        <v>#VALUE!</v>
      </c>
      <c r="T117" s="6" t="e">
        <f t="shared" si="12"/>
        <v>#VALUE!</v>
      </c>
      <c r="U117" s="2" t="e">
        <f t="shared" si="13"/>
        <v>#VALUE!</v>
      </c>
    </row>
    <row r="118" spans="2:21" x14ac:dyDescent="0.3">
      <c r="B118" s="4"/>
      <c r="C118" s="4"/>
      <c r="D118" s="4"/>
      <c r="E118" s="4"/>
      <c r="F118" s="4"/>
      <c r="G118" s="4"/>
      <c r="H118" s="4"/>
      <c r="I118" s="4"/>
      <c r="J118" s="4"/>
      <c r="O118" s="2" t="e">
        <f t="shared" si="7"/>
        <v>#VALUE!</v>
      </c>
      <c r="P118" s="6" t="e">
        <f t="shared" si="8"/>
        <v>#VALUE!</v>
      </c>
      <c r="Q118" s="6" t="e">
        <f t="shared" si="9"/>
        <v>#VALUE!</v>
      </c>
      <c r="R118" s="6" t="e">
        <f t="shared" si="10"/>
        <v>#VALUE!</v>
      </c>
      <c r="S118" s="6" t="e">
        <f t="shared" si="11"/>
        <v>#VALUE!</v>
      </c>
      <c r="T118" s="6" t="e">
        <f t="shared" si="12"/>
        <v>#VALUE!</v>
      </c>
      <c r="U118" s="2" t="e">
        <f t="shared" si="13"/>
        <v>#VALUE!</v>
      </c>
    </row>
    <row r="119" spans="2:21" x14ac:dyDescent="0.3">
      <c r="B119" s="4"/>
      <c r="C119" s="4"/>
      <c r="D119" s="4"/>
      <c r="E119" s="4"/>
      <c r="F119" s="4"/>
      <c r="G119" s="4"/>
      <c r="H119" s="4"/>
      <c r="I119" s="4"/>
      <c r="J119" s="4"/>
      <c r="O119" s="2" t="e">
        <f t="shared" si="7"/>
        <v>#VALUE!</v>
      </c>
      <c r="P119" s="6" t="e">
        <f t="shared" si="8"/>
        <v>#VALUE!</v>
      </c>
      <c r="Q119" s="6" t="e">
        <f t="shared" si="9"/>
        <v>#VALUE!</v>
      </c>
      <c r="R119" s="6" t="e">
        <f t="shared" si="10"/>
        <v>#VALUE!</v>
      </c>
      <c r="S119" s="6" t="e">
        <f t="shared" si="11"/>
        <v>#VALUE!</v>
      </c>
      <c r="T119" s="6" t="e">
        <f t="shared" si="12"/>
        <v>#VALUE!</v>
      </c>
      <c r="U119" s="2" t="e">
        <f t="shared" si="13"/>
        <v>#VALUE!</v>
      </c>
    </row>
    <row r="120" spans="2:21" x14ac:dyDescent="0.3">
      <c r="B120" s="4"/>
      <c r="C120" s="4"/>
      <c r="D120" s="4"/>
      <c r="E120" s="4"/>
      <c r="F120" s="4"/>
      <c r="G120" s="4"/>
      <c r="H120" s="4"/>
      <c r="I120" s="4"/>
      <c r="J120" s="4"/>
      <c r="O120" s="2" t="e">
        <f t="shared" si="7"/>
        <v>#VALUE!</v>
      </c>
      <c r="P120" s="6" t="e">
        <f t="shared" si="8"/>
        <v>#VALUE!</v>
      </c>
      <c r="Q120" s="6" t="e">
        <f t="shared" si="9"/>
        <v>#VALUE!</v>
      </c>
      <c r="R120" s="6" t="e">
        <f t="shared" si="10"/>
        <v>#VALUE!</v>
      </c>
      <c r="S120" s="6" t="e">
        <f t="shared" si="11"/>
        <v>#VALUE!</v>
      </c>
      <c r="T120" s="6" t="e">
        <f t="shared" si="12"/>
        <v>#VALUE!</v>
      </c>
      <c r="U120" s="2" t="e">
        <f t="shared" si="13"/>
        <v>#VALUE!</v>
      </c>
    </row>
    <row r="121" spans="2:21" x14ac:dyDescent="0.3">
      <c r="B121" s="4"/>
      <c r="C121" s="4"/>
      <c r="D121" s="4"/>
      <c r="E121" s="4"/>
      <c r="F121" s="4"/>
      <c r="G121" s="4"/>
      <c r="H121" s="4"/>
      <c r="I121" s="4"/>
      <c r="J121" s="4"/>
      <c r="O121" s="2" t="e">
        <f t="shared" si="7"/>
        <v>#VALUE!</v>
      </c>
      <c r="P121" s="6" t="e">
        <f t="shared" si="8"/>
        <v>#VALUE!</v>
      </c>
      <c r="Q121" s="6" t="e">
        <f t="shared" si="9"/>
        <v>#VALUE!</v>
      </c>
      <c r="R121" s="6" t="e">
        <f t="shared" si="10"/>
        <v>#VALUE!</v>
      </c>
      <c r="S121" s="6" t="e">
        <f t="shared" si="11"/>
        <v>#VALUE!</v>
      </c>
      <c r="T121" s="6" t="e">
        <f t="shared" si="12"/>
        <v>#VALUE!</v>
      </c>
      <c r="U121" s="2" t="e">
        <f t="shared" si="13"/>
        <v>#VALUE!</v>
      </c>
    </row>
    <row r="122" spans="2:21" x14ac:dyDescent="0.3">
      <c r="B122" s="4"/>
      <c r="C122" s="4"/>
      <c r="D122" s="4"/>
      <c r="E122" s="4"/>
      <c r="F122" s="4"/>
      <c r="G122" s="4"/>
      <c r="H122" s="4"/>
      <c r="I122" s="4"/>
      <c r="J122" s="4"/>
      <c r="O122" s="2" t="e">
        <f t="shared" si="7"/>
        <v>#VALUE!</v>
      </c>
      <c r="P122" s="6" t="e">
        <f t="shared" si="8"/>
        <v>#VALUE!</v>
      </c>
      <c r="Q122" s="6" t="e">
        <f t="shared" si="9"/>
        <v>#VALUE!</v>
      </c>
      <c r="R122" s="6" t="e">
        <f t="shared" si="10"/>
        <v>#VALUE!</v>
      </c>
      <c r="S122" s="6" t="e">
        <f t="shared" si="11"/>
        <v>#VALUE!</v>
      </c>
      <c r="T122" s="6" t="e">
        <f t="shared" si="12"/>
        <v>#VALUE!</v>
      </c>
      <c r="U122" s="2" t="e">
        <f t="shared" si="13"/>
        <v>#VALUE!</v>
      </c>
    </row>
    <row r="123" spans="2:21" x14ac:dyDescent="0.3">
      <c r="B123" s="4"/>
      <c r="C123" s="4"/>
      <c r="D123" s="4"/>
      <c r="E123" s="4"/>
      <c r="F123" s="4"/>
      <c r="G123" s="4"/>
      <c r="H123" s="4"/>
      <c r="I123" s="4"/>
      <c r="J123" s="4"/>
      <c r="O123" s="2" t="e">
        <f t="shared" si="7"/>
        <v>#VALUE!</v>
      </c>
      <c r="P123" s="6" t="e">
        <f t="shared" si="8"/>
        <v>#VALUE!</v>
      </c>
      <c r="Q123" s="6" t="e">
        <f t="shared" si="9"/>
        <v>#VALUE!</v>
      </c>
      <c r="R123" s="6" t="e">
        <f t="shared" si="10"/>
        <v>#VALUE!</v>
      </c>
      <c r="S123" s="6" t="e">
        <f t="shared" si="11"/>
        <v>#VALUE!</v>
      </c>
      <c r="T123" s="6" t="e">
        <f t="shared" si="12"/>
        <v>#VALUE!</v>
      </c>
      <c r="U123" s="2" t="e">
        <f t="shared" si="13"/>
        <v>#VALUE!</v>
      </c>
    </row>
    <row r="124" spans="2:21" x14ac:dyDescent="0.3">
      <c r="B124" s="4"/>
      <c r="C124" s="4"/>
      <c r="D124" s="4"/>
      <c r="E124" s="4"/>
      <c r="F124" s="4"/>
      <c r="G124" s="4"/>
      <c r="H124" s="4"/>
      <c r="I124" s="4"/>
      <c r="J124" s="4"/>
      <c r="O124" s="2" t="e">
        <f t="shared" si="7"/>
        <v>#VALUE!</v>
      </c>
      <c r="P124" s="6" t="e">
        <f t="shared" si="8"/>
        <v>#VALUE!</v>
      </c>
      <c r="Q124" s="6" t="e">
        <f t="shared" si="9"/>
        <v>#VALUE!</v>
      </c>
      <c r="R124" s="6" t="e">
        <f t="shared" si="10"/>
        <v>#VALUE!</v>
      </c>
      <c r="S124" s="6" t="e">
        <f t="shared" si="11"/>
        <v>#VALUE!</v>
      </c>
      <c r="T124" s="6" t="e">
        <f t="shared" si="12"/>
        <v>#VALUE!</v>
      </c>
      <c r="U124" s="2" t="e">
        <f t="shared" si="13"/>
        <v>#VALUE!</v>
      </c>
    </row>
    <row r="125" spans="2:21" x14ac:dyDescent="0.3">
      <c r="B125" s="4"/>
      <c r="C125" s="4"/>
      <c r="D125" s="4"/>
      <c r="E125" s="4"/>
      <c r="F125" s="4"/>
      <c r="G125" s="4"/>
      <c r="H125" s="4"/>
      <c r="I125" s="4"/>
      <c r="J125" s="4"/>
      <c r="O125" s="2" t="e">
        <f t="shared" si="7"/>
        <v>#VALUE!</v>
      </c>
      <c r="P125" s="6" t="e">
        <f t="shared" si="8"/>
        <v>#VALUE!</v>
      </c>
      <c r="Q125" s="6" t="e">
        <f t="shared" si="9"/>
        <v>#VALUE!</v>
      </c>
      <c r="R125" s="6" t="e">
        <f t="shared" si="10"/>
        <v>#VALUE!</v>
      </c>
      <c r="S125" s="6" t="e">
        <f t="shared" si="11"/>
        <v>#VALUE!</v>
      </c>
      <c r="T125" s="6" t="e">
        <f t="shared" si="12"/>
        <v>#VALUE!</v>
      </c>
      <c r="U125" s="2" t="e">
        <f t="shared" si="13"/>
        <v>#VALUE!</v>
      </c>
    </row>
    <row r="126" spans="2:21" x14ac:dyDescent="0.3">
      <c r="B126" s="4"/>
      <c r="C126" s="4"/>
      <c r="D126" s="4"/>
      <c r="E126" s="4"/>
      <c r="F126" s="4"/>
      <c r="G126" s="4"/>
      <c r="H126" s="4"/>
      <c r="I126" s="4"/>
      <c r="J126" s="4"/>
      <c r="O126" s="2" t="e">
        <f t="shared" si="7"/>
        <v>#VALUE!</v>
      </c>
      <c r="P126" s="6" t="e">
        <f t="shared" si="8"/>
        <v>#VALUE!</v>
      </c>
      <c r="Q126" s="6" t="e">
        <f t="shared" si="9"/>
        <v>#VALUE!</v>
      </c>
      <c r="R126" s="6" t="e">
        <f t="shared" si="10"/>
        <v>#VALUE!</v>
      </c>
      <c r="S126" s="6" t="e">
        <f t="shared" si="11"/>
        <v>#VALUE!</v>
      </c>
      <c r="T126" s="6" t="e">
        <f t="shared" si="12"/>
        <v>#VALUE!</v>
      </c>
      <c r="U126" s="2" t="e">
        <f t="shared" si="13"/>
        <v>#VALUE!</v>
      </c>
    </row>
    <row r="127" spans="2:21" x14ac:dyDescent="0.3">
      <c r="B127" s="4"/>
      <c r="C127" s="4"/>
      <c r="D127" s="4"/>
      <c r="E127" s="4"/>
      <c r="F127" s="4"/>
      <c r="G127" s="4"/>
      <c r="H127" s="4"/>
      <c r="I127" s="4"/>
      <c r="J127" s="4"/>
      <c r="O127" s="2" t="e">
        <f t="shared" si="7"/>
        <v>#VALUE!</v>
      </c>
      <c r="P127" s="6" t="e">
        <f t="shared" si="8"/>
        <v>#VALUE!</v>
      </c>
      <c r="Q127" s="6" t="e">
        <f t="shared" si="9"/>
        <v>#VALUE!</v>
      </c>
      <c r="R127" s="6" t="e">
        <f t="shared" si="10"/>
        <v>#VALUE!</v>
      </c>
      <c r="S127" s="6" t="e">
        <f t="shared" si="11"/>
        <v>#VALUE!</v>
      </c>
      <c r="T127" s="6" t="e">
        <f t="shared" si="12"/>
        <v>#VALUE!</v>
      </c>
      <c r="U127" s="2" t="e">
        <f t="shared" si="13"/>
        <v>#VALUE!</v>
      </c>
    </row>
    <row r="128" spans="2:21" x14ac:dyDescent="0.3">
      <c r="B128" s="4"/>
      <c r="C128" s="4"/>
      <c r="D128" s="4"/>
      <c r="E128" s="4"/>
      <c r="F128" s="4"/>
      <c r="G128" s="4"/>
      <c r="H128" s="4"/>
      <c r="I128" s="4"/>
      <c r="J128" s="4"/>
      <c r="O128" s="2" t="e">
        <f t="shared" si="7"/>
        <v>#VALUE!</v>
      </c>
      <c r="P128" s="6" t="e">
        <f t="shared" si="8"/>
        <v>#VALUE!</v>
      </c>
      <c r="Q128" s="6" t="e">
        <f t="shared" si="9"/>
        <v>#VALUE!</v>
      </c>
      <c r="R128" s="6" t="e">
        <f t="shared" si="10"/>
        <v>#VALUE!</v>
      </c>
      <c r="S128" s="6" t="e">
        <f t="shared" si="11"/>
        <v>#VALUE!</v>
      </c>
      <c r="T128" s="6" t="e">
        <f t="shared" si="12"/>
        <v>#VALUE!</v>
      </c>
      <c r="U128" s="2" t="e">
        <f t="shared" si="13"/>
        <v>#VALUE!</v>
      </c>
    </row>
    <row r="129" spans="2:21" x14ac:dyDescent="0.3">
      <c r="B129" s="4"/>
      <c r="C129" s="4"/>
      <c r="D129" s="4"/>
      <c r="E129" s="4"/>
      <c r="F129" s="4"/>
      <c r="G129" s="4"/>
      <c r="H129" s="4"/>
      <c r="I129" s="4"/>
      <c r="J129" s="4"/>
      <c r="O129" s="2" t="e">
        <f t="shared" si="7"/>
        <v>#VALUE!</v>
      </c>
      <c r="P129" s="6" t="e">
        <f t="shared" si="8"/>
        <v>#VALUE!</v>
      </c>
      <c r="Q129" s="6" t="e">
        <f t="shared" si="9"/>
        <v>#VALUE!</v>
      </c>
      <c r="R129" s="6" t="e">
        <f t="shared" si="10"/>
        <v>#VALUE!</v>
      </c>
      <c r="S129" s="6" t="e">
        <f t="shared" si="11"/>
        <v>#VALUE!</v>
      </c>
      <c r="T129" s="6" t="e">
        <f t="shared" si="12"/>
        <v>#VALUE!</v>
      </c>
      <c r="U129" s="2" t="e">
        <f t="shared" si="13"/>
        <v>#VALUE!</v>
      </c>
    </row>
    <row r="130" spans="2:21" x14ac:dyDescent="0.3">
      <c r="B130" s="4"/>
      <c r="C130" s="4"/>
      <c r="D130" s="4"/>
      <c r="E130" s="4"/>
      <c r="F130" s="4"/>
      <c r="G130" s="4"/>
      <c r="H130" s="4"/>
      <c r="I130" s="4"/>
      <c r="J130" s="4"/>
      <c r="O130" s="2" t="e">
        <f t="shared" si="7"/>
        <v>#VALUE!</v>
      </c>
      <c r="P130" s="6" t="e">
        <f t="shared" si="8"/>
        <v>#VALUE!</v>
      </c>
      <c r="Q130" s="6" t="e">
        <f t="shared" si="9"/>
        <v>#VALUE!</v>
      </c>
      <c r="R130" s="6" t="e">
        <f t="shared" si="10"/>
        <v>#VALUE!</v>
      </c>
      <c r="S130" s="6" t="e">
        <f t="shared" si="11"/>
        <v>#VALUE!</v>
      </c>
      <c r="T130" s="6" t="e">
        <f t="shared" si="12"/>
        <v>#VALUE!</v>
      </c>
      <c r="U130" s="2" t="e">
        <f t="shared" si="13"/>
        <v>#VALUE!</v>
      </c>
    </row>
    <row r="131" spans="2:21" x14ac:dyDescent="0.3">
      <c r="B131" s="4"/>
      <c r="C131" s="4"/>
      <c r="D131" s="4"/>
      <c r="E131" s="4"/>
      <c r="F131" s="4"/>
      <c r="G131" s="4"/>
      <c r="H131" s="4"/>
      <c r="I131" s="4"/>
      <c r="J131" s="4"/>
      <c r="O131" s="2" t="e">
        <f t="shared" ref="O131:O194" si="14">SUBSTITUTE(MID(A131,53,FIND("GBHS",A131)-54), ".", ",")</f>
        <v>#VALUE!</v>
      </c>
      <c r="P131" s="6" t="e">
        <f t="shared" ref="P131:P194" si="15">MID(O131,1,4)</f>
        <v>#VALUE!</v>
      </c>
      <c r="Q131" s="6" t="e">
        <f t="shared" ref="Q131:Q194" si="16">MID(O131,6,4)</f>
        <v>#VALUE!</v>
      </c>
      <c r="R131" s="6" t="e">
        <f t="shared" ref="R131:R194" si="17">MID(O131,11,4)</f>
        <v>#VALUE!</v>
      </c>
      <c r="S131" s="6" t="e">
        <f t="shared" ref="S131:S194" si="18">MID(O131,16,4)</f>
        <v>#VALUE!</v>
      </c>
      <c r="T131" s="6" t="e">
        <f t="shared" ref="T131:T194" si="19">MID(O131,21,4)</f>
        <v>#VALUE!</v>
      </c>
      <c r="U131" s="2" t="e">
        <f t="shared" ref="U131:U194" si="20">SUBSTITUTE(CONCATENATE("&lt;Parametros&gt;","&lt;Alfa&gt;",P131,"&lt;/Alfa&gt;","&lt;Beta&gt;",Q131,"&lt;/Beta&gt;","&lt;Gamma&gt;",R131,"&lt;/Gamma&gt;","&lt;Delta&gt;",S131,"&lt;/Delta&gt;","&lt;Ro&gt;",T131,"&lt;/Ro&gt;","&lt;/Parametros&gt;"),",",",")</f>
        <v>#VALUE!</v>
      </c>
    </row>
    <row r="132" spans="2:21" x14ac:dyDescent="0.3">
      <c r="B132" s="4"/>
      <c r="C132" s="4"/>
      <c r="D132" s="4"/>
      <c r="E132" s="4"/>
      <c r="F132" s="4"/>
      <c r="G132" s="4"/>
      <c r="H132" s="4"/>
      <c r="I132" s="4"/>
      <c r="J132" s="4"/>
      <c r="O132" s="2" t="e">
        <f t="shared" si="14"/>
        <v>#VALUE!</v>
      </c>
      <c r="P132" s="6" t="e">
        <f t="shared" si="15"/>
        <v>#VALUE!</v>
      </c>
      <c r="Q132" s="6" t="e">
        <f t="shared" si="16"/>
        <v>#VALUE!</v>
      </c>
      <c r="R132" s="6" t="e">
        <f t="shared" si="17"/>
        <v>#VALUE!</v>
      </c>
      <c r="S132" s="6" t="e">
        <f t="shared" si="18"/>
        <v>#VALUE!</v>
      </c>
      <c r="T132" s="6" t="e">
        <f t="shared" si="19"/>
        <v>#VALUE!</v>
      </c>
      <c r="U132" s="2" t="e">
        <f t="shared" si="20"/>
        <v>#VALUE!</v>
      </c>
    </row>
    <row r="133" spans="2:21" x14ac:dyDescent="0.3">
      <c r="B133" s="4"/>
      <c r="C133" s="4"/>
      <c r="D133" s="4"/>
      <c r="E133" s="4"/>
      <c r="F133" s="4"/>
      <c r="G133" s="4"/>
      <c r="H133" s="4"/>
      <c r="I133" s="4"/>
      <c r="J133" s="4"/>
      <c r="O133" s="2" t="e">
        <f t="shared" si="14"/>
        <v>#VALUE!</v>
      </c>
      <c r="P133" s="6" t="e">
        <f t="shared" si="15"/>
        <v>#VALUE!</v>
      </c>
      <c r="Q133" s="6" t="e">
        <f t="shared" si="16"/>
        <v>#VALUE!</v>
      </c>
      <c r="R133" s="6" t="e">
        <f t="shared" si="17"/>
        <v>#VALUE!</v>
      </c>
      <c r="S133" s="6" t="e">
        <f t="shared" si="18"/>
        <v>#VALUE!</v>
      </c>
      <c r="T133" s="6" t="e">
        <f t="shared" si="19"/>
        <v>#VALUE!</v>
      </c>
      <c r="U133" s="2" t="e">
        <f t="shared" si="20"/>
        <v>#VALUE!</v>
      </c>
    </row>
    <row r="134" spans="2:21" x14ac:dyDescent="0.3">
      <c r="B134" s="4"/>
      <c r="C134" s="4"/>
      <c r="D134" s="4"/>
      <c r="E134" s="4"/>
      <c r="F134" s="4"/>
      <c r="G134" s="4"/>
      <c r="H134" s="4"/>
      <c r="I134" s="4"/>
      <c r="J134" s="4"/>
      <c r="O134" s="2" t="e">
        <f t="shared" si="14"/>
        <v>#VALUE!</v>
      </c>
      <c r="P134" s="6" t="e">
        <f t="shared" si="15"/>
        <v>#VALUE!</v>
      </c>
      <c r="Q134" s="6" t="e">
        <f t="shared" si="16"/>
        <v>#VALUE!</v>
      </c>
      <c r="R134" s="6" t="e">
        <f t="shared" si="17"/>
        <v>#VALUE!</v>
      </c>
      <c r="S134" s="6" t="e">
        <f t="shared" si="18"/>
        <v>#VALUE!</v>
      </c>
      <c r="T134" s="6" t="e">
        <f t="shared" si="19"/>
        <v>#VALUE!</v>
      </c>
      <c r="U134" s="2" t="e">
        <f t="shared" si="20"/>
        <v>#VALUE!</v>
      </c>
    </row>
    <row r="135" spans="2:21" x14ac:dyDescent="0.3">
      <c r="B135" s="4"/>
      <c r="C135" s="4"/>
      <c r="D135" s="4"/>
      <c r="E135" s="4"/>
      <c r="F135" s="4"/>
      <c r="G135" s="4"/>
      <c r="H135" s="4"/>
      <c r="I135" s="4"/>
      <c r="J135" s="4"/>
      <c r="O135" s="2" t="e">
        <f t="shared" si="14"/>
        <v>#VALUE!</v>
      </c>
      <c r="P135" s="6" t="e">
        <f t="shared" si="15"/>
        <v>#VALUE!</v>
      </c>
      <c r="Q135" s="6" t="e">
        <f t="shared" si="16"/>
        <v>#VALUE!</v>
      </c>
      <c r="R135" s="6" t="e">
        <f t="shared" si="17"/>
        <v>#VALUE!</v>
      </c>
      <c r="S135" s="6" t="e">
        <f t="shared" si="18"/>
        <v>#VALUE!</v>
      </c>
      <c r="T135" s="6" t="e">
        <f t="shared" si="19"/>
        <v>#VALUE!</v>
      </c>
      <c r="U135" s="2" t="e">
        <f t="shared" si="20"/>
        <v>#VALUE!</v>
      </c>
    </row>
    <row r="136" spans="2:21" x14ac:dyDescent="0.3">
      <c r="B136" s="4"/>
      <c r="C136" s="4"/>
      <c r="D136" s="4"/>
      <c r="E136" s="4"/>
      <c r="F136" s="4"/>
      <c r="G136" s="4"/>
      <c r="H136" s="4"/>
      <c r="I136" s="4"/>
      <c r="J136" s="4"/>
      <c r="O136" s="2" t="e">
        <f t="shared" si="14"/>
        <v>#VALUE!</v>
      </c>
      <c r="P136" s="6" t="e">
        <f t="shared" si="15"/>
        <v>#VALUE!</v>
      </c>
      <c r="Q136" s="6" t="e">
        <f t="shared" si="16"/>
        <v>#VALUE!</v>
      </c>
      <c r="R136" s="6" t="e">
        <f t="shared" si="17"/>
        <v>#VALUE!</v>
      </c>
      <c r="S136" s="6" t="e">
        <f t="shared" si="18"/>
        <v>#VALUE!</v>
      </c>
      <c r="T136" s="6" t="e">
        <f t="shared" si="19"/>
        <v>#VALUE!</v>
      </c>
      <c r="U136" s="2" t="e">
        <f t="shared" si="20"/>
        <v>#VALUE!</v>
      </c>
    </row>
    <row r="137" spans="2:21" x14ac:dyDescent="0.3">
      <c r="B137" s="4"/>
      <c r="C137" s="4"/>
      <c r="D137" s="4"/>
      <c r="E137" s="4"/>
      <c r="F137" s="4"/>
      <c r="G137" s="4"/>
      <c r="H137" s="4"/>
      <c r="I137" s="4"/>
      <c r="J137" s="4"/>
      <c r="O137" s="2" t="e">
        <f t="shared" si="14"/>
        <v>#VALUE!</v>
      </c>
      <c r="P137" s="6" t="e">
        <f t="shared" si="15"/>
        <v>#VALUE!</v>
      </c>
      <c r="Q137" s="6" t="e">
        <f t="shared" si="16"/>
        <v>#VALUE!</v>
      </c>
      <c r="R137" s="6" t="e">
        <f t="shared" si="17"/>
        <v>#VALUE!</v>
      </c>
      <c r="S137" s="6" t="e">
        <f t="shared" si="18"/>
        <v>#VALUE!</v>
      </c>
      <c r="T137" s="6" t="e">
        <f t="shared" si="19"/>
        <v>#VALUE!</v>
      </c>
      <c r="U137" s="2" t="e">
        <f t="shared" si="20"/>
        <v>#VALUE!</v>
      </c>
    </row>
    <row r="138" spans="2:21" x14ac:dyDescent="0.3">
      <c r="B138" s="4"/>
      <c r="C138" s="4"/>
      <c r="D138" s="4"/>
      <c r="E138" s="4"/>
      <c r="F138" s="4"/>
      <c r="G138" s="4"/>
      <c r="H138" s="4"/>
      <c r="I138" s="4"/>
      <c r="J138" s="4"/>
      <c r="O138" s="2" t="e">
        <f t="shared" si="14"/>
        <v>#VALUE!</v>
      </c>
      <c r="P138" s="6" t="e">
        <f t="shared" si="15"/>
        <v>#VALUE!</v>
      </c>
      <c r="Q138" s="6" t="e">
        <f t="shared" si="16"/>
        <v>#VALUE!</v>
      </c>
      <c r="R138" s="6" t="e">
        <f t="shared" si="17"/>
        <v>#VALUE!</v>
      </c>
      <c r="S138" s="6" t="e">
        <f t="shared" si="18"/>
        <v>#VALUE!</v>
      </c>
      <c r="T138" s="6" t="e">
        <f t="shared" si="19"/>
        <v>#VALUE!</v>
      </c>
      <c r="U138" s="2" t="e">
        <f t="shared" si="20"/>
        <v>#VALUE!</v>
      </c>
    </row>
    <row r="139" spans="2:21" x14ac:dyDescent="0.3">
      <c r="B139" s="4"/>
      <c r="C139" s="4"/>
      <c r="D139" s="4"/>
      <c r="E139" s="4"/>
      <c r="F139" s="4"/>
      <c r="G139" s="4"/>
      <c r="H139" s="4"/>
      <c r="I139" s="4"/>
      <c r="J139" s="4"/>
      <c r="O139" s="2" t="e">
        <f t="shared" si="14"/>
        <v>#VALUE!</v>
      </c>
      <c r="P139" s="6" t="e">
        <f t="shared" si="15"/>
        <v>#VALUE!</v>
      </c>
      <c r="Q139" s="6" t="e">
        <f t="shared" si="16"/>
        <v>#VALUE!</v>
      </c>
      <c r="R139" s="6" t="e">
        <f t="shared" si="17"/>
        <v>#VALUE!</v>
      </c>
      <c r="S139" s="6" t="e">
        <f t="shared" si="18"/>
        <v>#VALUE!</v>
      </c>
      <c r="T139" s="6" t="e">
        <f t="shared" si="19"/>
        <v>#VALUE!</v>
      </c>
      <c r="U139" s="2" t="e">
        <f t="shared" si="20"/>
        <v>#VALUE!</v>
      </c>
    </row>
    <row r="140" spans="2:21" x14ac:dyDescent="0.3">
      <c r="B140" s="4"/>
      <c r="C140" s="4"/>
      <c r="D140" s="4"/>
      <c r="E140" s="4"/>
      <c r="F140" s="4"/>
      <c r="G140" s="4"/>
      <c r="H140" s="4"/>
      <c r="I140" s="4"/>
      <c r="J140" s="4"/>
      <c r="O140" s="2" t="e">
        <f t="shared" si="14"/>
        <v>#VALUE!</v>
      </c>
      <c r="P140" s="6" t="e">
        <f t="shared" si="15"/>
        <v>#VALUE!</v>
      </c>
      <c r="Q140" s="6" t="e">
        <f t="shared" si="16"/>
        <v>#VALUE!</v>
      </c>
      <c r="R140" s="6" t="e">
        <f t="shared" si="17"/>
        <v>#VALUE!</v>
      </c>
      <c r="S140" s="6" t="e">
        <f t="shared" si="18"/>
        <v>#VALUE!</v>
      </c>
      <c r="T140" s="6" t="e">
        <f t="shared" si="19"/>
        <v>#VALUE!</v>
      </c>
      <c r="U140" s="2" t="e">
        <f t="shared" si="20"/>
        <v>#VALUE!</v>
      </c>
    </row>
    <row r="141" spans="2:21" x14ac:dyDescent="0.3">
      <c r="B141" s="4"/>
      <c r="C141" s="4"/>
      <c r="D141" s="4"/>
      <c r="E141" s="4"/>
      <c r="F141" s="4"/>
      <c r="G141" s="4"/>
      <c r="H141" s="4"/>
      <c r="I141" s="4"/>
      <c r="J141" s="4"/>
      <c r="O141" s="2" t="e">
        <f t="shared" si="14"/>
        <v>#VALUE!</v>
      </c>
      <c r="P141" s="6" t="e">
        <f t="shared" si="15"/>
        <v>#VALUE!</v>
      </c>
      <c r="Q141" s="6" t="e">
        <f t="shared" si="16"/>
        <v>#VALUE!</v>
      </c>
      <c r="R141" s="6" t="e">
        <f t="shared" si="17"/>
        <v>#VALUE!</v>
      </c>
      <c r="S141" s="6" t="e">
        <f t="shared" si="18"/>
        <v>#VALUE!</v>
      </c>
      <c r="T141" s="6" t="e">
        <f t="shared" si="19"/>
        <v>#VALUE!</v>
      </c>
      <c r="U141" s="2" t="e">
        <f t="shared" si="20"/>
        <v>#VALUE!</v>
      </c>
    </row>
    <row r="142" spans="2:21" x14ac:dyDescent="0.3">
      <c r="B142" s="4"/>
      <c r="C142" s="4"/>
      <c r="D142" s="4"/>
      <c r="E142" s="4"/>
      <c r="F142" s="4"/>
      <c r="G142" s="4"/>
      <c r="H142" s="4"/>
      <c r="I142" s="4"/>
      <c r="J142" s="4"/>
      <c r="O142" s="2" t="e">
        <f t="shared" si="14"/>
        <v>#VALUE!</v>
      </c>
      <c r="P142" s="6" t="e">
        <f t="shared" si="15"/>
        <v>#VALUE!</v>
      </c>
      <c r="Q142" s="6" t="e">
        <f t="shared" si="16"/>
        <v>#VALUE!</v>
      </c>
      <c r="R142" s="6" t="e">
        <f t="shared" si="17"/>
        <v>#VALUE!</v>
      </c>
      <c r="S142" s="6" t="e">
        <f t="shared" si="18"/>
        <v>#VALUE!</v>
      </c>
      <c r="T142" s="6" t="e">
        <f t="shared" si="19"/>
        <v>#VALUE!</v>
      </c>
      <c r="U142" s="2" t="e">
        <f t="shared" si="20"/>
        <v>#VALUE!</v>
      </c>
    </row>
    <row r="143" spans="2:21" x14ac:dyDescent="0.3">
      <c r="B143" s="4"/>
      <c r="C143" s="4"/>
      <c r="D143" s="4"/>
      <c r="E143" s="4"/>
      <c r="F143" s="4"/>
      <c r="G143" s="4"/>
      <c r="H143" s="4"/>
      <c r="I143" s="4"/>
      <c r="J143" s="4"/>
      <c r="O143" s="2" t="e">
        <f t="shared" si="14"/>
        <v>#VALUE!</v>
      </c>
      <c r="P143" s="6" t="e">
        <f t="shared" si="15"/>
        <v>#VALUE!</v>
      </c>
      <c r="Q143" s="6" t="e">
        <f t="shared" si="16"/>
        <v>#VALUE!</v>
      </c>
      <c r="R143" s="6" t="e">
        <f t="shared" si="17"/>
        <v>#VALUE!</v>
      </c>
      <c r="S143" s="6" t="e">
        <f t="shared" si="18"/>
        <v>#VALUE!</v>
      </c>
      <c r="T143" s="6" t="e">
        <f t="shared" si="19"/>
        <v>#VALUE!</v>
      </c>
      <c r="U143" s="2" t="e">
        <f t="shared" si="20"/>
        <v>#VALUE!</v>
      </c>
    </row>
    <row r="144" spans="2:21" x14ac:dyDescent="0.3">
      <c r="B144" s="4"/>
      <c r="C144" s="4"/>
      <c r="D144" s="4"/>
      <c r="E144" s="4"/>
      <c r="F144" s="4"/>
      <c r="G144" s="4"/>
      <c r="H144" s="4"/>
      <c r="I144" s="4"/>
      <c r="J144" s="4"/>
      <c r="O144" s="2" t="e">
        <f t="shared" si="14"/>
        <v>#VALUE!</v>
      </c>
      <c r="P144" s="6" t="e">
        <f t="shared" si="15"/>
        <v>#VALUE!</v>
      </c>
      <c r="Q144" s="6" t="e">
        <f t="shared" si="16"/>
        <v>#VALUE!</v>
      </c>
      <c r="R144" s="6" t="e">
        <f t="shared" si="17"/>
        <v>#VALUE!</v>
      </c>
      <c r="S144" s="6" t="e">
        <f t="shared" si="18"/>
        <v>#VALUE!</v>
      </c>
      <c r="T144" s="6" t="e">
        <f t="shared" si="19"/>
        <v>#VALUE!</v>
      </c>
      <c r="U144" s="2" t="e">
        <f t="shared" si="20"/>
        <v>#VALUE!</v>
      </c>
    </row>
    <row r="145" spans="2:21" x14ac:dyDescent="0.3">
      <c r="B145" s="4"/>
      <c r="C145" s="4"/>
      <c r="D145" s="4"/>
      <c r="E145" s="4"/>
      <c r="F145" s="4"/>
      <c r="G145" s="4"/>
      <c r="H145" s="4"/>
      <c r="I145" s="4"/>
      <c r="J145" s="4"/>
      <c r="O145" s="2" t="e">
        <f t="shared" si="14"/>
        <v>#VALUE!</v>
      </c>
      <c r="P145" s="6" t="e">
        <f t="shared" si="15"/>
        <v>#VALUE!</v>
      </c>
      <c r="Q145" s="6" t="e">
        <f t="shared" si="16"/>
        <v>#VALUE!</v>
      </c>
      <c r="R145" s="6" t="e">
        <f t="shared" si="17"/>
        <v>#VALUE!</v>
      </c>
      <c r="S145" s="6" t="e">
        <f t="shared" si="18"/>
        <v>#VALUE!</v>
      </c>
      <c r="T145" s="6" t="e">
        <f t="shared" si="19"/>
        <v>#VALUE!</v>
      </c>
      <c r="U145" s="2" t="e">
        <f t="shared" si="20"/>
        <v>#VALUE!</v>
      </c>
    </row>
    <row r="146" spans="2:21" x14ac:dyDescent="0.3">
      <c r="B146" s="4"/>
      <c r="C146" s="4"/>
      <c r="D146" s="4"/>
      <c r="E146" s="4"/>
      <c r="F146" s="4"/>
      <c r="G146" s="4"/>
      <c r="H146" s="4"/>
      <c r="I146" s="4"/>
      <c r="J146" s="4"/>
      <c r="O146" s="2" t="e">
        <f t="shared" si="14"/>
        <v>#VALUE!</v>
      </c>
      <c r="P146" s="6" t="e">
        <f t="shared" si="15"/>
        <v>#VALUE!</v>
      </c>
      <c r="Q146" s="6" t="e">
        <f t="shared" si="16"/>
        <v>#VALUE!</v>
      </c>
      <c r="R146" s="6" t="e">
        <f t="shared" si="17"/>
        <v>#VALUE!</v>
      </c>
      <c r="S146" s="6" t="e">
        <f t="shared" si="18"/>
        <v>#VALUE!</v>
      </c>
      <c r="T146" s="6" t="e">
        <f t="shared" si="19"/>
        <v>#VALUE!</v>
      </c>
      <c r="U146" s="2" t="e">
        <f t="shared" si="20"/>
        <v>#VALUE!</v>
      </c>
    </row>
    <row r="147" spans="2:21" x14ac:dyDescent="0.3">
      <c r="B147" s="4"/>
      <c r="C147" s="4"/>
      <c r="D147" s="4"/>
      <c r="E147" s="4"/>
      <c r="F147" s="4"/>
      <c r="G147" s="4"/>
      <c r="H147" s="4"/>
      <c r="I147" s="4"/>
      <c r="J147" s="4"/>
      <c r="O147" s="2" t="e">
        <f t="shared" si="14"/>
        <v>#VALUE!</v>
      </c>
      <c r="P147" s="6" t="e">
        <f t="shared" si="15"/>
        <v>#VALUE!</v>
      </c>
      <c r="Q147" s="6" t="e">
        <f t="shared" si="16"/>
        <v>#VALUE!</v>
      </c>
      <c r="R147" s="6" t="e">
        <f t="shared" si="17"/>
        <v>#VALUE!</v>
      </c>
      <c r="S147" s="6" t="e">
        <f t="shared" si="18"/>
        <v>#VALUE!</v>
      </c>
      <c r="T147" s="6" t="e">
        <f t="shared" si="19"/>
        <v>#VALUE!</v>
      </c>
      <c r="U147" s="2" t="e">
        <f t="shared" si="20"/>
        <v>#VALUE!</v>
      </c>
    </row>
    <row r="148" spans="2:21" x14ac:dyDescent="0.3">
      <c r="B148" s="4"/>
      <c r="C148" s="4"/>
      <c r="D148" s="4"/>
      <c r="E148" s="4"/>
      <c r="F148" s="4"/>
      <c r="G148" s="4"/>
      <c r="H148" s="4"/>
      <c r="I148" s="4"/>
      <c r="J148" s="4"/>
      <c r="O148" s="2" t="e">
        <f t="shared" si="14"/>
        <v>#VALUE!</v>
      </c>
      <c r="P148" s="6" t="e">
        <f t="shared" si="15"/>
        <v>#VALUE!</v>
      </c>
      <c r="Q148" s="6" t="e">
        <f t="shared" si="16"/>
        <v>#VALUE!</v>
      </c>
      <c r="R148" s="6" t="e">
        <f t="shared" si="17"/>
        <v>#VALUE!</v>
      </c>
      <c r="S148" s="6" t="e">
        <f t="shared" si="18"/>
        <v>#VALUE!</v>
      </c>
      <c r="T148" s="6" t="e">
        <f t="shared" si="19"/>
        <v>#VALUE!</v>
      </c>
      <c r="U148" s="2" t="e">
        <f t="shared" si="20"/>
        <v>#VALUE!</v>
      </c>
    </row>
    <row r="149" spans="2:21" x14ac:dyDescent="0.3">
      <c r="B149" s="4"/>
      <c r="C149" s="4"/>
      <c r="D149" s="4"/>
      <c r="E149" s="4"/>
      <c r="F149" s="4"/>
      <c r="G149" s="4"/>
      <c r="H149" s="4"/>
      <c r="I149" s="4"/>
      <c r="J149" s="4"/>
      <c r="O149" s="2" t="e">
        <f t="shared" si="14"/>
        <v>#VALUE!</v>
      </c>
      <c r="P149" s="6" t="e">
        <f t="shared" si="15"/>
        <v>#VALUE!</v>
      </c>
      <c r="Q149" s="6" t="e">
        <f t="shared" si="16"/>
        <v>#VALUE!</v>
      </c>
      <c r="R149" s="6" t="e">
        <f t="shared" si="17"/>
        <v>#VALUE!</v>
      </c>
      <c r="S149" s="6" t="e">
        <f t="shared" si="18"/>
        <v>#VALUE!</v>
      </c>
      <c r="T149" s="6" t="e">
        <f t="shared" si="19"/>
        <v>#VALUE!</v>
      </c>
      <c r="U149" s="2" t="e">
        <f t="shared" si="20"/>
        <v>#VALUE!</v>
      </c>
    </row>
    <row r="150" spans="2:21" x14ac:dyDescent="0.3">
      <c r="B150" s="4"/>
      <c r="C150" s="4"/>
      <c r="D150" s="4"/>
      <c r="E150" s="4"/>
      <c r="F150" s="4"/>
      <c r="G150" s="4"/>
      <c r="H150" s="4"/>
      <c r="I150" s="4"/>
      <c r="J150" s="4"/>
      <c r="O150" s="2" t="e">
        <f t="shared" si="14"/>
        <v>#VALUE!</v>
      </c>
      <c r="P150" s="6" t="e">
        <f t="shared" si="15"/>
        <v>#VALUE!</v>
      </c>
      <c r="Q150" s="6" t="e">
        <f t="shared" si="16"/>
        <v>#VALUE!</v>
      </c>
      <c r="R150" s="6" t="e">
        <f t="shared" si="17"/>
        <v>#VALUE!</v>
      </c>
      <c r="S150" s="6" t="e">
        <f t="shared" si="18"/>
        <v>#VALUE!</v>
      </c>
      <c r="T150" s="6" t="e">
        <f t="shared" si="19"/>
        <v>#VALUE!</v>
      </c>
      <c r="U150" s="2" t="e">
        <f t="shared" si="20"/>
        <v>#VALUE!</v>
      </c>
    </row>
    <row r="151" spans="2:21" x14ac:dyDescent="0.3">
      <c r="B151" s="4"/>
      <c r="C151" s="4"/>
      <c r="D151" s="4"/>
      <c r="E151" s="4"/>
      <c r="F151" s="4"/>
      <c r="G151" s="4"/>
      <c r="H151" s="4"/>
      <c r="I151" s="4"/>
      <c r="J151" s="4"/>
      <c r="O151" s="2" t="e">
        <f t="shared" si="14"/>
        <v>#VALUE!</v>
      </c>
      <c r="P151" s="6" t="e">
        <f t="shared" si="15"/>
        <v>#VALUE!</v>
      </c>
      <c r="Q151" s="6" t="e">
        <f t="shared" si="16"/>
        <v>#VALUE!</v>
      </c>
      <c r="R151" s="6" t="e">
        <f t="shared" si="17"/>
        <v>#VALUE!</v>
      </c>
      <c r="S151" s="6" t="e">
        <f t="shared" si="18"/>
        <v>#VALUE!</v>
      </c>
      <c r="T151" s="6" t="e">
        <f t="shared" si="19"/>
        <v>#VALUE!</v>
      </c>
      <c r="U151" s="2" t="e">
        <f t="shared" si="20"/>
        <v>#VALUE!</v>
      </c>
    </row>
    <row r="152" spans="2:21" x14ac:dyDescent="0.3">
      <c r="B152" s="4"/>
      <c r="C152" s="4"/>
      <c r="D152" s="4"/>
      <c r="E152" s="4"/>
      <c r="F152" s="4"/>
      <c r="G152" s="4"/>
      <c r="H152" s="4"/>
      <c r="I152" s="4"/>
      <c r="J152" s="4"/>
      <c r="O152" s="2" t="e">
        <f t="shared" si="14"/>
        <v>#VALUE!</v>
      </c>
      <c r="P152" s="6" t="e">
        <f t="shared" si="15"/>
        <v>#VALUE!</v>
      </c>
      <c r="Q152" s="6" t="e">
        <f t="shared" si="16"/>
        <v>#VALUE!</v>
      </c>
      <c r="R152" s="6" t="e">
        <f t="shared" si="17"/>
        <v>#VALUE!</v>
      </c>
      <c r="S152" s="6" t="e">
        <f t="shared" si="18"/>
        <v>#VALUE!</v>
      </c>
      <c r="T152" s="6" t="e">
        <f t="shared" si="19"/>
        <v>#VALUE!</v>
      </c>
      <c r="U152" s="2" t="e">
        <f t="shared" si="20"/>
        <v>#VALUE!</v>
      </c>
    </row>
    <row r="153" spans="2:21" x14ac:dyDescent="0.3">
      <c r="B153" s="4"/>
      <c r="C153" s="4"/>
      <c r="D153" s="4"/>
      <c r="E153" s="4"/>
      <c r="F153" s="4"/>
      <c r="G153" s="4"/>
      <c r="H153" s="4"/>
      <c r="I153" s="4"/>
      <c r="J153" s="4"/>
      <c r="O153" s="2" t="e">
        <f t="shared" si="14"/>
        <v>#VALUE!</v>
      </c>
      <c r="P153" s="6" t="e">
        <f t="shared" si="15"/>
        <v>#VALUE!</v>
      </c>
      <c r="Q153" s="6" t="e">
        <f t="shared" si="16"/>
        <v>#VALUE!</v>
      </c>
      <c r="R153" s="6" t="e">
        <f t="shared" si="17"/>
        <v>#VALUE!</v>
      </c>
      <c r="S153" s="6" t="e">
        <f t="shared" si="18"/>
        <v>#VALUE!</v>
      </c>
      <c r="T153" s="6" t="e">
        <f t="shared" si="19"/>
        <v>#VALUE!</v>
      </c>
      <c r="U153" s="2" t="e">
        <f t="shared" si="20"/>
        <v>#VALUE!</v>
      </c>
    </row>
    <row r="154" spans="2:21" x14ac:dyDescent="0.3">
      <c r="B154" s="4"/>
      <c r="C154" s="4"/>
      <c r="D154" s="4"/>
      <c r="E154" s="4"/>
      <c r="F154" s="4"/>
      <c r="G154" s="4"/>
      <c r="H154" s="4"/>
      <c r="I154" s="4"/>
      <c r="J154" s="4"/>
      <c r="O154" s="2" t="e">
        <f t="shared" si="14"/>
        <v>#VALUE!</v>
      </c>
      <c r="P154" s="6" t="e">
        <f t="shared" si="15"/>
        <v>#VALUE!</v>
      </c>
      <c r="Q154" s="6" t="e">
        <f t="shared" si="16"/>
        <v>#VALUE!</v>
      </c>
      <c r="R154" s="6" t="e">
        <f t="shared" si="17"/>
        <v>#VALUE!</v>
      </c>
      <c r="S154" s="6" t="e">
        <f t="shared" si="18"/>
        <v>#VALUE!</v>
      </c>
      <c r="T154" s="6" t="e">
        <f t="shared" si="19"/>
        <v>#VALUE!</v>
      </c>
      <c r="U154" s="2" t="e">
        <f t="shared" si="20"/>
        <v>#VALUE!</v>
      </c>
    </row>
    <row r="155" spans="2:21" x14ac:dyDescent="0.3">
      <c r="B155" s="4"/>
      <c r="C155" s="4"/>
      <c r="D155" s="4"/>
      <c r="E155" s="4"/>
      <c r="F155" s="4"/>
      <c r="G155" s="4"/>
      <c r="H155" s="4"/>
      <c r="I155" s="4"/>
      <c r="J155" s="4"/>
      <c r="O155" s="2" t="e">
        <f t="shared" si="14"/>
        <v>#VALUE!</v>
      </c>
      <c r="P155" s="6" t="e">
        <f t="shared" si="15"/>
        <v>#VALUE!</v>
      </c>
      <c r="Q155" s="6" t="e">
        <f t="shared" si="16"/>
        <v>#VALUE!</v>
      </c>
      <c r="R155" s="6" t="e">
        <f t="shared" si="17"/>
        <v>#VALUE!</v>
      </c>
      <c r="S155" s="6" t="e">
        <f t="shared" si="18"/>
        <v>#VALUE!</v>
      </c>
      <c r="T155" s="6" t="e">
        <f t="shared" si="19"/>
        <v>#VALUE!</v>
      </c>
      <c r="U155" s="2" t="e">
        <f t="shared" si="20"/>
        <v>#VALUE!</v>
      </c>
    </row>
    <row r="156" spans="2:21" x14ac:dyDescent="0.3">
      <c r="B156" s="4"/>
      <c r="C156" s="4"/>
      <c r="D156" s="4"/>
      <c r="E156" s="4"/>
      <c r="F156" s="4"/>
      <c r="G156" s="4"/>
      <c r="H156" s="4"/>
      <c r="I156" s="4"/>
      <c r="J156" s="4"/>
      <c r="O156" s="2" t="e">
        <f t="shared" si="14"/>
        <v>#VALUE!</v>
      </c>
      <c r="P156" s="6" t="e">
        <f t="shared" si="15"/>
        <v>#VALUE!</v>
      </c>
      <c r="Q156" s="6" t="e">
        <f t="shared" si="16"/>
        <v>#VALUE!</v>
      </c>
      <c r="R156" s="6" t="e">
        <f t="shared" si="17"/>
        <v>#VALUE!</v>
      </c>
      <c r="S156" s="6" t="e">
        <f t="shared" si="18"/>
        <v>#VALUE!</v>
      </c>
      <c r="T156" s="6" t="e">
        <f t="shared" si="19"/>
        <v>#VALUE!</v>
      </c>
      <c r="U156" s="2" t="e">
        <f t="shared" si="20"/>
        <v>#VALUE!</v>
      </c>
    </row>
    <row r="157" spans="2:21" x14ac:dyDescent="0.3">
      <c r="B157" s="4"/>
      <c r="C157" s="4"/>
      <c r="D157" s="4"/>
      <c r="E157" s="4"/>
      <c r="F157" s="4"/>
      <c r="G157" s="4"/>
      <c r="H157" s="4"/>
      <c r="I157" s="4"/>
      <c r="J157" s="4"/>
      <c r="O157" s="2" t="e">
        <f t="shared" si="14"/>
        <v>#VALUE!</v>
      </c>
      <c r="P157" s="6" t="e">
        <f t="shared" si="15"/>
        <v>#VALUE!</v>
      </c>
      <c r="Q157" s="6" t="e">
        <f t="shared" si="16"/>
        <v>#VALUE!</v>
      </c>
      <c r="R157" s="6" t="e">
        <f t="shared" si="17"/>
        <v>#VALUE!</v>
      </c>
      <c r="S157" s="6" t="e">
        <f t="shared" si="18"/>
        <v>#VALUE!</v>
      </c>
      <c r="T157" s="6" t="e">
        <f t="shared" si="19"/>
        <v>#VALUE!</v>
      </c>
      <c r="U157" s="2" t="e">
        <f t="shared" si="20"/>
        <v>#VALUE!</v>
      </c>
    </row>
    <row r="158" spans="2:21" x14ac:dyDescent="0.3">
      <c r="B158" s="4"/>
      <c r="C158" s="4"/>
      <c r="D158" s="4"/>
      <c r="E158" s="4"/>
      <c r="F158" s="4"/>
      <c r="G158" s="4"/>
      <c r="H158" s="4"/>
      <c r="I158" s="4"/>
      <c r="J158" s="4"/>
      <c r="O158" s="2" t="e">
        <f t="shared" si="14"/>
        <v>#VALUE!</v>
      </c>
      <c r="P158" s="6" t="e">
        <f t="shared" si="15"/>
        <v>#VALUE!</v>
      </c>
      <c r="Q158" s="6" t="e">
        <f t="shared" si="16"/>
        <v>#VALUE!</v>
      </c>
      <c r="R158" s="6" t="e">
        <f t="shared" si="17"/>
        <v>#VALUE!</v>
      </c>
      <c r="S158" s="6" t="e">
        <f t="shared" si="18"/>
        <v>#VALUE!</v>
      </c>
      <c r="T158" s="6" t="e">
        <f t="shared" si="19"/>
        <v>#VALUE!</v>
      </c>
      <c r="U158" s="2" t="e">
        <f t="shared" si="20"/>
        <v>#VALUE!</v>
      </c>
    </row>
    <row r="159" spans="2:21" x14ac:dyDescent="0.3">
      <c r="B159" s="4"/>
      <c r="C159" s="4"/>
      <c r="D159" s="4"/>
      <c r="E159" s="4"/>
      <c r="F159" s="4"/>
      <c r="G159" s="4"/>
      <c r="H159" s="4"/>
      <c r="I159" s="4"/>
      <c r="J159" s="4"/>
      <c r="O159" s="2" t="e">
        <f t="shared" si="14"/>
        <v>#VALUE!</v>
      </c>
      <c r="P159" s="6" t="e">
        <f t="shared" si="15"/>
        <v>#VALUE!</v>
      </c>
      <c r="Q159" s="6" t="e">
        <f t="shared" si="16"/>
        <v>#VALUE!</v>
      </c>
      <c r="R159" s="6" t="e">
        <f t="shared" si="17"/>
        <v>#VALUE!</v>
      </c>
      <c r="S159" s="6" t="e">
        <f t="shared" si="18"/>
        <v>#VALUE!</v>
      </c>
      <c r="T159" s="6" t="e">
        <f t="shared" si="19"/>
        <v>#VALUE!</v>
      </c>
      <c r="U159" s="2" t="e">
        <f t="shared" si="20"/>
        <v>#VALUE!</v>
      </c>
    </row>
    <row r="160" spans="2:21" x14ac:dyDescent="0.3">
      <c r="B160" s="4"/>
      <c r="C160" s="4"/>
      <c r="D160" s="4"/>
      <c r="E160" s="4"/>
      <c r="F160" s="4"/>
      <c r="G160" s="4"/>
      <c r="H160" s="4"/>
      <c r="I160" s="4"/>
      <c r="J160" s="4"/>
      <c r="O160" s="2" t="e">
        <f t="shared" si="14"/>
        <v>#VALUE!</v>
      </c>
      <c r="P160" s="6" t="e">
        <f t="shared" si="15"/>
        <v>#VALUE!</v>
      </c>
      <c r="Q160" s="6" t="e">
        <f t="shared" si="16"/>
        <v>#VALUE!</v>
      </c>
      <c r="R160" s="6" t="e">
        <f t="shared" si="17"/>
        <v>#VALUE!</v>
      </c>
      <c r="S160" s="6" t="e">
        <f t="shared" si="18"/>
        <v>#VALUE!</v>
      </c>
      <c r="T160" s="6" t="e">
        <f t="shared" si="19"/>
        <v>#VALUE!</v>
      </c>
      <c r="U160" s="2" t="e">
        <f t="shared" si="20"/>
        <v>#VALUE!</v>
      </c>
    </row>
    <row r="161" spans="2:21" x14ac:dyDescent="0.3">
      <c r="B161" s="4"/>
      <c r="C161" s="4"/>
      <c r="D161" s="4"/>
      <c r="E161" s="4"/>
      <c r="F161" s="4"/>
      <c r="G161" s="4"/>
      <c r="H161" s="4"/>
      <c r="I161" s="4"/>
      <c r="J161" s="4"/>
      <c r="O161" s="2" t="e">
        <f t="shared" si="14"/>
        <v>#VALUE!</v>
      </c>
      <c r="P161" s="6" t="e">
        <f t="shared" si="15"/>
        <v>#VALUE!</v>
      </c>
      <c r="Q161" s="6" t="e">
        <f t="shared" si="16"/>
        <v>#VALUE!</v>
      </c>
      <c r="R161" s="6" t="e">
        <f t="shared" si="17"/>
        <v>#VALUE!</v>
      </c>
      <c r="S161" s="6" t="e">
        <f t="shared" si="18"/>
        <v>#VALUE!</v>
      </c>
      <c r="T161" s="6" t="e">
        <f t="shared" si="19"/>
        <v>#VALUE!</v>
      </c>
      <c r="U161" s="2" t="e">
        <f t="shared" si="20"/>
        <v>#VALUE!</v>
      </c>
    </row>
    <row r="162" spans="2:21" x14ac:dyDescent="0.3">
      <c r="B162" s="4"/>
      <c r="C162" s="4"/>
      <c r="D162" s="4"/>
      <c r="E162" s="4"/>
      <c r="F162" s="4"/>
      <c r="G162" s="4"/>
      <c r="H162" s="4"/>
      <c r="I162" s="4"/>
      <c r="J162" s="4"/>
      <c r="O162" s="2" t="e">
        <f t="shared" si="14"/>
        <v>#VALUE!</v>
      </c>
      <c r="P162" s="6" t="e">
        <f t="shared" si="15"/>
        <v>#VALUE!</v>
      </c>
      <c r="Q162" s="6" t="e">
        <f t="shared" si="16"/>
        <v>#VALUE!</v>
      </c>
      <c r="R162" s="6" t="e">
        <f t="shared" si="17"/>
        <v>#VALUE!</v>
      </c>
      <c r="S162" s="6" t="e">
        <f t="shared" si="18"/>
        <v>#VALUE!</v>
      </c>
      <c r="T162" s="6" t="e">
        <f t="shared" si="19"/>
        <v>#VALUE!</v>
      </c>
      <c r="U162" s="2" t="e">
        <f t="shared" si="20"/>
        <v>#VALUE!</v>
      </c>
    </row>
    <row r="163" spans="2:21" x14ac:dyDescent="0.3">
      <c r="B163" s="4"/>
      <c r="C163" s="4"/>
      <c r="D163" s="4"/>
      <c r="E163" s="4"/>
      <c r="F163" s="4"/>
      <c r="G163" s="4"/>
      <c r="H163" s="4"/>
      <c r="I163" s="4"/>
      <c r="J163" s="4"/>
      <c r="O163" s="2" t="e">
        <f t="shared" si="14"/>
        <v>#VALUE!</v>
      </c>
      <c r="P163" s="6" t="e">
        <f t="shared" si="15"/>
        <v>#VALUE!</v>
      </c>
      <c r="Q163" s="6" t="e">
        <f t="shared" si="16"/>
        <v>#VALUE!</v>
      </c>
      <c r="R163" s="6" t="e">
        <f t="shared" si="17"/>
        <v>#VALUE!</v>
      </c>
      <c r="S163" s="6" t="e">
        <f t="shared" si="18"/>
        <v>#VALUE!</v>
      </c>
      <c r="T163" s="6" t="e">
        <f t="shared" si="19"/>
        <v>#VALUE!</v>
      </c>
      <c r="U163" s="2" t="e">
        <f t="shared" si="20"/>
        <v>#VALUE!</v>
      </c>
    </row>
    <row r="164" spans="2:21" x14ac:dyDescent="0.3">
      <c r="B164" s="4"/>
      <c r="C164" s="4"/>
      <c r="D164" s="4"/>
      <c r="E164" s="4"/>
      <c r="F164" s="4"/>
      <c r="G164" s="4"/>
      <c r="H164" s="4"/>
      <c r="I164" s="4"/>
      <c r="J164" s="4"/>
      <c r="O164" s="2" t="e">
        <f t="shared" si="14"/>
        <v>#VALUE!</v>
      </c>
      <c r="P164" s="6" t="e">
        <f t="shared" si="15"/>
        <v>#VALUE!</v>
      </c>
      <c r="Q164" s="6" t="e">
        <f t="shared" si="16"/>
        <v>#VALUE!</v>
      </c>
      <c r="R164" s="6" t="e">
        <f t="shared" si="17"/>
        <v>#VALUE!</v>
      </c>
      <c r="S164" s="6" t="e">
        <f t="shared" si="18"/>
        <v>#VALUE!</v>
      </c>
      <c r="T164" s="6" t="e">
        <f t="shared" si="19"/>
        <v>#VALUE!</v>
      </c>
      <c r="U164" s="2" t="e">
        <f t="shared" si="20"/>
        <v>#VALUE!</v>
      </c>
    </row>
    <row r="165" spans="2:21" x14ac:dyDescent="0.3">
      <c r="B165" s="4"/>
      <c r="C165" s="4"/>
      <c r="D165" s="4"/>
      <c r="E165" s="4"/>
      <c r="F165" s="4"/>
      <c r="G165" s="4"/>
      <c r="H165" s="4"/>
      <c r="I165" s="4"/>
      <c r="J165" s="4"/>
      <c r="O165" s="2" t="e">
        <f t="shared" si="14"/>
        <v>#VALUE!</v>
      </c>
      <c r="P165" s="6" t="e">
        <f t="shared" si="15"/>
        <v>#VALUE!</v>
      </c>
      <c r="Q165" s="6" t="e">
        <f t="shared" si="16"/>
        <v>#VALUE!</v>
      </c>
      <c r="R165" s="6" t="e">
        <f t="shared" si="17"/>
        <v>#VALUE!</v>
      </c>
      <c r="S165" s="6" t="e">
        <f t="shared" si="18"/>
        <v>#VALUE!</v>
      </c>
      <c r="T165" s="6" t="e">
        <f t="shared" si="19"/>
        <v>#VALUE!</v>
      </c>
      <c r="U165" s="2" t="e">
        <f t="shared" si="20"/>
        <v>#VALUE!</v>
      </c>
    </row>
    <row r="166" spans="2:21" x14ac:dyDescent="0.3">
      <c r="F166" s="4"/>
      <c r="G166" s="4"/>
      <c r="H166" s="4"/>
      <c r="I166" s="4"/>
      <c r="J166" s="4"/>
      <c r="O166" s="2" t="e">
        <f t="shared" si="14"/>
        <v>#VALUE!</v>
      </c>
      <c r="P166" s="6" t="e">
        <f t="shared" si="15"/>
        <v>#VALUE!</v>
      </c>
      <c r="Q166" s="6" t="e">
        <f t="shared" si="16"/>
        <v>#VALUE!</v>
      </c>
      <c r="R166" s="6" t="e">
        <f t="shared" si="17"/>
        <v>#VALUE!</v>
      </c>
      <c r="S166" s="6" t="e">
        <f t="shared" si="18"/>
        <v>#VALUE!</v>
      </c>
      <c r="T166" s="6" t="e">
        <f t="shared" si="19"/>
        <v>#VALUE!</v>
      </c>
      <c r="U166" s="2" t="e">
        <f t="shared" si="20"/>
        <v>#VALUE!</v>
      </c>
    </row>
    <row r="167" spans="2:21" x14ac:dyDescent="0.3">
      <c r="B167" s="4"/>
      <c r="C167" s="4"/>
      <c r="D167" s="4"/>
      <c r="E167" s="4"/>
      <c r="F167" s="4"/>
      <c r="G167" s="4"/>
      <c r="H167" s="4"/>
      <c r="I167" s="4"/>
      <c r="J167" s="4"/>
      <c r="O167" s="2" t="e">
        <f t="shared" si="14"/>
        <v>#VALUE!</v>
      </c>
      <c r="P167" s="6" t="e">
        <f t="shared" si="15"/>
        <v>#VALUE!</v>
      </c>
      <c r="Q167" s="6" t="e">
        <f t="shared" si="16"/>
        <v>#VALUE!</v>
      </c>
      <c r="R167" s="6" t="e">
        <f t="shared" si="17"/>
        <v>#VALUE!</v>
      </c>
      <c r="S167" s="6" t="e">
        <f t="shared" si="18"/>
        <v>#VALUE!</v>
      </c>
      <c r="T167" s="6" t="e">
        <f t="shared" si="19"/>
        <v>#VALUE!</v>
      </c>
      <c r="U167" s="2" t="e">
        <f t="shared" si="20"/>
        <v>#VALUE!</v>
      </c>
    </row>
    <row r="168" spans="2:21" x14ac:dyDescent="0.3">
      <c r="K168" s="7"/>
      <c r="L168" s="7"/>
      <c r="M168" s="7"/>
      <c r="O168" s="2" t="e">
        <f t="shared" si="14"/>
        <v>#VALUE!</v>
      </c>
      <c r="P168" s="6" t="e">
        <f t="shared" si="15"/>
        <v>#VALUE!</v>
      </c>
      <c r="Q168" s="6" t="e">
        <f t="shared" si="16"/>
        <v>#VALUE!</v>
      </c>
      <c r="R168" s="6" t="e">
        <f t="shared" si="17"/>
        <v>#VALUE!</v>
      </c>
      <c r="S168" s="6" t="e">
        <f t="shared" si="18"/>
        <v>#VALUE!</v>
      </c>
      <c r="T168" s="6" t="e">
        <f t="shared" si="19"/>
        <v>#VALUE!</v>
      </c>
      <c r="U168" s="2" t="e">
        <f t="shared" si="20"/>
        <v>#VALUE!</v>
      </c>
    </row>
    <row r="169" spans="2:21" x14ac:dyDescent="0.3">
      <c r="K169" s="7"/>
      <c r="L169" s="7"/>
      <c r="M169" s="7"/>
      <c r="O169" s="2" t="e">
        <f t="shared" si="14"/>
        <v>#VALUE!</v>
      </c>
      <c r="P169" s="6" t="e">
        <f t="shared" si="15"/>
        <v>#VALUE!</v>
      </c>
      <c r="Q169" s="6" t="e">
        <f t="shared" si="16"/>
        <v>#VALUE!</v>
      </c>
      <c r="R169" s="6" t="e">
        <f t="shared" si="17"/>
        <v>#VALUE!</v>
      </c>
      <c r="S169" s="6" t="e">
        <f t="shared" si="18"/>
        <v>#VALUE!</v>
      </c>
      <c r="T169" s="6" t="e">
        <f t="shared" si="19"/>
        <v>#VALUE!</v>
      </c>
      <c r="U169" s="2" t="e">
        <f t="shared" si="20"/>
        <v>#VALUE!</v>
      </c>
    </row>
    <row r="170" spans="2:21" x14ac:dyDescent="0.3">
      <c r="O170" s="2" t="e">
        <f t="shared" si="14"/>
        <v>#VALUE!</v>
      </c>
      <c r="P170" s="6" t="e">
        <f t="shared" si="15"/>
        <v>#VALUE!</v>
      </c>
      <c r="Q170" s="6" t="e">
        <f t="shared" si="16"/>
        <v>#VALUE!</v>
      </c>
      <c r="R170" s="6" t="e">
        <f t="shared" si="17"/>
        <v>#VALUE!</v>
      </c>
      <c r="S170" s="6" t="e">
        <f t="shared" si="18"/>
        <v>#VALUE!</v>
      </c>
      <c r="T170" s="6" t="e">
        <f t="shared" si="19"/>
        <v>#VALUE!</v>
      </c>
      <c r="U170" s="2" t="e">
        <f t="shared" si="20"/>
        <v>#VALUE!</v>
      </c>
    </row>
    <row r="171" spans="2:21" x14ac:dyDescent="0.3">
      <c r="B171" s="4"/>
      <c r="C171" s="4"/>
      <c r="D171" s="4"/>
      <c r="E171" s="4"/>
      <c r="F171" s="4"/>
      <c r="G171" s="4"/>
      <c r="H171" s="4"/>
      <c r="I171" s="4"/>
      <c r="J171" s="4"/>
      <c r="O171" s="2" t="e">
        <f t="shared" si="14"/>
        <v>#VALUE!</v>
      </c>
      <c r="P171" s="6" t="e">
        <f t="shared" si="15"/>
        <v>#VALUE!</v>
      </c>
      <c r="Q171" s="6" t="e">
        <f t="shared" si="16"/>
        <v>#VALUE!</v>
      </c>
      <c r="R171" s="6" t="e">
        <f t="shared" si="17"/>
        <v>#VALUE!</v>
      </c>
      <c r="S171" s="6" t="e">
        <f t="shared" si="18"/>
        <v>#VALUE!</v>
      </c>
      <c r="T171" s="6" t="e">
        <f t="shared" si="19"/>
        <v>#VALUE!</v>
      </c>
      <c r="U171" s="2" t="e">
        <f t="shared" si="20"/>
        <v>#VALUE!</v>
      </c>
    </row>
    <row r="172" spans="2:21" x14ac:dyDescent="0.3">
      <c r="O172" s="2" t="e">
        <f t="shared" si="14"/>
        <v>#VALUE!</v>
      </c>
      <c r="P172" s="6" t="e">
        <f t="shared" si="15"/>
        <v>#VALUE!</v>
      </c>
      <c r="Q172" s="6" t="e">
        <f t="shared" si="16"/>
        <v>#VALUE!</v>
      </c>
      <c r="R172" s="6" t="e">
        <f t="shared" si="17"/>
        <v>#VALUE!</v>
      </c>
      <c r="S172" s="6" t="e">
        <f t="shared" si="18"/>
        <v>#VALUE!</v>
      </c>
      <c r="T172" s="6" t="e">
        <f t="shared" si="19"/>
        <v>#VALUE!</v>
      </c>
      <c r="U172" s="2" t="e">
        <f t="shared" si="20"/>
        <v>#VALUE!</v>
      </c>
    </row>
    <row r="173" spans="2:21" x14ac:dyDescent="0.3">
      <c r="B173" s="4"/>
      <c r="C173" s="4"/>
      <c r="D173" s="4"/>
      <c r="E173" s="4"/>
      <c r="F173" s="4"/>
      <c r="G173" s="4"/>
      <c r="H173" s="4"/>
      <c r="I173" s="4"/>
      <c r="J173" s="4"/>
      <c r="O173" s="2" t="e">
        <f t="shared" si="14"/>
        <v>#VALUE!</v>
      </c>
      <c r="P173" s="6" t="e">
        <f t="shared" si="15"/>
        <v>#VALUE!</v>
      </c>
      <c r="Q173" s="6" t="e">
        <f t="shared" si="16"/>
        <v>#VALUE!</v>
      </c>
      <c r="R173" s="6" t="e">
        <f t="shared" si="17"/>
        <v>#VALUE!</v>
      </c>
      <c r="S173" s="6" t="e">
        <f t="shared" si="18"/>
        <v>#VALUE!</v>
      </c>
      <c r="T173" s="6" t="e">
        <f t="shared" si="19"/>
        <v>#VALUE!</v>
      </c>
      <c r="U173" s="2" t="e">
        <f t="shared" si="20"/>
        <v>#VALUE!</v>
      </c>
    </row>
    <row r="174" spans="2:21" x14ac:dyDescent="0.3">
      <c r="B174" s="4"/>
      <c r="C174" s="4"/>
      <c r="D174" s="4"/>
      <c r="E174" s="4"/>
      <c r="F174" s="4"/>
      <c r="G174" s="4"/>
      <c r="H174" s="4"/>
      <c r="I174" s="4"/>
      <c r="J174" s="4"/>
      <c r="O174" s="2" t="e">
        <f t="shared" si="14"/>
        <v>#VALUE!</v>
      </c>
      <c r="P174" s="6" t="e">
        <f t="shared" si="15"/>
        <v>#VALUE!</v>
      </c>
      <c r="Q174" s="6" t="e">
        <f t="shared" si="16"/>
        <v>#VALUE!</v>
      </c>
      <c r="R174" s="6" t="e">
        <f t="shared" si="17"/>
        <v>#VALUE!</v>
      </c>
      <c r="S174" s="6" t="e">
        <f t="shared" si="18"/>
        <v>#VALUE!</v>
      </c>
      <c r="T174" s="6" t="e">
        <f t="shared" si="19"/>
        <v>#VALUE!</v>
      </c>
      <c r="U174" s="2" t="e">
        <f t="shared" si="20"/>
        <v>#VALUE!</v>
      </c>
    </row>
    <row r="175" spans="2:21" x14ac:dyDescent="0.3">
      <c r="B175" s="4"/>
      <c r="C175" s="4"/>
      <c r="D175" s="4"/>
      <c r="E175" s="4"/>
      <c r="F175" s="4"/>
      <c r="G175" s="4"/>
      <c r="H175" s="4"/>
      <c r="I175" s="4"/>
      <c r="J175" s="4"/>
      <c r="O175" s="2" t="e">
        <f t="shared" si="14"/>
        <v>#VALUE!</v>
      </c>
      <c r="P175" s="6" t="e">
        <f t="shared" si="15"/>
        <v>#VALUE!</v>
      </c>
      <c r="Q175" s="6" t="e">
        <f t="shared" si="16"/>
        <v>#VALUE!</v>
      </c>
      <c r="R175" s="6" t="e">
        <f t="shared" si="17"/>
        <v>#VALUE!</v>
      </c>
      <c r="S175" s="6" t="e">
        <f t="shared" si="18"/>
        <v>#VALUE!</v>
      </c>
      <c r="T175" s="6" t="e">
        <f t="shared" si="19"/>
        <v>#VALUE!</v>
      </c>
      <c r="U175" s="2" t="e">
        <f t="shared" si="20"/>
        <v>#VALUE!</v>
      </c>
    </row>
    <row r="176" spans="2:21" x14ac:dyDescent="0.3">
      <c r="B176" s="4"/>
      <c r="C176" s="4"/>
      <c r="D176" s="4"/>
      <c r="E176" s="4"/>
      <c r="F176" s="4"/>
      <c r="G176" s="4"/>
      <c r="H176" s="4"/>
      <c r="I176" s="4"/>
      <c r="J176" s="4"/>
      <c r="O176" s="2" t="e">
        <f t="shared" si="14"/>
        <v>#VALUE!</v>
      </c>
      <c r="P176" s="6" t="e">
        <f t="shared" si="15"/>
        <v>#VALUE!</v>
      </c>
      <c r="Q176" s="6" t="e">
        <f t="shared" si="16"/>
        <v>#VALUE!</v>
      </c>
      <c r="R176" s="6" t="e">
        <f t="shared" si="17"/>
        <v>#VALUE!</v>
      </c>
      <c r="S176" s="6" t="e">
        <f t="shared" si="18"/>
        <v>#VALUE!</v>
      </c>
      <c r="T176" s="6" t="e">
        <f t="shared" si="19"/>
        <v>#VALUE!</v>
      </c>
      <c r="U176" s="2" t="e">
        <f t="shared" si="20"/>
        <v>#VALUE!</v>
      </c>
    </row>
    <row r="177" spans="2:21" x14ac:dyDescent="0.3">
      <c r="O177" s="2" t="e">
        <f t="shared" si="14"/>
        <v>#VALUE!</v>
      </c>
      <c r="P177" s="6" t="e">
        <f t="shared" si="15"/>
        <v>#VALUE!</v>
      </c>
      <c r="Q177" s="6" t="e">
        <f t="shared" si="16"/>
        <v>#VALUE!</v>
      </c>
      <c r="R177" s="6" t="e">
        <f t="shared" si="17"/>
        <v>#VALUE!</v>
      </c>
      <c r="S177" s="6" t="e">
        <f t="shared" si="18"/>
        <v>#VALUE!</v>
      </c>
      <c r="T177" s="6" t="e">
        <f t="shared" si="19"/>
        <v>#VALUE!</v>
      </c>
      <c r="U177" s="2" t="e">
        <f t="shared" si="20"/>
        <v>#VALUE!</v>
      </c>
    </row>
    <row r="178" spans="2:21" x14ac:dyDescent="0.3">
      <c r="B178" s="4"/>
      <c r="C178" s="4"/>
      <c r="D178" s="4"/>
      <c r="E178" s="4"/>
      <c r="F178" s="4"/>
      <c r="G178" s="4"/>
      <c r="H178" s="4"/>
      <c r="I178" s="4"/>
      <c r="J178" s="4"/>
      <c r="O178" s="2" t="e">
        <f t="shared" si="14"/>
        <v>#VALUE!</v>
      </c>
      <c r="P178" s="6" t="e">
        <f t="shared" si="15"/>
        <v>#VALUE!</v>
      </c>
      <c r="Q178" s="6" t="e">
        <f t="shared" si="16"/>
        <v>#VALUE!</v>
      </c>
      <c r="R178" s="6" t="e">
        <f t="shared" si="17"/>
        <v>#VALUE!</v>
      </c>
      <c r="S178" s="6" t="e">
        <f t="shared" si="18"/>
        <v>#VALUE!</v>
      </c>
      <c r="T178" s="6" t="e">
        <f t="shared" si="19"/>
        <v>#VALUE!</v>
      </c>
      <c r="U178" s="2" t="e">
        <f t="shared" si="20"/>
        <v>#VALUE!</v>
      </c>
    </row>
    <row r="179" spans="2:21" x14ac:dyDescent="0.3">
      <c r="B179" s="4"/>
      <c r="C179" s="4"/>
      <c r="D179" s="4"/>
      <c r="E179" s="4"/>
      <c r="F179" s="4"/>
      <c r="G179" s="4"/>
      <c r="H179" s="4"/>
      <c r="I179" s="4"/>
      <c r="J179" s="4"/>
      <c r="O179" s="2" t="e">
        <f t="shared" si="14"/>
        <v>#VALUE!</v>
      </c>
      <c r="P179" s="6" t="e">
        <f t="shared" si="15"/>
        <v>#VALUE!</v>
      </c>
      <c r="Q179" s="6" t="e">
        <f t="shared" si="16"/>
        <v>#VALUE!</v>
      </c>
      <c r="R179" s="6" t="e">
        <f t="shared" si="17"/>
        <v>#VALUE!</v>
      </c>
      <c r="S179" s="6" t="e">
        <f t="shared" si="18"/>
        <v>#VALUE!</v>
      </c>
      <c r="T179" s="6" t="e">
        <f t="shared" si="19"/>
        <v>#VALUE!</v>
      </c>
      <c r="U179" s="2" t="e">
        <f t="shared" si="20"/>
        <v>#VALUE!</v>
      </c>
    </row>
    <row r="180" spans="2:21" x14ac:dyDescent="0.3">
      <c r="B180" s="4"/>
      <c r="C180" s="4"/>
      <c r="D180" s="4"/>
      <c r="E180" s="4"/>
      <c r="F180" s="4"/>
      <c r="G180" s="4"/>
      <c r="H180" s="4"/>
      <c r="I180" s="4"/>
      <c r="J180" s="4"/>
      <c r="O180" s="2" t="e">
        <f t="shared" si="14"/>
        <v>#VALUE!</v>
      </c>
      <c r="P180" s="6" t="e">
        <f t="shared" si="15"/>
        <v>#VALUE!</v>
      </c>
      <c r="Q180" s="6" t="e">
        <f t="shared" si="16"/>
        <v>#VALUE!</v>
      </c>
      <c r="R180" s="6" t="e">
        <f t="shared" si="17"/>
        <v>#VALUE!</v>
      </c>
      <c r="S180" s="6" t="e">
        <f t="shared" si="18"/>
        <v>#VALUE!</v>
      </c>
      <c r="T180" s="6" t="e">
        <f t="shared" si="19"/>
        <v>#VALUE!</v>
      </c>
      <c r="U180" s="2" t="e">
        <f t="shared" si="20"/>
        <v>#VALUE!</v>
      </c>
    </row>
    <row r="181" spans="2:21" x14ac:dyDescent="0.3">
      <c r="B181" s="4"/>
      <c r="C181" s="4"/>
      <c r="D181" s="4"/>
      <c r="E181" s="4"/>
      <c r="F181" s="4"/>
      <c r="G181" s="4"/>
      <c r="H181" s="4"/>
      <c r="I181" s="4"/>
      <c r="J181" s="4"/>
      <c r="O181" s="2" t="e">
        <f t="shared" si="14"/>
        <v>#VALUE!</v>
      </c>
      <c r="P181" s="6" t="e">
        <f t="shared" si="15"/>
        <v>#VALUE!</v>
      </c>
      <c r="Q181" s="6" t="e">
        <f t="shared" si="16"/>
        <v>#VALUE!</v>
      </c>
      <c r="R181" s="6" t="e">
        <f t="shared" si="17"/>
        <v>#VALUE!</v>
      </c>
      <c r="S181" s="6" t="e">
        <f t="shared" si="18"/>
        <v>#VALUE!</v>
      </c>
      <c r="T181" s="6" t="e">
        <f t="shared" si="19"/>
        <v>#VALUE!</v>
      </c>
      <c r="U181" s="2" t="e">
        <f t="shared" si="20"/>
        <v>#VALUE!</v>
      </c>
    </row>
    <row r="182" spans="2:21" x14ac:dyDescent="0.3">
      <c r="B182" s="4"/>
      <c r="C182" s="4"/>
      <c r="D182" s="4"/>
      <c r="E182" s="4"/>
      <c r="F182" s="4"/>
      <c r="G182" s="4"/>
      <c r="H182" s="4"/>
      <c r="I182" s="4"/>
      <c r="J182" s="4"/>
      <c r="O182" s="2" t="e">
        <f t="shared" si="14"/>
        <v>#VALUE!</v>
      </c>
      <c r="P182" s="6" t="e">
        <f t="shared" si="15"/>
        <v>#VALUE!</v>
      </c>
      <c r="Q182" s="6" t="e">
        <f t="shared" si="16"/>
        <v>#VALUE!</v>
      </c>
      <c r="R182" s="6" t="e">
        <f t="shared" si="17"/>
        <v>#VALUE!</v>
      </c>
      <c r="S182" s="6" t="e">
        <f t="shared" si="18"/>
        <v>#VALUE!</v>
      </c>
      <c r="T182" s="6" t="e">
        <f t="shared" si="19"/>
        <v>#VALUE!</v>
      </c>
      <c r="U182" s="2" t="e">
        <f t="shared" si="20"/>
        <v>#VALUE!</v>
      </c>
    </row>
    <row r="183" spans="2:21" x14ac:dyDescent="0.3">
      <c r="B183" s="4"/>
      <c r="C183" s="4"/>
      <c r="D183" s="4"/>
      <c r="E183" s="4"/>
      <c r="F183" s="4"/>
      <c r="G183" s="4"/>
      <c r="H183" s="4"/>
      <c r="I183" s="4"/>
      <c r="J183" s="4"/>
      <c r="O183" s="2" t="e">
        <f t="shared" si="14"/>
        <v>#VALUE!</v>
      </c>
      <c r="P183" s="6" t="e">
        <f t="shared" si="15"/>
        <v>#VALUE!</v>
      </c>
      <c r="Q183" s="6" t="e">
        <f t="shared" si="16"/>
        <v>#VALUE!</v>
      </c>
      <c r="R183" s="6" t="e">
        <f t="shared" si="17"/>
        <v>#VALUE!</v>
      </c>
      <c r="S183" s="6" t="e">
        <f t="shared" si="18"/>
        <v>#VALUE!</v>
      </c>
      <c r="T183" s="6" t="e">
        <f t="shared" si="19"/>
        <v>#VALUE!</v>
      </c>
      <c r="U183" s="2" t="e">
        <f t="shared" si="20"/>
        <v>#VALUE!</v>
      </c>
    </row>
    <row r="184" spans="2:21" x14ac:dyDescent="0.3">
      <c r="B184" s="4"/>
      <c r="C184" s="4"/>
      <c r="D184" s="4"/>
      <c r="E184" s="4"/>
      <c r="F184" s="4"/>
      <c r="G184" s="4"/>
      <c r="H184" s="4"/>
      <c r="I184" s="4"/>
      <c r="J184" s="4"/>
      <c r="O184" s="2" t="e">
        <f t="shared" si="14"/>
        <v>#VALUE!</v>
      </c>
      <c r="P184" s="6" t="e">
        <f t="shared" si="15"/>
        <v>#VALUE!</v>
      </c>
      <c r="Q184" s="6" t="e">
        <f t="shared" si="16"/>
        <v>#VALUE!</v>
      </c>
      <c r="R184" s="6" t="e">
        <f t="shared" si="17"/>
        <v>#VALUE!</v>
      </c>
      <c r="S184" s="6" t="e">
        <f t="shared" si="18"/>
        <v>#VALUE!</v>
      </c>
      <c r="T184" s="6" t="e">
        <f t="shared" si="19"/>
        <v>#VALUE!</v>
      </c>
      <c r="U184" s="2" t="e">
        <f t="shared" si="20"/>
        <v>#VALUE!</v>
      </c>
    </row>
    <row r="185" spans="2:21" x14ac:dyDescent="0.3">
      <c r="O185" s="2" t="e">
        <f t="shared" si="14"/>
        <v>#VALUE!</v>
      </c>
      <c r="P185" s="6" t="e">
        <f t="shared" si="15"/>
        <v>#VALUE!</v>
      </c>
      <c r="Q185" s="6" t="e">
        <f t="shared" si="16"/>
        <v>#VALUE!</v>
      </c>
      <c r="R185" s="6" t="e">
        <f t="shared" si="17"/>
        <v>#VALUE!</v>
      </c>
      <c r="S185" s="6" t="e">
        <f t="shared" si="18"/>
        <v>#VALUE!</v>
      </c>
      <c r="T185" s="6" t="e">
        <f t="shared" si="19"/>
        <v>#VALUE!</v>
      </c>
      <c r="U185" s="2" t="e">
        <f t="shared" si="20"/>
        <v>#VALUE!</v>
      </c>
    </row>
    <row r="186" spans="2:21" x14ac:dyDescent="0.3">
      <c r="O186" s="2" t="e">
        <f t="shared" si="14"/>
        <v>#VALUE!</v>
      </c>
      <c r="P186" s="6" t="e">
        <f t="shared" si="15"/>
        <v>#VALUE!</v>
      </c>
      <c r="Q186" s="6" t="e">
        <f t="shared" si="16"/>
        <v>#VALUE!</v>
      </c>
      <c r="R186" s="6" t="e">
        <f t="shared" si="17"/>
        <v>#VALUE!</v>
      </c>
      <c r="S186" s="6" t="e">
        <f t="shared" si="18"/>
        <v>#VALUE!</v>
      </c>
      <c r="T186" s="6" t="e">
        <f t="shared" si="19"/>
        <v>#VALUE!</v>
      </c>
      <c r="U186" s="2" t="e">
        <f t="shared" si="20"/>
        <v>#VALUE!</v>
      </c>
    </row>
    <row r="187" spans="2:21" x14ac:dyDescent="0.3">
      <c r="O187" s="2" t="e">
        <f t="shared" si="14"/>
        <v>#VALUE!</v>
      </c>
      <c r="P187" s="6" t="e">
        <f t="shared" si="15"/>
        <v>#VALUE!</v>
      </c>
      <c r="Q187" s="6" t="e">
        <f t="shared" si="16"/>
        <v>#VALUE!</v>
      </c>
      <c r="R187" s="6" t="e">
        <f t="shared" si="17"/>
        <v>#VALUE!</v>
      </c>
      <c r="S187" s="6" t="e">
        <f t="shared" si="18"/>
        <v>#VALUE!</v>
      </c>
      <c r="T187" s="6" t="e">
        <f t="shared" si="19"/>
        <v>#VALUE!</v>
      </c>
      <c r="U187" s="2" t="e">
        <f t="shared" si="20"/>
        <v>#VALUE!</v>
      </c>
    </row>
    <row r="188" spans="2:21" x14ac:dyDescent="0.3">
      <c r="O188" s="2" t="e">
        <f t="shared" si="14"/>
        <v>#VALUE!</v>
      </c>
      <c r="P188" s="6" t="e">
        <f t="shared" si="15"/>
        <v>#VALUE!</v>
      </c>
      <c r="Q188" s="6" t="e">
        <f t="shared" si="16"/>
        <v>#VALUE!</v>
      </c>
      <c r="R188" s="6" t="e">
        <f t="shared" si="17"/>
        <v>#VALUE!</v>
      </c>
      <c r="S188" s="6" t="e">
        <f t="shared" si="18"/>
        <v>#VALUE!</v>
      </c>
      <c r="T188" s="6" t="e">
        <f t="shared" si="19"/>
        <v>#VALUE!</v>
      </c>
      <c r="U188" s="2" t="e">
        <f t="shared" si="20"/>
        <v>#VALUE!</v>
      </c>
    </row>
    <row r="189" spans="2:21" x14ac:dyDescent="0.3">
      <c r="O189" s="2" t="e">
        <f t="shared" si="14"/>
        <v>#VALUE!</v>
      </c>
      <c r="P189" s="6" t="e">
        <f t="shared" si="15"/>
        <v>#VALUE!</v>
      </c>
      <c r="Q189" s="6" t="e">
        <f t="shared" si="16"/>
        <v>#VALUE!</v>
      </c>
      <c r="R189" s="6" t="e">
        <f t="shared" si="17"/>
        <v>#VALUE!</v>
      </c>
      <c r="S189" s="6" t="e">
        <f t="shared" si="18"/>
        <v>#VALUE!</v>
      </c>
      <c r="T189" s="6" t="e">
        <f t="shared" si="19"/>
        <v>#VALUE!</v>
      </c>
      <c r="U189" s="2" t="e">
        <f t="shared" si="20"/>
        <v>#VALUE!</v>
      </c>
    </row>
    <row r="190" spans="2:21" x14ac:dyDescent="0.3">
      <c r="O190" s="2" t="e">
        <f t="shared" si="14"/>
        <v>#VALUE!</v>
      </c>
      <c r="P190" s="6" t="e">
        <f t="shared" si="15"/>
        <v>#VALUE!</v>
      </c>
      <c r="Q190" s="6" t="e">
        <f t="shared" si="16"/>
        <v>#VALUE!</v>
      </c>
      <c r="R190" s="6" t="e">
        <f t="shared" si="17"/>
        <v>#VALUE!</v>
      </c>
      <c r="S190" s="6" t="e">
        <f t="shared" si="18"/>
        <v>#VALUE!</v>
      </c>
      <c r="T190" s="6" t="e">
        <f t="shared" si="19"/>
        <v>#VALUE!</v>
      </c>
      <c r="U190" s="2" t="e">
        <f t="shared" si="20"/>
        <v>#VALUE!</v>
      </c>
    </row>
    <row r="191" spans="2:21" x14ac:dyDescent="0.3">
      <c r="O191" s="2" t="e">
        <f t="shared" si="14"/>
        <v>#VALUE!</v>
      </c>
      <c r="P191" s="6" t="e">
        <f t="shared" si="15"/>
        <v>#VALUE!</v>
      </c>
      <c r="Q191" s="6" t="e">
        <f t="shared" si="16"/>
        <v>#VALUE!</v>
      </c>
      <c r="R191" s="6" t="e">
        <f t="shared" si="17"/>
        <v>#VALUE!</v>
      </c>
      <c r="S191" s="6" t="e">
        <f t="shared" si="18"/>
        <v>#VALUE!</v>
      </c>
      <c r="T191" s="6" t="e">
        <f t="shared" si="19"/>
        <v>#VALUE!</v>
      </c>
      <c r="U191" s="2" t="e">
        <f t="shared" si="20"/>
        <v>#VALUE!</v>
      </c>
    </row>
    <row r="192" spans="2:21" x14ac:dyDescent="0.3">
      <c r="K192" s="7"/>
      <c r="L192" s="7"/>
      <c r="M192" s="7"/>
      <c r="O192" s="2" t="e">
        <f t="shared" si="14"/>
        <v>#VALUE!</v>
      </c>
      <c r="P192" s="6" t="e">
        <f t="shared" si="15"/>
        <v>#VALUE!</v>
      </c>
      <c r="Q192" s="6" t="e">
        <f t="shared" si="16"/>
        <v>#VALUE!</v>
      </c>
      <c r="R192" s="6" t="e">
        <f t="shared" si="17"/>
        <v>#VALUE!</v>
      </c>
      <c r="S192" s="6" t="e">
        <f t="shared" si="18"/>
        <v>#VALUE!</v>
      </c>
      <c r="T192" s="6" t="e">
        <f t="shared" si="19"/>
        <v>#VALUE!</v>
      </c>
      <c r="U192" s="2" t="e">
        <f t="shared" si="20"/>
        <v>#VALUE!</v>
      </c>
    </row>
    <row r="193" spans="11:21" x14ac:dyDescent="0.3">
      <c r="K193" s="7"/>
      <c r="L193" s="7"/>
      <c r="M193" s="7"/>
      <c r="O193" s="2" t="e">
        <f t="shared" si="14"/>
        <v>#VALUE!</v>
      </c>
      <c r="P193" s="6" t="e">
        <f t="shared" si="15"/>
        <v>#VALUE!</v>
      </c>
      <c r="Q193" s="6" t="e">
        <f t="shared" si="16"/>
        <v>#VALUE!</v>
      </c>
      <c r="R193" s="6" t="e">
        <f t="shared" si="17"/>
        <v>#VALUE!</v>
      </c>
      <c r="S193" s="6" t="e">
        <f t="shared" si="18"/>
        <v>#VALUE!</v>
      </c>
      <c r="T193" s="6" t="e">
        <f t="shared" si="19"/>
        <v>#VALUE!</v>
      </c>
      <c r="U193" s="2" t="e">
        <f t="shared" si="20"/>
        <v>#VALUE!</v>
      </c>
    </row>
    <row r="194" spans="11:21" x14ac:dyDescent="0.3">
      <c r="O194" s="2" t="e">
        <f t="shared" si="14"/>
        <v>#VALUE!</v>
      </c>
      <c r="P194" s="6" t="e">
        <f t="shared" si="15"/>
        <v>#VALUE!</v>
      </c>
      <c r="Q194" s="6" t="e">
        <f t="shared" si="16"/>
        <v>#VALUE!</v>
      </c>
      <c r="R194" s="6" t="e">
        <f t="shared" si="17"/>
        <v>#VALUE!</v>
      </c>
      <c r="S194" s="6" t="e">
        <f t="shared" si="18"/>
        <v>#VALUE!</v>
      </c>
      <c r="T194" s="6" t="e">
        <f t="shared" si="19"/>
        <v>#VALUE!</v>
      </c>
      <c r="U194" s="2" t="e">
        <f t="shared" si="20"/>
        <v>#VALUE!</v>
      </c>
    </row>
    <row r="195" spans="11:21" x14ac:dyDescent="0.3">
      <c r="K195" s="7"/>
      <c r="L195" s="7"/>
      <c r="M195" s="7"/>
      <c r="O195" s="2" t="e">
        <f t="shared" ref="O195:O258" si="21">SUBSTITUTE(MID(A195,53,FIND("GBHS",A195)-54), ".", ",")</f>
        <v>#VALUE!</v>
      </c>
      <c r="P195" s="6" t="e">
        <f t="shared" ref="P195:P258" si="22">MID(O195,1,4)</f>
        <v>#VALUE!</v>
      </c>
      <c r="Q195" s="6" t="e">
        <f t="shared" ref="Q195:Q258" si="23">MID(O195,6,4)</f>
        <v>#VALUE!</v>
      </c>
      <c r="R195" s="6" t="e">
        <f t="shared" ref="R195:R258" si="24">MID(O195,11,4)</f>
        <v>#VALUE!</v>
      </c>
      <c r="S195" s="6" t="e">
        <f t="shared" ref="S195:S258" si="25">MID(O195,16,4)</f>
        <v>#VALUE!</v>
      </c>
      <c r="T195" s="6" t="e">
        <f t="shared" ref="T195:T258" si="26">MID(O195,21,4)</f>
        <v>#VALUE!</v>
      </c>
      <c r="U195" s="2" t="e">
        <f t="shared" ref="U195:U258" si="27">SUBSTITUTE(CONCATENATE("&lt;Parametros&gt;","&lt;Alfa&gt;",P195,"&lt;/Alfa&gt;","&lt;Beta&gt;",Q195,"&lt;/Beta&gt;","&lt;Gamma&gt;",R195,"&lt;/Gamma&gt;","&lt;Delta&gt;",S195,"&lt;/Delta&gt;","&lt;Ro&gt;",T195,"&lt;/Ro&gt;","&lt;/Parametros&gt;"),",",",")</f>
        <v>#VALUE!</v>
      </c>
    </row>
    <row r="196" spans="11:21" x14ac:dyDescent="0.3">
      <c r="O196" s="2" t="e">
        <f t="shared" si="21"/>
        <v>#VALUE!</v>
      </c>
      <c r="P196" s="6" t="e">
        <f t="shared" si="22"/>
        <v>#VALUE!</v>
      </c>
      <c r="Q196" s="6" t="e">
        <f t="shared" si="23"/>
        <v>#VALUE!</v>
      </c>
      <c r="R196" s="6" t="e">
        <f t="shared" si="24"/>
        <v>#VALUE!</v>
      </c>
      <c r="S196" s="6" t="e">
        <f t="shared" si="25"/>
        <v>#VALUE!</v>
      </c>
      <c r="T196" s="6" t="e">
        <f t="shared" si="26"/>
        <v>#VALUE!</v>
      </c>
      <c r="U196" s="2" t="e">
        <f t="shared" si="27"/>
        <v>#VALUE!</v>
      </c>
    </row>
    <row r="197" spans="11:21" x14ac:dyDescent="0.3">
      <c r="O197" s="2" t="e">
        <f t="shared" si="21"/>
        <v>#VALUE!</v>
      </c>
      <c r="P197" s="6" t="e">
        <f t="shared" si="22"/>
        <v>#VALUE!</v>
      </c>
      <c r="Q197" s="6" t="e">
        <f t="shared" si="23"/>
        <v>#VALUE!</v>
      </c>
      <c r="R197" s="6" t="e">
        <f t="shared" si="24"/>
        <v>#VALUE!</v>
      </c>
      <c r="S197" s="6" t="e">
        <f t="shared" si="25"/>
        <v>#VALUE!</v>
      </c>
      <c r="T197" s="6" t="e">
        <f t="shared" si="26"/>
        <v>#VALUE!</v>
      </c>
      <c r="U197" s="2" t="e">
        <f t="shared" si="27"/>
        <v>#VALUE!</v>
      </c>
    </row>
    <row r="198" spans="11:21" x14ac:dyDescent="0.3">
      <c r="O198" s="2" t="e">
        <f t="shared" si="21"/>
        <v>#VALUE!</v>
      </c>
      <c r="P198" s="6" t="e">
        <f t="shared" si="22"/>
        <v>#VALUE!</v>
      </c>
      <c r="Q198" s="6" t="e">
        <f t="shared" si="23"/>
        <v>#VALUE!</v>
      </c>
      <c r="R198" s="6" t="e">
        <f t="shared" si="24"/>
        <v>#VALUE!</v>
      </c>
      <c r="S198" s="6" t="e">
        <f t="shared" si="25"/>
        <v>#VALUE!</v>
      </c>
      <c r="T198" s="6" t="e">
        <f t="shared" si="26"/>
        <v>#VALUE!</v>
      </c>
      <c r="U198" s="2" t="e">
        <f t="shared" si="27"/>
        <v>#VALUE!</v>
      </c>
    </row>
    <row r="199" spans="11:21" x14ac:dyDescent="0.3">
      <c r="K199" s="7"/>
      <c r="L199" s="7"/>
      <c r="M199" s="7"/>
      <c r="O199" s="2" t="e">
        <f t="shared" si="21"/>
        <v>#VALUE!</v>
      </c>
      <c r="P199" s="6" t="e">
        <f t="shared" si="22"/>
        <v>#VALUE!</v>
      </c>
      <c r="Q199" s="6" t="e">
        <f t="shared" si="23"/>
        <v>#VALUE!</v>
      </c>
      <c r="R199" s="6" t="e">
        <f t="shared" si="24"/>
        <v>#VALUE!</v>
      </c>
      <c r="S199" s="6" t="e">
        <f t="shared" si="25"/>
        <v>#VALUE!</v>
      </c>
      <c r="T199" s="6" t="e">
        <f t="shared" si="26"/>
        <v>#VALUE!</v>
      </c>
      <c r="U199" s="2" t="e">
        <f t="shared" si="27"/>
        <v>#VALUE!</v>
      </c>
    </row>
    <row r="200" spans="11:21" x14ac:dyDescent="0.3">
      <c r="O200" s="2" t="e">
        <f t="shared" si="21"/>
        <v>#VALUE!</v>
      </c>
      <c r="P200" s="6" t="e">
        <f t="shared" si="22"/>
        <v>#VALUE!</v>
      </c>
      <c r="Q200" s="6" t="e">
        <f t="shared" si="23"/>
        <v>#VALUE!</v>
      </c>
      <c r="R200" s="6" t="e">
        <f t="shared" si="24"/>
        <v>#VALUE!</v>
      </c>
      <c r="S200" s="6" t="e">
        <f t="shared" si="25"/>
        <v>#VALUE!</v>
      </c>
      <c r="T200" s="6" t="e">
        <f t="shared" si="26"/>
        <v>#VALUE!</v>
      </c>
      <c r="U200" s="2" t="e">
        <f t="shared" si="27"/>
        <v>#VALUE!</v>
      </c>
    </row>
    <row r="201" spans="11:21" x14ac:dyDescent="0.3">
      <c r="K201" s="7"/>
      <c r="L201" s="7"/>
      <c r="M201" s="7"/>
      <c r="O201" s="2" t="e">
        <f t="shared" si="21"/>
        <v>#VALUE!</v>
      </c>
      <c r="P201" s="6" t="e">
        <f t="shared" si="22"/>
        <v>#VALUE!</v>
      </c>
      <c r="Q201" s="6" t="e">
        <f t="shared" si="23"/>
        <v>#VALUE!</v>
      </c>
      <c r="R201" s="6" t="e">
        <f t="shared" si="24"/>
        <v>#VALUE!</v>
      </c>
      <c r="S201" s="6" t="e">
        <f t="shared" si="25"/>
        <v>#VALUE!</v>
      </c>
      <c r="T201" s="6" t="e">
        <f t="shared" si="26"/>
        <v>#VALUE!</v>
      </c>
      <c r="U201" s="2" t="e">
        <f t="shared" si="27"/>
        <v>#VALUE!</v>
      </c>
    </row>
    <row r="202" spans="11:21" x14ac:dyDescent="0.3">
      <c r="K202" s="7"/>
      <c r="L202" s="7"/>
      <c r="M202" s="7"/>
      <c r="O202" s="2" t="e">
        <f t="shared" si="21"/>
        <v>#VALUE!</v>
      </c>
      <c r="P202" s="6" t="e">
        <f t="shared" si="22"/>
        <v>#VALUE!</v>
      </c>
      <c r="Q202" s="6" t="e">
        <f t="shared" si="23"/>
        <v>#VALUE!</v>
      </c>
      <c r="R202" s="6" t="e">
        <f t="shared" si="24"/>
        <v>#VALUE!</v>
      </c>
      <c r="S202" s="6" t="e">
        <f t="shared" si="25"/>
        <v>#VALUE!</v>
      </c>
      <c r="T202" s="6" t="e">
        <f t="shared" si="26"/>
        <v>#VALUE!</v>
      </c>
      <c r="U202" s="2" t="e">
        <f t="shared" si="27"/>
        <v>#VALUE!</v>
      </c>
    </row>
    <row r="203" spans="11:21" x14ac:dyDescent="0.3">
      <c r="K203" s="7"/>
      <c r="L203" s="7"/>
      <c r="M203" s="7"/>
      <c r="O203" s="2" t="e">
        <f t="shared" si="21"/>
        <v>#VALUE!</v>
      </c>
      <c r="P203" s="6" t="e">
        <f t="shared" si="22"/>
        <v>#VALUE!</v>
      </c>
      <c r="Q203" s="6" t="e">
        <f t="shared" si="23"/>
        <v>#VALUE!</v>
      </c>
      <c r="R203" s="6" t="e">
        <f t="shared" si="24"/>
        <v>#VALUE!</v>
      </c>
      <c r="S203" s="6" t="e">
        <f t="shared" si="25"/>
        <v>#VALUE!</v>
      </c>
      <c r="T203" s="6" t="e">
        <f t="shared" si="26"/>
        <v>#VALUE!</v>
      </c>
      <c r="U203" s="2" t="e">
        <f t="shared" si="27"/>
        <v>#VALUE!</v>
      </c>
    </row>
    <row r="204" spans="11:21" x14ac:dyDescent="0.3">
      <c r="K204" s="7"/>
      <c r="L204" s="7"/>
      <c r="M204" s="7"/>
      <c r="O204" s="2" t="e">
        <f t="shared" si="21"/>
        <v>#VALUE!</v>
      </c>
      <c r="P204" s="6" t="e">
        <f t="shared" si="22"/>
        <v>#VALUE!</v>
      </c>
      <c r="Q204" s="6" t="e">
        <f t="shared" si="23"/>
        <v>#VALUE!</v>
      </c>
      <c r="R204" s="6" t="e">
        <f t="shared" si="24"/>
        <v>#VALUE!</v>
      </c>
      <c r="S204" s="6" t="e">
        <f t="shared" si="25"/>
        <v>#VALUE!</v>
      </c>
      <c r="T204" s="6" t="e">
        <f t="shared" si="26"/>
        <v>#VALUE!</v>
      </c>
      <c r="U204" s="2" t="e">
        <f t="shared" si="27"/>
        <v>#VALUE!</v>
      </c>
    </row>
    <row r="205" spans="11:21" x14ac:dyDescent="0.3">
      <c r="K205" s="7"/>
      <c r="L205" s="7"/>
      <c r="M205" s="7"/>
      <c r="O205" s="2" t="e">
        <f t="shared" si="21"/>
        <v>#VALUE!</v>
      </c>
      <c r="P205" s="6" t="e">
        <f t="shared" si="22"/>
        <v>#VALUE!</v>
      </c>
      <c r="Q205" s="6" t="e">
        <f t="shared" si="23"/>
        <v>#VALUE!</v>
      </c>
      <c r="R205" s="6" t="e">
        <f t="shared" si="24"/>
        <v>#VALUE!</v>
      </c>
      <c r="S205" s="6" t="e">
        <f t="shared" si="25"/>
        <v>#VALUE!</v>
      </c>
      <c r="T205" s="6" t="e">
        <f t="shared" si="26"/>
        <v>#VALUE!</v>
      </c>
      <c r="U205" s="2" t="e">
        <f t="shared" si="27"/>
        <v>#VALUE!</v>
      </c>
    </row>
    <row r="206" spans="11:21" x14ac:dyDescent="0.3">
      <c r="K206" s="7"/>
      <c r="L206" s="7"/>
      <c r="M206" s="7"/>
      <c r="O206" s="2" t="e">
        <f t="shared" si="21"/>
        <v>#VALUE!</v>
      </c>
      <c r="P206" s="6" t="e">
        <f t="shared" si="22"/>
        <v>#VALUE!</v>
      </c>
      <c r="Q206" s="6" t="e">
        <f t="shared" si="23"/>
        <v>#VALUE!</v>
      </c>
      <c r="R206" s="6" t="e">
        <f t="shared" si="24"/>
        <v>#VALUE!</v>
      </c>
      <c r="S206" s="6" t="e">
        <f t="shared" si="25"/>
        <v>#VALUE!</v>
      </c>
      <c r="T206" s="6" t="e">
        <f t="shared" si="26"/>
        <v>#VALUE!</v>
      </c>
      <c r="U206" s="2" t="e">
        <f t="shared" si="27"/>
        <v>#VALUE!</v>
      </c>
    </row>
    <row r="207" spans="11:21" x14ac:dyDescent="0.3">
      <c r="K207" s="7"/>
      <c r="L207" s="7"/>
      <c r="M207" s="7"/>
      <c r="O207" s="2" t="e">
        <f t="shared" si="21"/>
        <v>#VALUE!</v>
      </c>
      <c r="P207" s="6" t="e">
        <f t="shared" si="22"/>
        <v>#VALUE!</v>
      </c>
      <c r="Q207" s="6" t="e">
        <f t="shared" si="23"/>
        <v>#VALUE!</v>
      </c>
      <c r="R207" s="6" t="e">
        <f t="shared" si="24"/>
        <v>#VALUE!</v>
      </c>
      <c r="S207" s="6" t="e">
        <f t="shared" si="25"/>
        <v>#VALUE!</v>
      </c>
      <c r="T207" s="6" t="e">
        <f t="shared" si="26"/>
        <v>#VALUE!</v>
      </c>
      <c r="U207" s="2" t="e">
        <f t="shared" si="27"/>
        <v>#VALUE!</v>
      </c>
    </row>
    <row r="208" spans="11:21" x14ac:dyDescent="0.3">
      <c r="K208" s="7"/>
      <c r="L208" s="7"/>
      <c r="M208" s="7"/>
      <c r="O208" s="2" t="e">
        <f t="shared" si="21"/>
        <v>#VALUE!</v>
      </c>
      <c r="P208" s="6" t="e">
        <f t="shared" si="22"/>
        <v>#VALUE!</v>
      </c>
      <c r="Q208" s="6" t="e">
        <f t="shared" si="23"/>
        <v>#VALUE!</v>
      </c>
      <c r="R208" s="6" t="e">
        <f t="shared" si="24"/>
        <v>#VALUE!</v>
      </c>
      <c r="S208" s="6" t="e">
        <f t="shared" si="25"/>
        <v>#VALUE!</v>
      </c>
      <c r="T208" s="6" t="e">
        <f t="shared" si="26"/>
        <v>#VALUE!</v>
      </c>
      <c r="U208" s="2" t="e">
        <f t="shared" si="27"/>
        <v>#VALUE!</v>
      </c>
    </row>
    <row r="209" spans="11:21" x14ac:dyDescent="0.3">
      <c r="K209" s="7"/>
      <c r="L209" s="7"/>
      <c r="M209" s="7"/>
      <c r="O209" s="2" t="e">
        <f t="shared" si="21"/>
        <v>#VALUE!</v>
      </c>
      <c r="P209" s="6" t="e">
        <f t="shared" si="22"/>
        <v>#VALUE!</v>
      </c>
      <c r="Q209" s="6" t="e">
        <f t="shared" si="23"/>
        <v>#VALUE!</v>
      </c>
      <c r="R209" s="6" t="e">
        <f t="shared" si="24"/>
        <v>#VALUE!</v>
      </c>
      <c r="S209" s="6" t="e">
        <f t="shared" si="25"/>
        <v>#VALUE!</v>
      </c>
      <c r="T209" s="6" t="e">
        <f t="shared" si="26"/>
        <v>#VALUE!</v>
      </c>
      <c r="U209" s="2" t="e">
        <f t="shared" si="27"/>
        <v>#VALUE!</v>
      </c>
    </row>
    <row r="210" spans="11:21" x14ac:dyDescent="0.3">
      <c r="K210" s="7"/>
      <c r="L210" s="7"/>
      <c r="M210" s="7"/>
      <c r="O210" s="2" t="e">
        <f t="shared" si="21"/>
        <v>#VALUE!</v>
      </c>
      <c r="P210" s="6" t="e">
        <f t="shared" si="22"/>
        <v>#VALUE!</v>
      </c>
      <c r="Q210" s="6" t="e">
        <f t="shared" si="23"/>
        <v>#VALUE!</v>
      </c>
      <c r="R210" s="6" t="e">
        <f t="shared" si="24"/>
        <v>#VALUE!</v>
      </c>
      <c r="S210" s="6" t="e">
        <f t="shared" si="25"/>
        <v>#VALUE!</v>
      </c>
      <c r="T210" s="6" t="e">
        <f t="shared" si="26"/>
        <v>#VALUE!</v>
      </c>
      <c r="U210" s="2" t="e">
        <f t="shared" si="27"/>
        <v>#VALUE!</v>
      </c>
    </row>
    <row r="211" spans="11:21" x14ac:dyDescent="0.3">
      <c r="K211" s="7"/>
      <c r="L211" s="7"/>
      <c r="M211" s="7"/>
      <c r="O211" s="2" t="e">
        <f t="shared" si="21"/>
        <v>#VALUE!</v>
      </c>
      <c r="P211" s="6" t="e">
        <f t="shared" si="22"/>
        <v>#VALUE!</v>
      </c>
      <c r="Q211" s="6" t="e">
        <f t="shared" si="23"/>
        <v>#VALUE!</v>
      </c>
      <c r="R211" s="6" t="e">
        <f t="shared" si="24"/>
        <v>#VALUE!</v>
      </c>
      <c r="S211" s="6" t="e">
        <f t="shared" si="25"/>
        <v>#VALUE!</v>
      </c>
      <c r="T211" s="6" t="e">
        <f t="shared" si="26"/>
        <v>#VALUE!</v>
      </c>
      <c r="U211" s="2" t="e">
        <f t="shared" si="27"/>
        <v>#VALUE!</v>
      </c>
    </row>
    <row r="212" spans="11:21" x14ac:dyDescent="0.3">
      <c r="O212" s="2" t="e">
        <f t="shared" si="21"/>
        <v>#VALUE!</v>
      </c>
      <c r="P212" s="6" t="e">
        <f t="shared" si="22"/>
        <v>#VALUE!</v>
      </c>
      <c r="Q212" s="6" t="e">
        <f t="shared" si="23"/>
        <v>#VALUE!</v>
      </c>
      <c r="R212" s="6" t="e">
        <f t="shared" si="24"/>
        <v>#VALUE!</v>
      </c>
      <c r="S212" s="6" t="e">
        <f t="shared" si="25"/>
        <v>#VALUE!</v>
      </c>
      <c r="T212" s="6" t="e">
        <f t="shared" si="26"/>
        <v>#VALUE!</v>
      </c>
      <c r="U212" s="2" t="e">
        <f t="shared" si="27"/>
        <v>#VALUE!</v>
      </c>
    </row>
    <row r="213" spans="11:21" x14ac:dyDescent="0.3">
      <c r="K213" s="7"/>
      <c r="L213" s="7"/>
      <c r="M213" s="7"/>
      <c r="O213" s="2" t="e">
        <f t="shared" si="21"/>
        <v>#VALUE!</v>
      </c>
      <c r="P213" s="6" t="e">
        <f t="shared" si="22"/>
        <v>#VALUE!</v>
      </c>
      <c r="Q213" s="6" t="e">
        <f t="shared" si="23"/>
        <v>#VALUE!</v>
      </c>
      <c r="R213" s="6" t="e">
        <f t="shared" si="24"/>
        <v>#VALUE!</v>
      </c>
      <c r="S213" s="6" t="e">
        <f t="shared" si="25"/>
        <v>#VALUE!</v>
      </c>
      <c r="T213" s="6" t="e">
        <f t="shared" si="26"/>
        <v>#VALUE!</v>
      </c>
      <c r="U213" s="2" t="e">
        <f t="shared" si="27"/>
        <v>#VALUE!</v>
      </c>
    </row>
    <row r="214" spans="11:21" x14ac:dyDescent="0.3">
      <c r="O214" s="2" t="e">
        <f t="shared" si="21"/>
        <v>#VALUE!</v>
      </c>
      <c r="P214" s="6" t="e">
        <f t="shared" si="22"/>
        <v>#VALUE!</v>
      </c>
      <c r="Q214" s="6" t="e">
        <f t="shared" si="23"/>
        <v>#VALUE!</v>
      </c>
      <c r="R214" s="6" t="e">
        <f t="shared" si="24"/>
        <v>#VALUE!</v>
      </c>
      <c r="S214" s="6" t="e">
        <f t="shared" si="25"/>
        <v>#VALUE!</v>
      </c>
      <c r="T214" s="6" t="e">
        <f t="shared" si="26"/>
        <v>#VALUE!</v>
      </c>
      <c r="U214" s="2" t="e">
        <f t="shared" si="27"/>
        <v>#VALUE!</v>
      </c>
    </row>
    <row r="215" spans="11:21" x14ac:dyDescent="0.3">
      <c r="O215" s="2" t="e">
        <f t="shared" si="21"/>
        <v>#VALUE!</v>
      </c>
      <c r="P215" s="6" t="e">
        <f t="shared" si="22"/>
        <v>#VALUE!</v>
      </c>
      <c r="Q215" s="6" t="e">
        <f t="shared" si="23"/>
        <v>#VALUE!</v>
      </c>
      <c r="R215" s="6" t="e">
        <f t="shared" si="24"/>
        <v>#VALUE!</v>
      </c>
      <c r="S215" s="6" t="e">
        <f t="shared" si="25"/>
        <v>#VALUE!</v>
      </c>
      <c r="T215" s="6" t="e">
        <f t="shared" si="26"/>
        <v>#VALUE!</v>
      </c>
      <c r="U215" s="2" t="e">
        <f t="shared" si="27"/>
        <v>#VALUE!</v>
      </c>
    </row>
    <row r="216" spans="11:21" x14ac:dyDescent="0.3">
      <c r="O216" s="2" t="e">
        <f t="shared" si="21"/>
        <v>#VALUE!</v>
      </c>
      <c r="P216" s="6" t="e">
        <f t="shared" si="22"/>
        <v>#VALUE!</v>
      </c>
      <c r="Q216" s="6" t="e">
        <f t="shared" si="23"/>
        <v>#VALUE!</v>
      </c>
      <c r="R216" s="6" t="e">
        <f t="shared" si="24"/>
        <v>#VALUE!</v>
      </c>
      <c r="S216" s="6" t="e">
        <f t="shared" si="25"/>
        <v>#VALUE!</v>
      </c>
      <c r="T216" s="6" t="e">
        <f t="shared" si="26"/>
        <v>#VALUE!</v>
      </c>
      <c r="U216" s="2" t="e">
        <f t="shared" si="27"/>
        <v>#VALUE!</v>
      </c>
    </row>
    <row r="217" spans="11:21" x14ac:dyDescent="0.3">
      <c r="K217" s="7"/>
      <c r="L217" s="7"/>
      <c r="M217" s="7"/>
      <c r="O217" s="2" t="e">
        <f t="shared" si="21"/>
        <v>#VALUE!</v>
      </c>
      <c r="P217" s="6" t="e">
        <f t="shared" si="22"/>
        <v>#VALUE!</v>
      </c>
      <c r="Q217" s="6" t="e">
        <f t="shared" si="23"/>
        <v>#VALUE!</v>
      </c>
      <c r="R217" s="6" t="e">
        <f t="shared" si="24"/>
        <v>#VALUE!</v>
      </c>
      <c r="S217" s="6" t="e">
        <f t="shared" si="25"/>
        <v>#VALUE!</v>
      </c>
      <c r="T217" s="6" t="e">
        <f t="shared" si="26"/>
        <v>#VALUE!</v>
      </c>
      <c r="U217" s="2" t="e">
        <f t="shared" si="27"/>
        <v>#VALUE!</v>
      </c>
    </row>
    <row r="218" spans="11:21" x14ac:dyDescent="0.3">
      <c r="O218" s="2" t="e">
        <f t="shared" si="21"/>
        <v>#VALUE!</v>
      </c>
      <c r="P218" s="6" t="e">
        <f t="shared" si="22"/>
        <v>#VALUE!</v>
      </c>
      <c r="Q218" s="6" t="e">
        <f t="shared" si="23"/>
        <v>#VALUE!</v>
      </c>
      <c r="R218" s="6" t="e">
        <f t="shared" si="24"/>
        <v>#VALUE!</v>
      </c>
      <c r="S218" s="6" t="e">
        <f t="shared" si="25"/>
        <v>#VALUE!</v>
      </c>
      <c r="T218" s="6" t="e">
        <f t="shared" si="26"/>
        <v>#VALUE!</v>
      </c>
      <c r="U218" s="2" t="e">
        <f t="shared" si="27"/>
        <v>#VALUE!</v>
      </c>
    </row>
    <row r="219" spans="11:21" x14ac:dyDescent="0.3">
      <c r="O219" s="2" t="e">
        <f t="shared" si="21"/>
        <v>#VALUE!</v>
      </c>
      <c r="P219" s="6" t="e">
        <f t="shared" si="22"/>
        <v>#VALUE!</v>
      </c>
      <c r="Q219" s="6" t="e">
        <f t="shared" si="23"/>
        <v>#VALUE!</v>
      </c>
      <c r="R219" s="6" t="e">
        <f t="shared" si="24"/>
        <v>#VALUE!</v>
      </c>
      <c r="S219" s="6" t="e">
        <f t="shared" si="25"/>
        <v>#VALUE!</v>
      </c>
      <c r="T219" s="6" t="e">
        <f t="shared" si="26"/>
        <v>#VALUE!</v>
      </c>
      <c r="U219" s="2" t="e">
        <f t="shared" si="27"/>
        <v>#VALUE!</v>
      </c>
    </row>
    <row r="220" spans="11:21" x14ac:dyDescent="0.3">
      <c r="O220" s="2" t="e">
        <f t="shared" si="21"/>
        <v>#VALUE!</v>
      </c>
      <c r="P220" s="6" t="e">
        <f t="shared" si="22"/>
        <v>#VALUE!</v>
      </c>
      <c r="Q220" s="6" t="e">
        <f t="shared" si="23"/>
        <v>#VALUE!</v>
      </c>
      <c r="R220" s="6" t="e">
        <f t="shared" si="24"/>
        <v>#VALUE!</v>
      </c>
      <c r="S220" s="6" t="e">
        <f t="shared" si="25"/>
        <v>#VALUE!</v>
      </c>
      <c r="T220" s="6" t="e">
        <f t="shared" si="26"/>
        <v>#VALUE!</v>
      </c>
      <c r="U220" s="2" t="e">
        <f t="shared" si="27"/>
        <v>#VALUE!</v>
      </c>
    </row>
    <row r="221" spans="11:21" x14ac:dyDescent="0.3">
      <c r="O221" s="2" t="e">
        <f t="shared" si="21"/>
        <v>#VALUE!</v>
      </c>
      <c r="P221" s="6" t="e">
        <f t="shared" si="22"/>
        <v>#VALUE!</v>
      </c>
      <c r="Q221" s="6" t="e">
        <f t="shared" si="23"/>
        <v>#VALUE!</v>
      </c>
      <c r="R221" s="6" t="e">
        <f t="shared" si="24"/>
        <v>#VALUE!</v>
      </c>
      <c r="S221" s="6" t="e">
        <f t="shared" si="25"/>
        <v>#VALUE!</v>
      </c>
      <c r="T221" s="6" t="e">
        <f t="shared" si="26"/>
        <v>#VALUE!</v>
      </c>
      <c r="U221" s="2" t="e">
        <f t="shared" si="27"/>
        <v>#VALUE!</v>
      </c>
    </row>
    <row r="222" spans="11:21" x14ac:dyDescent="0.3">
      <c r="O222" s="2" t="e">
        <f t="shared" si="21"/>
        <v>#VALUE!</v>
      </c>
      <c r="P222" s="6" t="e">
        <f t="shared" si="22"/>
        <v>#VALUE!</v>
      </c>
      <c r="Q222" s="6" t="e">
        <f t="shared" si="23"/>
        <v>#VALUE!</v>
      </c>
      <c r="R222" s="6" t="e">
        <f t="shared" si="24"/>
        <v>#VALUE!</v>
      </c>
      <c r="S222" s="6" t="e">
        <f t="shared" si="25"/>
        <v>#VALUE!</v>
      </c>
      <c r="T222" s="6" t="e">
        <f t="shared" si="26"/>
        <v>#VALUE!</v>
      </c>
      <c r="U222" s="2" t="e">
        <f t="shared" si="27"/>
        <v>#VALUE!</v>
      </c>
    </row>
    <row r="223" spans="11:21" x14ac:dyDescent="0.3">
      <c r="K223" s="7"/>
      <c r="L223" s="7"/>
      <c r="M223" s="7"/>
      <c r="O223" s="2" t="e">
        <f t="shared" si="21"/>
        <v>#VALUE!</v>
      </c>
      <c r="P223" s="6" t="e">
        <f t="shared" si="22"/>
        <v>#VALUE!</v>
      </c>
      <c r="Q223" s="6" t="e">
        <f t="shared" si="23"/>
        <v>#VALUE!</v>
      </c>
      <c r="R223" s="6" t="e">
        <f t="shared" si="24"/>
        <v>#VALUE!</v>
      </c>
      <c r="S223" s="6" t="e">
        <f t="shared" si="25"/>
        <v>#VALUE!</v>
      </c>
      <c r="T223" s="6" t="e">
        <f t="shared" si="26"/>
        <v>#VALUE!</v>
      </c>
      <c r="U223" s="2" t="e">
        <f t="shared" si="27"/>
        <v>#VALUE!</v>
      </c>
    </row>
    <row r="224" spans="11:21" x14ac:dyDescent="0.3">
      <c r="O224" s="2" t="e">
        <f t="shared" si="21"/>
        <v>#VALUE!</v>
      </c>
      <c r="P224" s="6" t="e">
        <f t="shared" si="22"/>
        <v>#VALUE!</v>
      </c>
      <c r="Q224" s="6" t="e">
        <f t="shared" si="23"/>
        <v>#VALUE!</v>
      </c>
      <c r="R224" s="6" t="e">
        <f t="shared" si="24"/>
        <v>#VALUE!</v>
      </c>
      <c r="S224" s="6" t="e">
        <f t="shared" si="25"/>
        <v>#VALUE!</v>
      </c>
      <c r="T224" s="6" t="e">
        <f t="shared" si="26"/>
        <v>#VALUE!</v>
      </c>
      <c r="U224" s="2" t="e">
        <f t="shared" si="27"/>
        <v>#VALUE!</v>
      </c>
    </row>
    <row r="225" spans="11:21" x14ac:dyDescent="0.3">
      <c r="K225" s="7"/>
      <c r="L225" s="7"/>
      <c r="M225" s="7"/>
      <c r="O225" s="2" t="e">
        <f t="shared" si="21"/>
        <v>#VALUE!</v>
      </c>
      <c r="P225" s="6" t="e">
        <f t="shared" si="22"/>
        <v>#VALUE!</v>
      </c>
      <c r="Q225" s="6" t="e">
        <f t="shared" si="23"/>
        <v>#VALUE!</v>
      </c>
      <c r="R225" s="6" t="e">
        <f t="shared" si="24"/>
        <v>#VALUE!</v>
      </c>
      <c r="S225" s="6" t="e">
        <f t="shared" si="25"/>
        <v>#VALUE!</v>
      </c>
      <c r="T225" s="6" t="e">
        <f t="shared" si="26"/>
        <v>#VALUE!</v>
      </c>
      <c r="U225" s="2" t="e">
        <f t="shared" si="27"/>
        <v>#VALUE!</v>
      </c>
    </row>
    <row r="226" spans="11:21" x14ac:dyDescent="0.3">
      <c r="O226" s="2" t="e">
        <f t="shared" si="21"/>
        <v>#VALUE!</v>
      </c>
      <c r="P226" s="6" t="e">
        <f t="shared" si="22"/>
        <v>#VALUE!</v>
      </c>
      <c r="Q226" s="6" t="e">
        <f t="shared" si="23"/>
        <v>#VALUE!</v>
      </c>
      <c r="R226" s="6" t="e">
        <f t="shared" si="24"/>
        <v>#VALUE!</v>
      </c>
      <c r="S226" s="6" t="e">
        <f t="shared" si="25"/>
        <v>#VALUE!</v>
      </c>
      <c r="T226" s="6" t="e">
        <f t="shared" si="26"/>
        <v>#VALUE!</v>
      </c>
      <c r="U226" s="2" t="e">
        <f t="shared" si="27"/>
        <v>#VALUE!</v>
      </c>
    </row>
    <row r="227" spans="11:21" x14ac:dyDescent="0.3">
      <c r="K227" s="7"/>
      <c r="L227" s="7"/>
      <c r="M227" s="7"/>
      <c r="O227" s="2" t="e">
        <f t="shared" si="21"/>
        <v>#VALUE!</v>
      </c>
      <c r="P227" s="6" t="e">
        <f t="shared" si="22"/>
        <v>#VALUE!</v>
      </c>
      <c r="Q227" s="6" t="e">
        <f t="shared" si="23"/>
        <v>#VALUE!</v>
      </c>
      <c r="R227" s="6" t="e">
        <f t="shared" si="24"/>
        <v>#VALUE!</v>
      </c>
      <c r="S227" s="6" t="e">
        <f t="shared" si="25"/>
        <v>#VALUE!</v>
      </c>
      <c r="T227" s="6" t="e">
        <f t="shared" si="26"/>
        <v>#VALUE!</v>
      </c>
      <c r="U227" s="2" t="e">
        <f t="shared" si="27"/>
        <v>#VALUE!</v>
      </c>
    </row>
    <row r="228" spans="11:21" x14ac:dyDescent="0.3">
      <c r="O228" s="2" t="e">
        <f t="shared" si="21"/>
        <v>#VALUE!</v>
      </c>
      <c r="P228" s="6" t="e">
        <f t="shared" si="22"/>
        <v>#VALUE!</v>
      </c>
      <c r="Q228" s="6" t="e">
        <f t="shared" si="23"/>
        <v>#VALUE!</v>
      </c>
      <c r="R228" s="6" t="e">
        <f t="shared" si="24"/>
        <v>#VALUE!</v>
      </c>
      <c r="S228" s="6" t="e">
        <f t="shared" si="25"/>
        <v>#VALUE!</v>
      </c>
      <c r="T228" s="6" t="e">
        <f t="shared" si="26"/>
        <v>#VALUE!</v>
      </c>
      <c r="U228" s="2" t="e">
        <f t="shared" si="27"/>
        <v>#VALUE!</v>
      </c>
    </row>
    <row r="229" spans="11:21" x14ac:dyDescent="0.3">
      <c r="O229" s="2" t="e">
        <f t="shared" si="21"/>
        <v>#VALUE!</v>
      </c>
      <c r="P229" s="6" t="e">
        <f t="shared" si="22"/>
        <v>#VALUE!</v>
      </c>
      <c r="Q229" s="6" t="e">
        <f t="shared" si="23"/>
        <v>#VALUE!</v>
      </c>
      <c r="R229" s="6" t="e">
        <f t="shared" si="24"/>
        <v>#VALUE!</v>
      </c>
      <c r="S229" s="6" t="e">
        <f t="shared" si="25"/>
        <v>#VALUE!</v>
      </c>
      <c r="T229" s="6" t="e">
        <f t="shared" si="26"/>
        <v>#VALUE!</v>
      </c>
      <c r="U229" s="2" t="e">
        <f t="shared" si="27"/>
        <v>#VALUE!</v>
      </c>
    </row>
    <row r="230" spans="11:21" x14ac:dyDescent="0.3">
      <c r="K230" s="7"/>
      <c r="L230" s="7"/>
      <c r="M230" s="7"/>
      <c r="O230" s="2" t="e">
        <f t="shared" si="21"/>
        <v>#VALUE!</v>
      </c>
      <c r="P230" s="6" t="e">
        <f t="shared" si="22"/>
        <v>#VALUE!</v>
      </c>
      <c r="Q230" s="6" t="e">
        <f t="shared" si="23"/>
        <v>#VALUE!</v>
      </c>
      <c r="R230" s="6" t="e">
        <f t="shared" si="24"/>
        <v>#VALUE!</v>
      </c>
      <c r="S230" s="6" t="e">
        <f t="shared" si="25"/>
        <v>#VALUE!</v>
      </c>
      <c r="T230" s="6" t="e">
        <f t="shared" si="26"/>
        <v>#VALUE!</v>
      </c>
      <c r="U230" s="2" t="e">
        <f t="shared" si="27"/>
        <v>#VALUE!</v>
      </c>
    </row>
    <row r="231" spans="11:21" x14ac:dyDescent="0.3">
      <c r="O231" s="2" t="e">
        <f t="shared" si="21"/>
        <v>#VALUE!</v>
      </c>
      <c r="P231" s="6" t="e">
        <f t="shared" si="22"/>
        <v>#VALUE!</v>
      </c>
      <c r="Q231" s="6" t="e">
        <f t="shared" si="23"/>
        <v>#VALUE!</v>
      </c>
      <c r="R231" s="6" t="e">
        <f t="shared" si="24"/>
        <v>#VALUE!</v>
      </c>
      <c r="S231" s="6" t="e">
        <f t="shared" si="25"/>
        <v>#VALUE!</v>
      </c>
      <c r="T231" s="6" t="e">
        <f t="shared" si="26"/>
        <v>#VALUE!</v>
      </c>
      <c r="U231" s="2" t="e">
        <f t="shared" si="27"/>
        <v>#VALUE!</v>
      </c>
    </row>
    <row r="232" spans="11:21" x14ac:dyDescent="0.3">
      <c r="O232" s="2" t="e">
        <f t="shared" si="21"/>
        <v>#VALUE!</v>
      </c>
      <c r="P232" s="6" t="e">
        <f t="shared" si="22"/>
        <v>#VALUE!</v>
      </c>
      <c r="Q232" s="6" t="e">
        <f t="shared" si="23"/>
        <v>#VALUE!</v>
      </c>
      <c r="R232" s="6" t="e">
        <f t="shared" si="24"/>
        <v>#VALUE!</v>
      </c>
      <c r="S232" s="6" t="e">
        <f t="shared" si="25"/>
        <v>#VALUE!</v>
      </c>
      <c r="T232" s="6" t="e">
        <f t="shared" si="26"/>
        <v>#VALUE!</v>
      </c>
      <c r="U232" s="2" t="e">
        <f t="shared" si="27"/>
        <v>#VALUE!</v>
      </c>
    </row>
    <row r="233" spans="11:21" x14ac:dyDescent="0.3">
      <c r="K233" s="7"/>
      <c r="L233" s="7"/>
      <c r="M233" s="7"/>
      <c r="O233" s="2" t="e">
        <f t="shared" si="21"/>
        <v>#VALUE!</v>
      </c>
      <c r="P233" s="6" t="e">
        <f t="shared" si="22"/>
        <v>#VALUE!</v>
      </c>
      <c r="Q233" s="6" t="e">
        <f t="shared" si="23"/>
        <v>#VALUE!</v>
      </c>
      <c r="R233" s="6" t="e">
        <f t="shared" si="24"/>
        <v>#VALUE!</v>
      </c>
      <c r="S233" s="6" t="e">
        <f t="shared" si="25"/>
        <v>#VALUE!</v>
      </c>
      <c r="T233" s="6" t="e">
        <f t="shared" si="26"/>
        <v>#VALUE!</v>
      </c>
      <c r="U233" s="2" t="e">
        <f t="shared" si="27"/>
        <v>#VALUE!</v>
      </c>
    </row>
    <row r="234" spans="11:21" x14ac:dyDescent="0.3">
      <c r="O234" s="2" t="e">
        <f t="shared" si="21"/>
        <v>#VALUE!</v>
      </c>
      <c r="P234" s="6" t="e">
        <f t="shared" si="22"/>
        <v>#VALUE!</v>
      </c>
      <c r="Q234" s="6" t="e">
        <f t="shared" si="23"/>
        <v>#VALUE!</v>
      </c>
      <c r="R234" s="6" t="e">
        <f t="shared" si="24"/>
        <v>#VALUE!</v>
      </c>
      <c r="S234" s="6" t="e">
        <f t="shared" si="25"/>
        <v>#VALUE!</v>
      </c>
      <c r="T234" s="6" t="e">
        <f t="shared" si="26"/>
        <v>#VALUE!</v>
      </c>
      <c r="U234" s="2" t="e">
        <f t="shared" si="27"/>
        <v>#VALUE!</v>
      </c>
    </row>
    <row r="235" spans="11:21" x14ac:dyDescent="0.3">
      <c r="K235" s="7"/>
      <c r="L235" s="7"/>
      <c r="M235" s="7"/>
      <c r="O235" s="2" t="e">
        <f t="shared" si="21"/>
        <v>#VALUE!</v>
      </c>
      <c r="P235" s="6" t="e">
        <f t="shared" si="22"/>
        <v>#VALUE!</v>
      </c>
      <c r="Q235" s="6" t="e">
        <f t="shared" si="23"/>
        <v>#VALUE!</v>
      </c>
      <c r="R235" s="6" t="e">
        <f t="shared" si="24"/>
        <v>#VALUE!</v>
      </c>
      <c r="S235" s="6" t="e">
        <f t="shared" si="25"/>
        <v>#VALUE!</v>
      </c>
      <c r="T235" s="6" t="e">
        <f t="shared" si="26"/>
        <v>#VALUE!</v>
      </c>
      <c r="U235" s="2" t="e">
        <f t="shared" si="27"/>
        <v>#VALUE!</v>
      </c>
    </row>
    <row r="236" spans="11:21" x14ac:dyDescent="0.3">
      <c r="K236" s="7"/>
      <c r="L236" s="7"/>
      <c r="M236" s="7"/>
      <c r="O236" s="2" t="e">
        <f t="shared" si="21"/>
        <v>#VALUE!</v>
      </c>
      <c r="P236" s="6" t="e">
        <f t="shared" si="22"/>
        <v>#VALUE!</v>
      </c>
      <c r="Q236" s="6" t="e">
        <f t="shared" si="23"/>
        <v>#VALUE!</v>
      </c>
      <c r="R236" s="6" t="e">
        <f t="shared" si="24"/>
        <v>#VALUE!</v>
      </c>
      <c r="S236" s="6" t="e">
        <f t="shared" si="25"/>
        <v>#VALUE!</v>
      </c>
      <c r="T236" s="6" t="e">
        <f t="shared" si="26"/>
        <v>#VALUE!</v>
      </c>
      <c r="U236" s="2" t="e">
        <f t="shared" si="27"/>
        <v>#VALUE!</v>
      </c>
    </row>
    <row r="237" spans="11:21" x14ac:dyDescent="0.3">
      <c r="O237" s="2" t="e">
        <f t="shared" si="21"/>
        <v>#VALUE!</v>
      </c>
      <c r="P237" s="6" t="e">
        <f t="shared" si="22"/>
        <v>#VALUE!</v>
      </c>
      <c r="Q237" s="6" t="e">
        <f t="shared" si="23"/>
        <v>#VALUE!</v>
      </c>
      <c r="R237" s="6" t="e">
        <f t="shared" si="24"/>
        <v>#VALUE!</v>
      </c>
      <c r="S237" s="6" t="e">
        <f t="shared" si="25"/>
        <v>#VALUE!</v>
      </c>
      <c r="T237" s="6" t="e">
        <f t="shared" si="26"/>
        <v>#VALUE!</v>
      </c>
      <c r="U237" s="2" t="e">
        <f t="shared" si="27"/>
        <v>#VALUE!</v>
      </c>
    </row>
    <row r="238" spans="11:21" x14ac:dyDescent="0.3">
      <c r="K238" s="7"/>
      <c r="L238" s="7"/>
      <c r="M238" s="7"/>
      <c r="O238" s="2" t="e">
        <f t="shared" si="21"/>
        <v>#VALUE!</v>
      </c>
      <c r="P238" s="6" t="e">
        <f t="shared" si="22"/>
        <v>#VALUE!</v>
      </c>
      <c r="Q238" s="6" t="e">
        <f t="shared" si="23"/>
        <v>#VALUE!</v>
      </c>
      <c r="R238" s="6" t="e">
        <f t="shared" si="24"/>
        <v>#VALUE!</v>
      </c>
      <c r="S238" s="6" t="e">
        <f t="shared" si="25"/>
        <v>#VALUE!</v>
      </c>
      <c r="T238" s="6" t="e">
        <f t="shared" si="26"/>
        <v>#VALUE!</v>
      </c>
      <c r="U238" s="2" t="e">
        <f t="shared" si="27"/>
        <v>#VALUE!</v>
      </c>
    </row>
    <row r="239" spans="11:21" x14ac:dyDescent="0.3">
      <c r="K239" s="7"/>
      <c r="L239" s="7"/>
      <c r="M239" s="7"/>
      <c r="O239" s="2" t="e">
        <f t="shared" si="21"/>
        <v>#VALUE!</v>
      </c>
      <c r="P239" s="6" t="e">
        <f t="shared" si="22"/>
        <v>#VALUE!</v>
      </c>
      <c r="Q239" s="6" t="e">
        <f t="shared" si="23"/>
        <v>#VALUE!</v>
      </c>
      <c r="R239" s="6" t="e">
        <f t="shared" si="24"/>
        <v>#VALUE!</v>
      </c>
      <c r="S239" s="6" t="e">
        <f t="shared" si="25"/>
        <v>#VALUE!</v>
      </c>
      <c r="T239" s="6" t="e">
        <f t="shared" si="26"/>
        <v>#VALUE!</v>
      </c>
      <c r="U239" s="2" t="e">
        <f t="shared" si="27"/>
        <v>#VALUE!</v>
      </c>
    </row>
    <row r="240" spans="11:21" x14ac:dyDescent="0.3">
      <c r="O240" s="2" t="e">
        <f t="shared" si="21"/>
        <v>#VALUE!</v>
      </c>
      <c r="P240" s="6" t="e">
        <f t="shared" si="22"/>
        <v>#VALUE!</v>
      </c>
      <c r="Q240" s="6" t="e">
        <f t="shared" si="23"/>
        <v>#VALUE!</v>
      </c>
      <c r="R240" s="6" t="e">
        <f t="shared" si="24"/>
        <v>#VALUE!</v>
      </c>
      <c r="S240" s="6" t="e">
        <f t="shared" si="25"/>
        <v>#VALUE!</v>
      </c>
      <c r="T240" s="6" t="e">
        <f t="shared" si="26"/>
        <v>#VALUE!</v>
      </c>
      <c r="U240" s="2" t="e">
        <f t="shared" si="27"/>
        <v>#VALUE!</v>
      </c>
    </row>
    <row r="241" spans="11:21" x14ac:dyDescent="0.3">
      <c r="K241" s="7"/>
      <c r="L241" s="7"/>
      <c r="M241" s="7"/>
      <c r="O241" s="2" t="e">
        <f t="shared" si="21"/>
        <v>#VALUE!</v>
      </c>
      <c r="P241" s="6" t="e">
        <f t="shared" si="22"/>
        <v>#VALUE!</v>
      </c>
      <c r="Q241" s="6" t="e">
        <f t="shared" si="23"/>
        <v>#VALUE!</v>
      </c>
      <c r="R241" s="6" t="e">
        <f t="shared" si="24"/>
        <v>#VALUE!</v>
      </c>
      <c r="S241" s="6" t="e">
        <f t="shared" si="25"/>
        <v>#VALUE!</v>
      </c>
      <c r="T241" s="6" t="e">
        <f t="shared" si="26"/>
        <v>#VALUE!</v>
      </c>
      <c r="U241" s="2" t="e">
        <f t="shared" si="27"/>
        <v>#VALUE!</v>
      </c>
    </row>
    <row r="242" spans="11:21" x14ac:dyDescent="0.3">
      <c r="O242" s="2" t="e">
        <f t="shared" si="21"/>
        <v>#VALUE!</v>
      </c>
      <c r="P242" s="6" t="e">
        <f t="shared" si="22"/>
        <v>#VALUE!</v>
      </c>
      <c r="Q242" s="6" t="e">
        <f t="shared" si="23"/>
        <v>#VALUE!</v>
      </c>
      <c r="R242" s="6" t="e">
        <f t="shared" si="24"/>
        <v>#VALUE!</v>
      </c>
      <c r="S242" s="6" t="e">
        <f t="shared" si="25"/>
        <v>#VALUE!</v>
      </c>
      <c r="T242" s="6" t="e">
        <f t="shared" si="26"/>
        <v>#VALUE!</v>
      </c>
      <c r="U242" s="2" t="e">
        <f t="shared" si="27"/>
        <v>#VALUE!</v>
      </c>
    </row>
    <row r="243" spans="11:21" x14ac:dyDescent="0.3">
      <c r="O243" s="2" t="e">
        <f t="shared" si="21"/>
        <v>#VALUE!</v>
      </c>
      <c r="P243" s="6" t="e">
        <f t="shared" si="22"/>
        <v>#VALUE!</v>
      </c>
      <c r="Q243" s="6" t="e">
        <f t="shared" si="23"/>
        <v>#VALUE!</v>
      </c>
      <c r="R243" s="6" t="e">
        <f t="shared" si="24"/>
        <v>#VALUE!</v>
      </c>
      <c r="S243" s="6" t="e">
        <f t="shared" si="25"/>
        <v>#VALUE!</v>
      </c>
      <c r="T243" s="6" t="e">
        <f t="shared" si="26"/>
        <v>#VALUE!</v>
      </c>
      <c r="U243" s="2" t="e">
        <f t="shared" si="27"/>
        <v>#VALUE!</v>
      </c>
    </row>
    <row r="244" spans="11:21" x14ac:dyDescent="0.3">
      <c r="K244" s="7"/>
      <c r="L244" s="7"/>
      <c r="M244" s="7"/>
      <c r="O244" s="2" t="e">
        <f t="shared" si="21"/>
        <v>#VALUE!</v>
      </c>
      <c r="P244" s="6" t="e">
        <f t="shared" si="22"/>
        <v>#VALUE!</v>
      </c>
      <c r="Q244" s="6" t="e">
        <f t="shared" si="23"/>
        <v>#VALUE!</v>
      </c>
      <c r="R244" s="6" t="e">
        <f t="shared" si="24"/>
        <v>#VALUE!</v>
      </c>
      <c r="S244" s="6" t="e">
        <f t="shared" si="25"/>
        <v>#VALUE!</v>
      </c>
      <c r="T244" s="6" t="e">
        <f t="shared" si="26"/>
        <v>#VALUE!</v>
      </c>
      <c r="U244" s="2" t="e">
        <f t="shared" si="27"/>
        <v>#VALUE!</v>
      </c>
    </row>
    <row r="245" spans="11:21" x14ac:dyDescent="0.3">
      <c r="K245" s="7"/>
      <c r="L245" s="7"/>
      <c r="M245" s="7"/>
      <c r="O245" s="2" t="e">
        <f t="shared" si="21"/>
        <v>#VALUE!</v>
      </c>
      <c r="P245" s="6" t="e">
        <f t="shared" si="22"/>
        <v>#VALUE!</v>
      </c>
      <c r="Q245" s="6" t="e">
        <f t="shared" si="23"/>
        <v>#VALUE!</v>
      </c>
      <c r="R245" s="6" t="e">
        <f t="shared" si="24"/>
        <v>#VALUE!</v>
      </c>
      <c r="S245" s="6" t="e">
        <f t="shared" si="25"/>
        <v>#VALUE!</v>
      </c>
      <c r="T245" s="6" t="e">
        <f t="shared" si="26"/>
        <v>#VALUE!</v>
      </c>
      <c r="U245" s="2" t="e">
        <f t="shared" si="27"/>
        <v>#VALUE!</v>
      </c>
    </row>
    <row r="246" spans="11:21" x14ac:dyDescent="0.3">
      <c r="O246" s="2" t="e">
        <f t="shared" si="21"/>
        <v>#VALUE!</v>
      </c>
      <c r="P246" s="6" t="e">
        <f t="shared" si="22"/>
        <v>#VALUE!</v>
      </c>
      <c r="Q246" s="6" t="e">
        <f t="shared" si="23"/>
        <v>#VALUE!</v>
      </c>
      <c r="R246" s="6" t="e">
        <f t="shared" si="24"/>
        <v>#VALUE!</v>
      </c>
      <c r="S246" s="6" t="e">
        <f t="shared" si="25"/>
        <v>#VALUE!</v>
      </c>
      <c r="T246" s="6" t="e">
        <f t="shared" si="26"/>
        <v>#VALUE!</v>
      </c>
      <c r="U246" s="2" t="e">
        <f t="shared" si="27"/>
        <v>#VALUE!</v>
      </c>
    </row>
    <row r="247" spans="11:21" x14ac:dyDescent="0.3">
      <c r="O247" s="2" t="e">
        <f t="shared" si="21"/>
        <v>#VALUE!</v>
      </c>
      <c r="P247" s="6" t="e">
        <f t="shared" si="22"/>
        <v>#VALUE!</v>
      </c>
      <c r="Q247" s="6" t="e">
        <f t="shared" si="23"/>
        <v>#VALUE!</v>
      </c>
      <c r="R247" s="6" t="e">
        <f t="shared" si="24"/>
        <v>#VALUE!</v>
      </c>
      <c r="S247" s="6" t="e">
        <f t="shared" si="25"/>
        <v>#VALUE!</v>
      </c>
      <c r="T247" s="6" t="e">
        <f t="shared" si="26"/>
        <v>#VALUE!</v>
      </c>
      <c r="U247" s="2" t="e">
        <f t="shared" si="27"/>
        <v>#VALUE!</v>
      </c>
    </row>
    <row r="248" spans="11:21" x14ac:dyDescent="0.3">
      <c r="O248" s="2" t="e">
        <f t="shared" si="21"/>
        <v>#VALUE!</v>
      </c>
      <c r="P248" s="6" t="e">
        <f t="shared" si="22"/>
        <v>#VALUE!</v>
      </c>
      <c r="Q248" s="6" t="e">
        <f t="shared" si="23"/>
        <v>#VALUE!</v>
      </c>
      <c r="R248" s="6" t="e">
        <f t="shared" si="24"/>
        <v>#VALUE!</v>
      </c>
      <c r="S248" s="6" t="e">
        <f t="shared" si="25"/>
        <v>#VALUE!</v>
      </c>
      <c r="T248" s="6" t="e">
        <f t="shared" si="26"/>
        <v>#VALUE!</v>
      </c>
      <c r="U248" s="2" t="e">
        <f t="shared" si="27"/>
        <v>#VALUE!</v>
      </c>
    </row>
    <row r="249" spans="11:21" x14ac:dyDescent="0.3">
      <c r="K249" s="7"/>
      <c r="L249" s="7"/>
      <c r="M249" s="7"/>
      <c r="O249" s="2" t="e">
        <f t="shared" si="21"/>
        <v>#VALUE!</v>
      </c>
      <c r="P249" s="6" t="e">
        <f t="shared" si="22"/>
        <v>#VALUE!</v>
      </c>
      <c r="Q249" s="6" t="e">
        <f t="shared" si="23"/>
        <v>#VALUE!</v>
      </c>
      <c r="R249" s="6" t="e">
        <f t="shared" si="24"/>
        <v>#VALUE!</v>
      </c>
      <c r="S249" s="6" t="e">
        <f t="shared" si="25"/>
        <v>#VALUE!</v>
      </c>
      <c r="T249" s="6" t="e">
        <f t="shared" si="26"/>
        <v>#VALUE!</v>
      </c>
      <c r="U249" s="2" t="e">
        <f t="shared" si="27"/>
        <v>#VALUE!</v>
      </c>
    </row>
    <row r="250" spans="11:21" x14ac:dyDescent="0.3">
      <c r="O250" s="2" t="e">
        <f t="shared" si="21"/>
        <v>#VALUE!</v>
      </c>
      <c r="P250" s="6" t="e">
        <f t="shared" si="22"/>
        <v>#VALUE!</v>
      </c>
      <c r="Q250" s="6" t="e">
        <f t="shared" si="23"/>
        <v>#VALUE!</v>
      </c>
      <c r="R250" s="6" t="e">
        <f t="shared" si="24"/>
        <v>#VALUE!</v>
      </c>
      <c r="S250" s="6" t="e">
        <f t="shared" si="25"/>
        <v>#VALUE!</v>
      </c>
      <c r="T250" s="6" t="e">
        <f t="shared" si="26"/>
        <v>#VALUE!</v>
      </c>
      <c r="U250" s="2" t="e">
        <f t="shared" si="27"/>
        <v>#VALUE!</v>
      </c>
    </row>
    <row r="251" spans="11:21" x14ac:dyDescent="0.3">
      <c r="O251" s="2" t="e">
        <f t="shared" si="21"/>
        <v>#VALUE!</v>
      </c>
      <c r="P251" s="6" t="e">
        <f t="shared" si="22"/>
        <v>#VALUE!</v>
      </c>
      <c r="Q251" s="6" t="e">
        <f t="shared" si="23"/>
        <v>#VALUE!</v>
      </c>
      <c r="R251" s="6" t="e">
        <f t="shared" si="24"/>
        <v>#VALUE!</v>
      </c>
      <c r="S251" s="6" t="e">
        <f t="shared" si="25"/>
        <v>#VALUE!</v>
      </c>
      <c r="T251" s="6" t="e">
        <f t="shared" si="26"/>
        <v>#VALUE!</v>
      </c>
      <c r="U251" s="2" t="e">
        <f t="shared" si="27"/>
        <v>#VALUE!</v>
      </c>
    </row>
    <row r="252" spans="11:21" x14ac:dyDescent="0.3">
      <c r="K252" s="7"/>
      <c r="L252" s="7"/>
      <c r="M252" s="7"/>
      <c r="O252" s="2" t="e">
        <f t="shared" si="21"/>
        <v>#VALUE!</v>
      </c>
      <c r="P252" s="6" t="e">
        <f t="shared" si="22"/>
        <v>#VALUE!</v>
      </c>
      <c r="Q252" s="6" t="e">
        <f t="shared" si="23"/>
        <v>#VALUE!</v>
      </c>
      <c r="R252" s="6" t="e">
        <f t="shared" si="24"/>
        <v>#VALUE!</v>
      </c>
      <c r="S252" s="6" t="e">
        <f t="shared" si="25"/>
        <v>#VALUE!</v>
      </c>
      <c r="T252" s="6" t="e">
        <f t="shared" si="26"/>
        <v>#VALUE!</v>
      </c>
      <c r="U252" s="2" t="e">
        <f t="shared" si="27"/>
        <v>#VALUE!</v>
      </c>
    </row>
    <row r="253" spans="11:21" x14ac:dyDescent="0.3">
      <c r="O253" s="2" t="e">
        <f t="shared" si="21"/>
        <v>#VALUE!</v>
      </c>
      <c r="P253" s="6" t="e">
        <f t="shared" si="22"/>
        <v>#VALUE!</v>
      </c>
      <c r="Q253" s="6" t="e">
        <f t="shared" si="23"/>
        <v>#VALUE!</v>
      </c>
      <c r="R253" s="6" t="e">
        <f t="shared" si="24"/>
        <v>#VALUE!</v>
      </c>
      <c r="S253" s="6" t="e">
        <f t="shared" si="25"/>
        <v>#VALUE!</v>
      </c>
      <c r="T253" s="6" t="e">
        <f t="shared" si="26"/>
        <v>#VALUE!</v>
      </c>
      <c r="U253" s="2" t="e">
        <f t="shared" si="27"/>
        <v>#VALUE!</v>
      </c>
    </row>
    <row r="254" spans="11:21" x14ac:dyDescent="0.3">
      <c r="K254" s="7"/>
      <c r="L254" s="7"/>
      <c r="M254" s="7"/>
      <c r="O254" s="2" t="e">
        <f t="shared" si="21"/>
        <v>#VALUE!</v>
      </c>
      <c r="P254" s="6" t="e">
        <f t="shared" si="22"/>
        <v>#VALUE!</v>
      </c>
      <c r="Q254" s="6" t="e">
        <f t="shared" si="23"/>
        <v>#VALUE!</v>
      </c>
      <c r="R254" s="6" t="e">
        <f t="shared" si="24"/>
        <v>#VALUE!</v>
      </c>
      <c r="S254" s="6" t="e">
        <f t="shared" si="25"/>
        <v>#VALUE!</v>
      </c>
      <c r="T254" s="6" t="e">
        <f t="shared" si="26"/>
        <v>#VALUE!</v>
      </c>
      <c r="U254" s="2" t="e">
        <f t="shared" si="27"/>
        <v>#VALUE!</v>
      </c>
    </row>
    <row r="255" spans="11:21" x14ac:dyDescent="0.3">
      <c r="K255" s="7"/>
      <c r="L255" s="7"/>
      <c r="M255" s="7"/>
      <c r="O255" s="2" t="e">
        <f t="shared" si="21"/>
        <v>#VALUE!</v>
      </c>
      <c r="P255" s="6" t="e">
        <f t="shared" si="22"/>
        <v>#VALUE!</v>
      </c>
      <c r="Q255" s="6" t="e">
        <f t="shared" si="23"/>
        <v>#VALUE!</v>
      </c>
      <c r="R255" s="6" t="e">
        <f t="shared" si="24"/>
        <v>#VALUE!</v>
      </c>
      <c r="S255" s="6" t="e">
        <f t="shared" si="25"/>
        <v>#VALUE!</v>
      </c>
      <c r="T255" s="6" t="e">
        <f t="shared" si="26"/>
        <v>#VALUE!</v>
      </c>
      <c r="U255" s="2" t="e">
        <f t="shared" si="27"/>
        <v>#VALUE!</v>
      </c>
    </row>
    <row r="256" spans="11:21" x14ac:dyDescent="0.3">
      <c r="K256" s="7"/>
      <c r="L256" s="7"/>
      <c r="M256" s="7"/>
      <c r="O256" s="2" t="e">
        <f t="shared" si="21"/>
        <v>#VALUE!</v>
      </c>
      <c r="P256" s="6" t="e">
        <f t="shared" si="22"/>
        <v>#VALUE!</v>
      </c>
      <c r="Q256" s="6" t="e">
        <f t="shared" si="23"/>
        <v>#VALUE!</v>
      </c>
      <c r="R256" s="6" t="e">
        <f t="shared" si="24"/>
        <v>#VALUE!</v>
      </c>
      <c r="S256" s="6" t="e">
        <f t="shared" si="25"/>
        <v>#VALUE!</v>
      </c>
      <c r="T256" s="6" t="e">
        <f t="shared" si="26"/>
        <v>#VALUE!</v>
      </c>
      <c r="U256" s="2" t="e">
        <f t="shared" si="27"/>
        <v>#VALUE!</v>
      </c>
    </row>
    <row r="257" spans="11:21" x14ac:dyDescent="0.3">
      <c r="O257" s="2" t="e">
        <f t="shared" si="21"/>
        <v>#VALUE!</v>
      </c>
      <c r="P257" s="6" t="e">
        <f t="shared" si="22"/>
        <v>#VALUE!</v>
      </c>
      <c r="Q257" s="6" t="e">
        <f t="shared" si="23"/>
        <v>#VALUE!</v>
      </c>
      <c r="R257" s="6" t="e">
        <f t="shared" si="24"/>
        <v>#VALUE!</v>
      </c>
      <c r="S257" s="6" t="e">
        <f t="shared" si="25"/>
        <v>#VALUE!</v>
      </c>
      <c r="T257" s="6" t="e">
        <f t="shared" si="26"/>
        <v>#VALUE!</v>
      </c>
      <c r="U257" s="2" t="e">
        <f t="shared" si="27"/>
        <v>#VALUE!</v>
      </c>
    </row>
    <row r="258" spans="11:21" x14ac:dyDescent="0.3">
      <c r="K258" s="7"/>
      <c r="L258" s="7"/>
      <c r="M258" s="7"/>
      <c r="O258" s="2" t="e">
        <f t="shared" si="21"/>
        <v>#VALUE!</v>
      </c>
      <c r="P258" s="6" t="e">
        <f t="shared" si="22"/>
        <v>#VALUE!</v>
      </c>
      <c r="Q258" s="6" t="e">
        <f t="shared" si="23"/>
        <v>#VALUE!</v>
      </c>
      <c r="R258" s="6" t="e">
        <f t="shared" si="24"/>
        <v>#VALUE!</v>
      </c>
      <c r="S258" s="6" t="e">
        <f t="shared" si="25"/>
        <v>#VALUE!</v>
      </c>
      <c r="T258" s="6" t="e">
        <f t="shared" si="26"/>
        <v>#VALUE!</v>
      </c>
      <c r="U258" s="2" t="e">
        <f t="shared" si="27"/>
        <v>#VALUE!</v>
      </c>
    </row>
    <row r="259" spans="11:21" x14ac:dyDescent="0.3">
      <c r="K259" s="7"/>
      <c r="L259" s="7"/>
      <c r="M259" s="7"/>
      <c r="O259" s="2" t="e">
        <f t="shared" ref="O259:O289" si="28">SUBSTITUTE(MID(A259,53,FIND("GBHS",A259)-54), ".", ",")</f>
        <v>#VALUE!</v>
      </c>
      <c r="P259" s="6" t="e">
        <f t="shared" ref="P259:P289" si="29">MID(O259,1,4)</f>
        <v>#VALUE!</v>
      </c>
      <c r="Q259" s="6" t="e">
        <f t="shared" ref="Q259:Q289" si="30">MID(O259,6,4)</f>
        <v>#VALUE!</v>
      </c>
      <c r="R259" s="6" t="e">
        <f t="shared" ref="R259:R289" si="31">MID(O259,11,4)</f>
        <v>#VALUE!</v>
      </c>
      <c r="S259" s="6" t="e">
        <f t="shared" ref="S259:S289" si="32">MID(O259,16,4)</f>
        <v>#VALUE!</v>
      </c>
      <c r="T259" s="6" t="e">
        <f t="shared" ref="T259:T289" si="33">MID(O259,21,4)</f>
        <v>#VALUE!</v>
      </c>
      <c r="U259" s="2" t="e">
        <f t="shared" ref="U259:U289" si="34">SUBSTITUTE(CONCATENATE("&lt;Parametros&gt;","&lt;Alfa&gt;",P259,"&lt;/Alfa&gt;","&lt;Beta&gt;",Q259,"&lt;/Beta&gt;","&lt;Gamma&gt;",R259,"&lt;/Gamma&gt;","&lt;Delta&gt;",S259,"&lt;/Delta&gt;","&lt;Ro&gt;",T259,"&lt;/Ro&gt;","&lt;/Parametros&gt;"),",",",")</f>
        <v>#VALUE!</v>
      </c>
    </row>
    <row r="260" spans="11:21" x14ac:dyDescent="0.3">
      <c r="O260" s="2" t="e">
        <f t="shared" si="28"/>
        <v>#VALUE!</v>
      </c>
      <c r="P260" s="6" t="e">
        <f t="shared" si="29"/>
        <v>#VALUE!</v>
      </c>
      <c r="Q260" s="6" t="e">
        <f t="shared" si="30"/>
        <v>#VALUE!</v>
      </c>
      <c r="R260" s="6" t="e">
        <f t="shared" si="31"/>
        <v>#VALUE!</v>
      </c>
      <c r="S260" s="6" t="e">
        <f t="shared" si="32"/>
        <v>#VALUE!</v>
      </c>
      <c r="T260" s="6" t="e">
        <f t="shared" si="33"/>
        <v>#VALUE!</v>
      </c>
      <c r="U260" s="2" t="e">
        <f t="shared" si="34"/>
        <v>#VALUE!</v>
      </c>
    </row>
    <row r="261" spans="11:21" x14ac:dyDescent="0.3">
      <c r="O261" s="2" t="e">
        <f t="shared" si="28"/>
        <v>#VALUE!</v>
      </c>
      <c r="P261" s="6" t="e">
        <f t="shared" si="29"/>
        <v>#VALUE!</v>
      </c>
      <c r="Q261" s="6" t="e">
        <f t="shared" si="30"/>
        <v>#VALUE!</v>
      </c>
      <c r="R261" s="6" t="e">
        <f t="shared" si="31"/>
        <v>#VALUE!</v>
      </c>
      <c r="S261" s="6" t="e">
        <f t="shared" si="32"/>
        <v>#VALUE!</v>
      </c>
      <c r="T261" s="6" t="e">
        <f t="shared" si="33"/>
        <v>#VALUE!</v>
      </c>
      <c r="U261" s="2" t="e">
        <f t="shared" si="34"/>
        <v>#VALUE!</v>
      </c>
    </row>
    <row r="262" spans="11:21" x14ac:dyDescent="0.3">
      <c r="O262" s="2" t="e">
        <f t="shared" si="28"/>
        <v>#VALUE!</v>
      </c>
      <c r="P262" s="6" t="e">
        <f t="shared" si="29"/>
        <v>#VALUE!</v>
      </c>
      <c r="Q262" s="6" t="e">
        <f t="shared" si="30"/>
        <v>#VALUE!</v>
      </c>
      <c r="R262" s="6" t="e">
        <f t="shared" si="31"/>
        <v>#VALUE!</v>
      </c>
      <c r="S262" s="6" t="e">
        <f t="shared" si="32"/>
        <v>#VALUE!</v>
      </c>
      <c r="T262" s="6" t="e">
        <f t="shared" si="33"/>
        <v>#VALUE!</v>
      </c>
      <c r="U262" s="2" t="e">
        <f t="shared" si="34"/>
        <v>#VALUE!</v>
      </c>
    </row>
    <row r="263" spans="11:21" x14ac:dyDescent="0.3">
      <c r="O263" s="2" t="e">
        <f t="shared" si="28"/>
        <v>#VALUE!</v>
      </c>
      <c r="P263" s="6" t="e">
        <f t="shared" si="29"/>
        <v>#VALUE!</v>
      </c>
      <c r="Q263" s="6" t="e">
        <f t="shared" si="30"/>
        <v>#VALUE!</v>
      </c>
      <c r="R263" s="6" t="e">
        <f t="shared" si="31"/>
        <v>#VALUE!</v>
      </c>
      <c r="S263" s="6" t="e">
        <f t="shared" si="32"/>
        <v>#VALUE!</v>
      </c>
      <c r="T263" s="6" t="e">
        <f t="shared" si="33"/>
        <v>#VALUE!</v>
      </c>
      <c r="U263" s="2" t="e">
        <f t="shared" si="34"/>
        <v>#VALUE!</v>
      </c>
    </row>
    <row r="264" spans="11:21" x14ac:dyDescent="0.3">
      <c r="O264" s="2" t="e">
        <f t="shared" si="28"/>
        <v>#VALUE!</v>
      </c>
      <c r="P264" s="6" t="e">
        <f t="shared" si="29"/>
        <v>#VALUE!</v>
      </c>
      <c r="Q264" s="6" t="e">
        <f t="shared" si="30"/>
        <v>#VALUE!</v>
      </c>
      <c r="R264" s="6" t="e">
        <f t="shared" si="31"/>
        <v>#VALUE!</v>
      </c>
      <c r="S264" s="6" t="e">
        <f t="shared" si="32"/>
        <v>#VALUE!</v>
      </c>
      <c r="T264" s="6" t="e">
        <f t="shared" si="33"/>
        <v>#VALUE!</v>
      </c>
      <c r="U264" s="2" t="e">
        <f t="shared" si="34"/>
        <v>#VALUE!</v>
      </c>
    </row>
    <row r="265" spans="11:21" x14ac:dyDescent="0.3">
      <c r="O265" s="2" t="e">
        <f t="shared" si="28"/>
        <v>#VALUE!</v>
      </c>
      <c r="P265" s="6" t="e">
        <f t="shared" si="29"/>
        <v>#VALUE!</v>
      </c>
      <c r="Q265" s="6" t="e">
        <f t="shared" si="30"/>
        <v>#VALUE!</v>
      </c>
      <c r="R265" s="6" t="e">
        <f t="shared" si="31"/>
        <v>#VALUE!</v>
      </c>
      <c r="S265" s="6" t="e">
        <f t="shared" si="32"/>
        <v>#VALUE!</v>
      </c>
      <c r="T265" s="6" t="e">
        <f t="shared" si="33"/>
        <v>#VALUE!</v>
      </c>
      <c r="U265" s="2" t="e">
        <f t="shared" si="34"/>
        <v>#VALUE!</v>
      </c>
    </row>
    <row r="266" spans="11:21" x14ac:dyDescent="0.3">
      <c r="K266" s="7"/>
      <c r="L266" s="7"/>
      <c r="M266" s="7"/>
      <c r="O266" s="2" t="e">
        <f t="shared" si="28"/>
        <v>#VALUE!</v>
      </c>
      <c r="P266" s="6" t="e">
        <f t="shared" si="29"/>
        <v>#VALUE!</v>
      </c>
      <c r="Q266" s="6" t="e">
        <f t="shared" si="30"/>
        <v>#VALUE!</v>
      </c>
      <c r="R266" s="6" t="e">
        <f t="shared" si="31"/>
        <v>#VALUE!</v>
      </c>
      <c r="S266" s="6" t="e">
        <f t="shared" si="32"/>
        <v>#VALUE!</v>
      </c>
      <c r="T266" s="6" t="e">
        <f t="shared" si="33"/>
        <v>#VALUE!</v>
      </c>
      <c r="U266" s="2" t="e">
        <f t="shared" si="34"/>
        <v>#VALUE!</v>
      </c>
    </row>
    <row r="267" spans="11:21" x14ac:dyDescent="0.3">
      <c r="K267" s="7"/>
      <c r="L267" s="7"/>
      <c r="M267" s="7"/>
      <c r="O267" s="2" t="e">
        <f t="shared" si="28"/>
        <v>#VALUE!</v>
      </c>
      <c r="P267" s="6" t="e">
        <f t="shared" si="29"/>
        <v>#VALUE!</v>
      </c>
      <c r="Q267" s="6" t="e">
        <f t="shared" si="30"/>
        <v>#VALUE!</v>
      </c>
      <c r="R267" s="6" t="e">
        <f t="shared" si="31"/>
        <v>#VALUE!</v>
      </c>
      <c r="S267" s="6" t="e">
        <f t="shared" si="32"/>
        <v>#VALUE!</v>
      </c>
      <c r="T267" s="6" t="e">
        <f t="shared" si="33"/>
        <v>#VALUE!</v>
      </c>
      <c r="U267" s="2" t="e">
        <f t="shared" si="34"/>
        <v>#VALUE!</v>
      </c>
    </row>
    <row r="268" spans="11:21" x14ac:dyDescent="0.3">
      <c r="O268" s="2" t="e">
        <f t="shared" si="28"/>
        <v>#VALUE!</v>
      </c>
      <c r="P268" s="6" t="e">
        <f t="shared" si="29"/>
        <v>#VALUE!</v>
      </c>
      <c r="Q268" s="6" t="e">
        <f t="shared" si="30"/>
        <v>#VALUE!</v>
      </c>
      <c r="R268" s="6" t="e">
        <f t="shared" si="31"/>
        <v>#VALUE!</v>
      </c>
      <c r="S268" s="6" t="e">
        <f t="shared" si="32"/>
        <v>#VALUE!</v>
      </c>
      <c r="T268" s="6" t="e">
        <f t="shared" si="33"/>
        <v>#VALUE!</v>
      </c>
      <c r="U268" s="2" t="e">
        <f t="shared" si="34"/>
        <v>#VALUE!</v>
      </c>
    </row>
    <row r="269" spans="11:21" x14ac:dyDescent="0.3">
      <c r="O269" s="2" t="e">
        <f t="shared" si="28"/>
        <v>#VALUE!</v>
      </c>
      <c r="P269" s="6" t="e">
        <f t="shared" si="29"/>
        <v>#VALUE!</v>
      </c>
      <c r="Q269" s="6" t="e">
        <f t="shared" si="30"/>
        <v>#VALUE!</v>
      </c>
      <c r="R269" s="6" t="e">
        <f t="shared" si="31"/>
        <v>#VALUE!</v>
      </c>
      <c r="S269" s="6" t="e">
        <f t="shared" si="32"/>
        <v>#VALUE!</v>
      </c>
      <c r="T269" s="6" t="e">
        <f t="shared" si="33"/>
        <v>#VALUE!</v>
      </c>
      <c r="U269" s="2" t="e">
        <f t="shared" si="34"/>
        <v>#VALUE!</v>
      </c>
    </row>
    <row r="270" spans="11:21" x14ac:dyDescent="0.3">
      <c r="O270" s="2" t="e">
        <f t="shared" si="28"/>
        <v>#VALUE!</v>
      </c>
      <c r="P270" s="6" t="e">
        <f t="shared" si="29"/>
        <v>#VALUE!</v>
      </c>
      <c r="Q270" s="6" t="e">
        <f t="shared" si="30"/>
        <v>#VALUE!</v>
      </c>
      <c r="R270" s="6" t="e">
        <f t="shared" si="31"/>
        <v>#VALUE!</v>
      </c>
      <c r="S270" s="6" t="e">
        <f t="shared" si="32"/>
        <v>#VALUE!</v>
      </c>
      <c r="T270" s="6" t="e">
        <f t="shared" si="33"/>
        <v>#VALUE!</v>
      </c>
      <c r="U270" s="2" t="e">
        <f t="shared" si="34"/>
        <v>#VALUE!</v>
      </c>
    </row>
    <row r="271" spans="11:21" x14ac:dyDescent="0.3">
      <c r="K271" s="7"/>
      <c r="L271" s="7"/>
      <c r="M271" s="7"/>
      <c r="O271" s="2" t="e">
        <f t="shared" si="28"/>
        <v>#VALUE!</v>
      </c>
      <c r="P271" s="6" t="e">
        <f t="shared" si="29"/>
        <v>#VALUE!</v>
      </c>
      <c r="Q271" s="6" t="e">
        <f t="shared" si="30"/>
        <v>#VALUE!</v>
      </c>
      <c r="R271" s="6" t="e">
        <f t="shared" si="31"/>
        <v>#VALUE!</v>
      </c>
      <c r="S271" s="6" t="e">
        <f t="shared" si="32"/>
        <v>#VALUE!</v>
      </c>
      <c r="T271" s="6" t="e">
        <f t="shared" si="33"/>
        <v>#VALUE!</v>
      </c>
      <c r="U271" s="2" t="e">
        <f t="shared" si="34"/>
        <v>#VALUE!</v>
      </c>
    </row>
    <row r="272" spans="11:21" x14ac:dyDescent="0.3">
      <c r="O272" s="2" t="e">
        <f t="shared" si="28"/>
        <v>#VALUE!</v>
      </c>
      <c r="P272" s="6" t="e">
        <f t="shared" si="29"/>
        <v>#VALUE!</v>
      </c>
      <c r="Q272" s="6" t="e">
        <f t="shared" si="30"/>
        <v>#VALUE!</v>
      </c>
      <c r="R272" s="6" t="e">
        <f t="shared" si="31"/>
        <v>#VALUE!</v>
      </c>
      <c r="S272" s="6" t="e">
        <f t="shared" si="32"/>
        <v>#VALUE!</v>
      </c>
      <c r="T272" s="6" t="e">
        <f t="shared" si="33"/>
        <v>#VALUE!</v>
      </c>
      <c r="U272" s="2" t="e">
        <f t="shared" si="34"/>
        <v>#VALUE!</v>
      </c>
    </row>
    <row r="273" spans="11:21" x14ac:dyDescent="0.3">
      <c r="O273" s="2" t="e">
        <f t="shared" si="28"/>
        <v>#VALUE!</v>
      </c>
      <c r="P273" s="6" t="e">
        <f t="shared" si="29"/>
        <v>#VALUE!</v>
      </c>
      <c r="Q273" s="6" t="e">
        <f t="shared" si="30"/>
        <v>#VALUE!</v>
      </c>
      <c r="R273" s="6" t="e">
        <f t="shared" si="31"/>
        <v>#VALUE!</v>
      </c>
      <c r="S273" s="6" t="e">
        <f t="shared" si="32"/>
        <v>#VALUE!</v>
      </c>
      <c r="T273" s="6" t="e">
        <f t="shared" si="33"/>
        <v>#VALUE!</v>
      </c>
      <c r="U273" s="2" t="e">
        <f t="shared" si="34"/>
        <v>#VALUE!</v>
      </c>
    </row>
    <row r="274" spans="11:21" x14ac:dyDescent="0.3">
      <c r="O274" s="2" t="e">
        <f t="shared" si="28"/>
        <v>#VALUE!</v>
      </c>
      <c r="P274" s="6" t="e">
        <f t="shared" si="29"/>
        <v>#VALUE!</v>
      </c>
      <c r="Q274" s="6" t="e">
        <f t="shared" si="30"/>
        <v>#VALUE!</v>
      </c>
      <c r="R274" s="6" t="e">
        <f t="shared" si="31"/>
        <v>#VALUE!</v>
      </c>
      <c r="S274" s="6" t="e">
        <f t="shared" si="32"/>
        <v>#VALUE!</v>
      </c>
      <c r="T274" s="6" t="e">
        <f t="shared" si="33"/>
        <v>#VALUE!</v>
      </c>
      <c r="U274" s="2" t="e">
        <f t="shared" si="34"/>
        <v>#VALUE!</v>
      </c>
    </row>
    <row r="275" spans="11:21" x14ac:dyDescent="0.3">
      <c r="O275" s="2" t="e">
        <f t="shared" si="28"/>
        <v>#VALUE!</v>
      </c>
      <c r="P275" s="6" t="e">
        <f t="shared" si="29"/>
        <v>#VALUE!</v>
      </c>
      <c r="Q275" s="6" t="e">
        <f t="shared" si="30"/>
        <v>#VALUE!</v>
      </c>
      <c r="R275" s="6" t="e">
        <f t="shared" si="31"/>
        <v>#VALUE!</v>
      </c>
      <c r="S275" s="6" t="e">
        <f t="shared" si="32"/>
        <v>#VALUE!</v>
      </c>
      <c r="T275" s="6" t="e">
        <f t="shared" si="33"/>
        <v>#VALUE!</v>
      </c>
      <c r="U275" s="2" t="e">
        <f t="shared" si="34"/>
        <v>#VALUE!</v>
      </c>
    </row>
    <row r="276" spans="11:21" x14ac:dyDescent="0.3">
      <c r="O276" s="2" t="e">
        <f t="shared" si="28"/>
        <v>#VALUE!</v>
      </c>
      <c r="P276" s="6" t="e">
        <f t="shared" si="29"/>
        <v>#VALUE!</v>
      </c>
      <c r="Q276" s="6" t="e">
        <f t="shared" si="30"/>
        <v>#VALUE!</v>
      </c>
      <c r="R276" s="6" t="e">
        <f t="shared" si="31"/>
        <v>#VALUE!</v>
      </c>
      <c r="S276" s="6" t="e">
        <f t="shared" si="32"/>
        <v>#VALUE!</v>
      </c>
      <c r="T276" s="6" t="e">
        <f t="shared" si="33"/>
        <v>#VALUE!</v>
      </c>
      <c r="U276" s="2" t="e">
        <f t="shared" si="34"/>
        <v>#VALUE!</v>
      </c>
    </row>
    <row r="277" spans="11:21" x14ac:dyDescent="0.3">
      <c r="O277" s="2" t="e">
        <f t="shared" si="28"/>
        <v>#VALUE!</v>
      </c>
      <c r="P277" s="6" t="e">
        <f t="shared" si="29"/>
        <v>#VALUE!</v>
      </c>
      <c r="Q277" s="6" t="e">
        <f t="shared" si="30"/>
        <v>#VALUE!</v>
      </c>
      <c r="R277" s="6" t="e">
        <f t="shared" si="31"/>
        <v>#VALUE!</v>
      </c>
      <c r="S277" s="6" t="e">
        <f t="shared" si="32"/>
        <v>#VALUE!</v>
      </c>
      <c r="T277" s="6" t="e">
        <f t="shared" si="33"/>
        <v>#VALUE!</v>
      </c>
      <c r="U277" s="2" t="e">
        <f t="shared" si="34"/>
        <v>#VALUE!</v>
      </c>
    </row>
    <row r="278" spans="11:21" x14ac:dyDescent="0.3">
      <c r="K278" s="7"/>
      <c r="L278" s="7"/>
      <c r="M278" s="7"/>
      <c r="O278" s="2" t="e">
        <f t="shared" si="28"/>
        <v>#VALUE!</v>
      </c>
      <c r="P278" s="6" t="e">
        <f t="shared" si="29"/>
        <v>#VALUE!</v>
      </c>
      <c r="Q278" s="6" t="e">
        <f t="shared" si="30"/>
        <v>#VALUE!</v>
      </c>
      <c r="R278" s="6" t="e">
        <f t="shared" si="31"/>
        <v>#VALUE!</v>
      </c>
      <c r="S278" s="6" t="e">
        <f t="shared" si="32"/>
        <v>#VALUE!</v>
      </c>
      <c r="T278" s="6" t="e">
        <f t="shared" si="33"/>
        <v>#VALUE!</v>
      </c>
      <c r="U278" s="2" t="e">
        <f t="shared" si="34"/>
        <v>#VALUE!</v>
      </c>
    </row>
    <row r="279" spans="11:21" x14ac:dyDescent="0.3">
      <c r="K279" s="7"/>
      <c r="L279" s="7"/>
      <c r="M279" s="7"/>
      <c r="O279" s="2" t="e">
        <f t="shared" si="28"/>
        <v>#VALUE!</v>
      </c>
      <c r="P279" s="6" t="e">
        <f t="shared" si="29"/>
        <v>#VALUE!</v>
      </c>
      <c r="Q279" s="6" t="e">
        <f t="shared" si="30"/>
        <v>#VALUE!</v>
      </c>
      <c r="R279" s="6" t="e">
        <f t="shared" si="31"/>
        <v>#VALUE!</v>
      </c>
      <c r="S279" s="6" t="e">
        <f t="shared" si="32"/>
        <v>#VALUE!</v>
      </c>
      <c r="T279" s="6" t="e">
        <f t="shared" si="33"/>
        <v>#VALUE!</v>
      </c>
      <c r="U279" s="2" t="e">
        <f t="shared" si="34"/>
        <v>#VALUE!</v>
      </c>
    </row>
    <row r="280" spans="11:21" x14ac:dyDescent="0.3">
      <c r="O280" s="2" t="e">
        <f t="shared" si="28"/>
        <v>#VALUE!</v>
      </c>
      <c r="P280" s="6" t="e">
        <f t="shared" si="29"/>
        <v>#VALUE!</v>
      </c>
      <c r="Q280" s="6" t="e">
        <f t="shared" si="30"/>
        <v>#VALUE!</v>
      </c>
      <c r="R280" s="6" t="e">
        <f t="shared" si="31"/>
        <v>#VALUE!</v>
      </c>
      <c r="S280" s="6" t="e">
        <f t="shared" si="32"/>
        <v>#VALUE!</v>
      </c>
      <c r="T280" s="6" t="e">
        <f t="shared" si="33"/>
        <v>#VALUE!</v>
      </c>
      <c r="U280" s="2" t="e">
        <f t="shared" si="34"/>
        <v>#VALUE!</v>
      </c>
    </row>
    <row r="281" spans="11:21" x14ac:dyDescent="0.3">
      <c r="O281" s="2" t="e">
        <f t="shared" si="28"/>
        <v>#VALUE!</v>
      </c>
      <c r="P281" s="6" t="e">
        <f t="shared" si="29"/>
        <v>#VALUE!</v>
      </c>
      <c r="Q281" s="6" t="e">
        <f t="shared" si="30"/>
        <v>#VALUE!</v>
      </c>
      <c r="R281" s="6" t="e">
        <f t="shared" si="31"/>
        <v>#VALUE!</v>
      </c>
      <c r="S281" s="6" t="e">
        <f t="shared" si="32"/>
        <v>#VALUE!</v>
      </c>
      <c r="T281" s="6" t="e">
        <f t="shared" si="33"/>
        <v>#VALUE!</v>
      </c>
      <c r="U281" s="2" t="e">
        <f t="shared" si="34"/>
        <v>#VALUE!</v>
      </c>
    </row>
    <row r="282" spans="11:21" x14ac:dyDescent="0.3">
      <c r="O282" s="2" t="e">
        <f t="shared" si="28"/>
        <v>#VALUE!</v>
      </c>
      <c r="P282" s="6" t="e">
        <f t="shared" si="29"/>
        <v>#VALUE!</v>
      </c>
      <c r="Q282" s="6" t="e">
        <f t="shared" si="30"/>
        <v>#VALUE!</v>
      </c>
      <c r="R282" s="6" t="e">
        <f t="shared" si="31"/>
        <v>#VALUE!</v>
      </c>
      <c r="S282" s="6" t="e">
        <f t="shared" si="32"/>
        <v>#VALUE!</v>
      </c>
      <c r="T282" s="6" t="e">
        <f t="shared" si="33"/>
        <v>#VALUE!</v>
      </c>
      <c r="U282" s="2" t="e">
        <f t="shared" si="34"/>
        <v>#VALUE!</v>
      </c>
    </row>
    <row r="283" spans="11:21" x14ac:dyDescent="0.3">
      <c r="O283" s="2" t="e">
        <f t="shared" si="28"/>
        <v>#VALUE!</v>
      </c>
      <c r="P283" s="6" t="e">
        <f t="shared" si="29"/>
        <v>#VALUE!</v>
      </c>
      <c r="Q283" s="6" t="e">
        <f t="shared" si="30"/>
        <v>#VALUE!</v>
      </c>
      <c r="R283" s="6" t="e">
        <f t="shared" si="31"/>
        <v>#VALUE!</v>
      </c>
      <c r="S283" s="6" t="e">
        <f t="shared" si="32"/>
        <v>#VALUE!</v>
      </c>
      <c r="T283" s="6" t="e">
        <f t="shared" si="33"/>
        <v>#VALUE!</v>
      </c>
      <c r="U283" s="2" t="e">
        <f t="shared" si="34"/>
        <v>#VALUE!</v>
      </c>
    </row>
    <row r="284" spans="11:21" x14ac:dyDescent="0.3">
      <c r="O284" s="2" t="e">
        <f t="shared" si="28"/>
        <v>#VALUE!</v>
      </c>
      <c r="P284" s="6" t="e">
        <f t="shared" si="29"/>
        <v>#VALUE!</v>
      </c>
      <c r="Q284" s="6" t="e">
        <f t="shared" si="30"/>
        <v>#VALUE!</v>
      </c>
      <c r="R284" s="6" t="e">
        <f t="shared" si="31"/>
        <v>#VALUE!</v>
      </c>
      <c r="S284" s="6" t="e">
        <f t="shared" si="32"/>
        <v>#VALUE!</v>
      </c>
      <c r="T284" s="6" t="e">
        <f t="shared" si="33"/>
        <v>#VALUE!</v>
      </c>
      <c r="U284" s="2" t="e">
        <f t="shared" si="34"/>
        <v>#VALUE!</v>
      </c>
    </row>
    <row r="285" spans="11:21" x14ac:dyDescent="0.3">
      <c r="O285" s="2" t="e">
        <f t="shared" si="28"/>
        <v>#VALUE!</v>
      </c>
      <c r="P285" s="6" t="e">
        <f t="shared" si="29"/>
        <v>#VALUE!</v>
      </c>
      <c r="Q285" s="6" t="e">
        <f t="shared" si="30"/>
        <v>#VALUE!</v>
      </c>
      <c r="R285" s="6" t="e">
        <f t="shared" si="31"/>
        <v>#VALUE!</v>
      </c>
      <c r="S285" s="6" t="e">
        <f t="shared" si="32"/>
        <v>#VALUE!</v>
      </c>
      <c r="T285" s="6" t="e">
        <f t="shared" si="33"/>
        <v>#VALUE!</v>
      </c>
      <c r="U285" s="2" t="e">
        <f t="shared" si="34"/>
        <v>#VALUE!</v>
      </c>
    </row>
    <row r="286" spans="11:21" x14ac:dyDescent="0.3">
      <c r="O286" s="2" t="e">
        <f t="shared" si="28"/>
        <v>#VALUE!</v>
      </c>
      <c r="P286" s="6" t="e">
        <f t="shared" si="29"/>
        <v>#VALUE!</v>
      </c>
      <c r="Q286" s="6" t="e">
        <f t="shared" si="30"/>
        <v>#VALUE!</v>
      </c>
      <c r="R286" s="6" t="e">
        <f t="shared" si="31"/>
        <v>#VALUE!</v>
      </c>
      <c r="S286" s="6" t="e">
        <f t="shared" si="32"/>
        <v>#VALUE!</v>
      </c>
      <c r="T286" s="6" t="e">
        <f t="shared" si="33"/>
        <v>#VALUE!</v>
      </c>
      <c r="U286" s="2" t="e">
        <f t="shared" si="34"/>
        <v>#VALUE!</v>
      </c>
    </row>
    <row r="287" spans="11:21" x14ac:dyDescent="0.3">
      <c r="K287" s="7"/>
      <c r="L287" s="7"/>
      <c r="M287" s="7"/>
      <c r="O287" s="2" t="e">
        <f t="shared" si="28"/>
        <v>#VALUE!</v>
      </c>
      <c r="P287" s="6" t="e">
        <f t="shared" si="29"/>
        <v>#VALUE!</v>
      </c>
      <c r="Q287" s="6" t="e">
        <f t="shared" si="30"/>
        <v>#VALUE!</v>
      </c>
      <c r="R287" s="6" t="e">
        <f t="shared" si="31"/>
        <v>#VALUE!</v>
      </c>
      <c r="S287" s="6" t="e">
        <f t="shared" si="32"/>
        <v>#VALUE!</v>
      </c>
      <c r="T287" s="6" t="e">
        <f t="shared" si="33"/>
        <v>#VALUE!</v>
      </c>
      <c r="U287" s="2" t="e">
        <f t="shared" si="34"/>
        <v>#VALUE!</v>
      </c>
    </row>
    <row r="288" spans="11:21" x14ac:dyDescent="0.3">
      <c r="K288" s="7"/>
      <c r="L288" s="7"/>
      <c r="M288" s="7"/>
      <c r="O288" s="2" t="e">
        <f t="shared" si="28"/>
        <v>#VALUE!</v>
      </c>
      <c r="P288" s="6" t="e">
        <f t="shared" si="29"/>
        <v>#VALUE!</v>
      </c>
      <c r="Q288" s="6" t="e">
        <f t="shared" si="30"/>
        <v>#VALUE!</v>
      </c>
      <c r="R288" s="6" t="e">
        <f t="shared" si="31"/>
        <v>#VALUE!</v>
      </c>
      <c r="S288" s="6" t="e">
        <f t="shared" si="32"/>
        <v>#VALUE!</v>
      </c>
      <c r="T288" s="6" t="e">
        <f t="shared" si="33"/>
        <v>#VALUE!</v>
      </c>
      <c r="U288" s="2" t="e">
        <f t="shared" si="34"/>
        <v>#VALUE!</v>
      </c>
    </row>
    <row r="289" spans="15:21" x14ac:dyDescent="0.3">
      <c r="O289" s="2" t="e">
        <f t="shared" si="28"/>
        <v>#VALUE!</v>
      </c>
      <c r="P289" s="6" t="e">
        <f t="shared" si="29"/>
        <v>#VALUE!</v>
      </c>
      <c r="Q289" s="6" t="e">
        <f t="shared" si="30"/>
        <v>#VALUE!</v>
      </c>
      <c r="R289" s="6" t="e">
        <f t="shared" si="31"/>
        <v>#VALUE!</v>
      </c>
      <c r="S289" s="6" t="e">
        <f t="shared" si="32"/>
        <v>#VALUE!</v>
      </c>
      <c r="T289" s="6" t="e">
        <f t="shared" si="33"/>
        <v>#VALUE!</v>
      </c>
      <c r="U289" s="2" t="e">
        <f t="shared" si="34"/>
        <v>#VALUE!</v>
      </c>
    </row>
    <row r="290" spans="15:21" x14ac:dyDescent="0.3">
      <c r="P290" s="6"/>
      <c r="Q290" s="6"/>
      <c r="R290" s="6"/>
      <c r="S290" s="6"/>
      <c r="T290" s="6"/>
    </row>
    <row r="291" spans="15:21" x14ac:dyDescent="0.3">
      <c r="P291" s="6"/>
      <c r="Q291" s="6"/>
      <c r="R291" s="6"/>
      <c r="S291" s="6"/>
      <c r="T291" s="6"/>
    </row>
    <row r="292" spans="15:21" x14ac:dyDescent="0.3">
      <c r="P292" s="6"/>
      <c r="Q292" s="6"/>
      <c r="R292" s="6"/>
      <c r="S292" s="6"/>
      <c r="T292" s="6"/>
    </row>
    <row r="293" spans="15:21" x14ac:dyDescent="0.3">
      <c r="P293" s="6"/>
      <c r="Q293" s="6"/>
      <c r="R293" s="6"/>
      <c r="S293" s="6"/>
      <c r="T293" s="6"/>
    </row>
    <row r="294" spans="15:21" x14ac:dyDescent="0.3">
      <c r="P294" s="6"/>
      <c r="Q294" s="6"/>
      <c r="R294" s="6"/>
      <c r="S294" s="6"/>
      <c r="T294" s="6"/>
    </row>
    <row r="295" spans="15:21" x14ac:dyDescent="0.3">
      <c r="P295" s="6"/>
      <c r="Q295" s="6"/>
      <c r="R295" s="6"/>
      <c r="S295" s="6"/>
      <c r="T295" s="6"/>
    </row>
    <row r="296" spans="15:21" x14ac:dyDescent="0.3">
      <c r="P296" s="6"/>
      <c r="Q296" s="6"/>
      <c r="R296" s="6"/>
      <c r="S296" s="6"/>
      <c r="T296" s="6"/>
    </row>
    <row r="297" spans="15:21" x14ac:dyDescent="0.3">
      <c r="P297" s="6"/>
      <c r="Q297" s="6"/>
      <c r="R297" s="6"/>
      <c r="S297" s="6"/>
      <c r="T297" s="6"/>
    </row>
    <row r="298" spans="15:21" x14ac:dyDescent="0.3">
      <c r="P298" s="6"/>
      <c r="Q298" s="6"/>
      <c r="R298" s="6"/>
      <c r="S298" s="6"/>
      <c r="T298" s="6"/>
    </row>
    <row r="299" spans="15:21" x14ac:dyDescent="0.3">
      <c r="P299" s="6"/>
      <c r="Q299" s="6"/>
      <c r="R299" s="6"/>
      <c r="S299" s="6"/>
      <c r="T299" s="6"/>
    </row>
    <row r="300" spans="15:21" x14ac:dyDescent="0.3">
      <c r="P300" s="6"/>
      <c r="Q300" s="6"/>
      <c r="R300" s="6"/>
      <c r="S300" s="6"/>
      <c r="T300" s="6"/>
    </row>
    <row r="301" spans="15:21" x14ac:dyDescent="0.3">
      <c r="P301" s="6"/>
      <c r="Q301" s="6"/>
      <c r="R301" s="6"/>
      <c r="S301" s="6"/>
      <c r="T301" s="6"/>
    </row>
    <row r="302" spans="15:21" x14ac:dyDescent="0.3">
      <c r="P302" s="6"/>
      <c r="Q302" s="6"/>
      <c r="R302" s="6"/>
      <c r="S302" s="6"/>
      <c r="T302" s="6"/>
    </row>
    <row r="303" spans="15:21" x14ac:dyDescent="0.3">
      <c r="P303" s="6"/>
      <c r="Q303" s="6"/>
      <c r="R303" s="6"/>
      <c r="S303" s="6"/>
      <c r="T303" s="6"/>
    </row>
    <row r="304" spans="15:21" x14ac:dyDescent="0.3">
      <c r="P304" s="6"/>
      <c r="Q304" s="6"/>
      <c r="R304" s="6"/>
      <c r="S304" s="6"/>
      <c r="T304" s="6"/>
    </row>
    <row r="305" spans="16:20" x14ac:dyDescent="0.3">
      <c r="P305" s="6"/>
      <c r="Q305" s="6"/>
      <c r="R305" s="6"/>
      <c r="S305" s="6"/>
      <c r="T305" s="6"/>
    </row>
    <row r="306" spans="16:20" x14ac:dyDescent="0.3">
      <c r="P306" s="6"/>
      <c r="Q306" s="6"/>
      <c r="R306" s="6"/>
      <c r="S306" s="6"/>
      <c r="T306" s="6"/>
    </row>
    <row r="307" spans="16:20" x14ac:dyDescent="0.3">
      <c r="P307" s="6"/>
      <c r="Q307" s="6"/>
      <c r="R307" s="6"/>
      <c r="S307" s="6"/>
      <c r="T307" s="6"/>
    </row>
    <row r="308" spans="16:20" x14ac:dyDescent="0.3">
      <c r="P308" s="6"/>
      <c r="Q308" s="6"/>
      <c r="R308" s="6"/>
      <c r="S308" s="6"/>
      <c r="T308" s="6"/>
    </row>
    <row r="309" spans="16:20" x14ac:dyDescent="0.3">
      <c r="P309" s="6"/>
      <c r="Q309" s="6"/>
      <c r="R309" s="6"/>
      <c r="S309" s="6"/>
      <c r="T309" s="6"/>
    </row>
    <row r="310" spans="16:20" x14ac:dyDescent="0.3">
      <c r="P310" s="6"/>
      <c r="Q310" s="6"/>
      <c r="R310" s="6"/>
      <c r="S310" s="6"/>
      <c r="T310" s="6"/>
    </row>
    <row r="311" spans="16:20" x14ac:dyDescent="0.3">
      <c r="P311" s="6"/>
      <c r="Q311" s="6"/>
      <c r="R311" s="6"/>
      <c r="S311" s="6"/>
      <c r="T311" s="6"/>
    </row>
    <row r="312" spans="16:20" x14ac:dyDescent="0.3">
      <c r="P312" s="6"/>
      <c r="Q312" s="6"/>
      <c r="R312" s="6"/>
      <c r="S312" s="6"/>
      <c r="T312" s="6"/>
    </row>
    <row r="313" spans="16:20" x14ac:dyDescent="0.3">
      <c r="P313" s="6"/>
      <c r="Q313" s="6"/>
      <c r="R313" s="6"/>
      <c r="S313" s="6"/>
      <c r="T313" s="6"/>
    </row>
    <row r="314" spans="16:20" x14ac:dyDescent="0.3">
      <c r="P314" s="6"/>
      <c r="Q314" s="6"/>
      <c r="R314" s="6"/>
      <c r="S314" s="6"/>
      <c r="T314" s="6"/>
    </row>
    <row r="315" spans="16:20" x14ac:dyDescent="0.3">
      <c r="P315" s="6"/>
      <c r="Q315" s="6"/>
      <c r="R315" s="6"/>
      <c r="S315" s="6"/>
      <c r="T315" s="6"/>
    </row>
    <row r="316" spans="16:20" x14ac:dyDescent="0.3">
      <c r="P316" s="6"/>
      <c r="Q316" s="6"/>
      <c r="R316" s="6"/>
      <c r="S316" s="6"/>
      <c r="T316" s="6"/>
    </row>
    <row r="317" spans="16:20" x14ac:dyDescent="0.3">
      <c r="P317" s="6"/>
      <c r="Q317" s="6"/>
      <c r="R317" s="6"/>
      <c r="S317" s="6"/>
      <c r="T317" s="6"/>
    </row>
    <row r="318" spans="16:20" x14ac:dyDescent="0.3">
      <c r="P318" s="6"/>
      <c r="Q318" s="6"/>
      <c r="R318" s="6"/>
      <c r="S318" s="6"/>
      <c r="T318" s="6"/>
    </row>
    <row r="319" spans="16:20" x14ac:dyDescent="0.3">
      <c r="P319" s="6"/>
      <c r="Q319" s="6"/>
      <c r="R319" s="6"/>
      <c r="S319" s="6"/>
      <c r="T319" s="6"/>
    </row>
    <row r="320" spans="16:20" x14ac:dyDescent="0.3">
      <c r="P320" s="6"/>
      <c r="Q320" s="6"/>
      <c r="R320" s="6"/>
      <c r="S320" s="6"/>
      <c r="T320" s="6"/>
    </row>
    <row r="321" spans="16:20" x14ac:dyDescent="0.3">
      <c r="P321" s="6"/>
      <c r="Q321" s="6"/>
      <c r="R321" s="6"/>
      <c r="S321" s="6"/>
      <c r="T321" s="6"/>
    </row>
    <row r="322" spans="16:20" x14ac:dyDescent="0.3">
      <c r="P322" s="6"/>
      <c r="Q322" s="6"/>
      <c r="R322" s="6"/>
      <c r="S322" s="6"/>
      <c r="T322" s="6"/>
    </row>
    <row r="323" spans="16:20" x14ac:dyDescent="0.3">
      <c r="P323" s="6"/>
      <c r="Q323" s="6"/>
      <c r="R323" s="6"/>
      <c r="S323" s="6"/>
      <c r="T323" s="6"/>
    </row>
    <row r="324" spans="16:20" x14ac:dyDescent="0.3">
      <c r="P324" s="6"/>
      <c r="Q324" s="6"/>
      <c r="R324" s="6"/>
      <c r="S324" s="6"/>
      <c r="T324" s="6"/>
    </row>
    <row r="325" spans="16:20" x14ac:dyDescent="0.3">
      <c r="P325" s="6"/>
      <c r="Q325" s="6"/>
      <c r="R325" s="6"/>
      <c r="S325" s="6"/>
      <c r="T325" s="6"/>
    </row>
    <row r="326" spans="16:20" x14ac:dyDescent="0.3">
      <c r="P326" s="6"/>
      <c r="Q326" s="6"/>
      <c r="R326" s="6"/>
      <c r="S326" s="6"/>
      <c r="T326" s="6"/>
    </row>
    <row r="327" spans="16:20" x14ac:dyDescent="0.3">
      <c r="P327" s="6"/>
      <c r="Q327" s="6"/>
      <c r="R327" s="6"/>
      <c r="S327" s="6"/>
      <c r="T327" s="6"/>
    </row>
    <row r="328" spans="16:20" x14ac:dyDescent="0.3">
      <c r="P328" s="6"/>
      <c r="Q328" s="6"/>
      <c r="R328" s="6"/>
      <c r="S328" s="6"/>
      <c r="T328" s="6"/>
    </row>
    <row r="329" spans="16:20" x14ac:dyDescent="0.3">
      <c r="P329" s="6"/>
      <c r="Q329" s="6"/>
      <c r="R329" s="6"/>
      <c r="S329" s="6"/>
      <c r="T329" s="6"/>
    </row>
    <row r="330" spans="16:20" x14ac:dyDescent="0.3">
      <c r="P330" s="6"/>
      <c r="Q330" s="6"/>
      <c r="R330" s="6"/>
      <c r="S330" s="6"/>
      <c r="T330" s="6"/>
    </row>
    <row r="331" spans="16:20" x14ac:dyDescent="0.3">
      <c r="P331" s="6"/>
      <c r="Q331" s="6"/>
      <c r="R331" s="6"/>
      <c r="S331" s="6"/>
      <c r="T331" s="6"/>
    </row>
    <row r="332" spans="16:20" x14ac:dyDescent="0.3">
      <c r="P332" s="6"/>
      <c r="Q332" s="6"/>
      <c r="R332" s="6"/>
      <c r="S332" s="6"/>
      <c r="T332" s="6"/>
    </row>
    <row r="333" spans="16:20" x14ac:dyDescent="0.3">
      <c r="P333" s="6"/>
      <c r="Q333" s="6"/>
      <c r="R333" s="6"/>
      <c r="S333" s="6"/>
      <c r="T333" s="6"/>
    </row>
    <row r="334" spans="16:20" x14ac:dyDescent="0.3">
      <c r="P334" s="6"/>
      <c r="Q334" s="6"/>
      <c r="R334" s="6"/>
      <c r="S334" s="6"/>
      <c r="T334" s="6"/>
    </row>
  </sheetData>
  <sortState ref="A2:M99">
    <sortCondition descending="1" ref="B2:B99"/>
  </sortState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macro">
                <anchor moveWithCells="1">
                  <from>
                    <xdr:col>0</xdr:col>
                    <xdr:colOff>5303520</xdr:colOff>
                    <xdr:row>0</xdr:row>
                    <xdr:rowOff>45720</xdr:rowOff>
                  </from>
                  <to>
                    <xdr:col>0</xdr:col>
                    <xdr:colOff>6195060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U742"/>
  <sheetViews>
    <sheetView showGridLines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93.5546875" style="2" customWidth="1"/>
    <col min="2" max="10" width="11.5546875" style="2"/>
    <col min="11" max="11" width="10.6640625" style="2" customWidth="1"/>
    <col min="12" max="12" width="9" style="2" customWidth="1"/>
    <col min="13" max="13" width="4.109375" style="2" customWidth="1"/>
    <col min="14" max="14" width="2.6640625" style="2" customWidth="1"/>
    <col min="15" max="15" width="24.21875" style="2" customWidth="1"/>
    <col min="16" max="20" width="8.77734375" style="5" customWidth="1"/>
    <col min="21" max="16384" width="11.5546875" style="2"/>
  </cols>
  <sheetData>
    <row r="1" spans="1:21" x14ac:dyDescent="0.3">
      <c r="A1" s="2" t="s">
        <v>16</v>
      </c>
      <c r="B1" s="50" t="s">
        <v>0</v>
      </c>
      <c r="C1" s="2" t="s">
        <v>4</v>
      </c>
      <c r="D1" s="2" t="s">
        <v>5</v>
      </c>
      <c r="E1" s="50" t="s">
        <v>1</v>
      </c>
      <c r="F1" s="2" t="s">
        <v>2</v>
      </c>
      <c r="G1" s="2" t="s">
        <v>3</v>
      </c>
      <c r="H1" s="2" t="s">
        <v>6</v>
      </c>
      <c r="I1" s="2" t="s">
        <v>7</v>
      </c>
      <c r="J1" s="2" t="s">
        <v>8</v>
      </c>
      <c r="K1" s="2" t="str">
        <f>"2015-04-"</f>
        <v>2015-04-</v>
      </c>
      <c r="L1" s="2" t="s">
        <v>9</v>
      </c>
      <c r="M1" s="2">
        <v>5</v>
      </c>
      <c r="P1" s="5" t="s">
        <v>12</v>
      </c>
      <c r="Q1" s="5" t="s">
        <v>11</v>
      </c>
      <c r="R1" s="5" t="s">
        <v>13</v>
      </c>
      <c r="S1" s="5" t="s">
        <v>14</v>
      </c>
      <c r="T1" s="5" t="s">
        <v>317</v>
      </c>
    </row>
    <row r="2" spans="1:21" x14ac:dyDescent="0.3">
      <c r="A2" s="51" t="s">
        <v>374</v>
      </c>
      <c r="B2" s="52">
        <v>0.47895900000000002</v>
      </c>
      <c r="C2" s="53">
        <v>0.48256500000000002</v>
      </c>
      <c r="D2" s="53">
        <v>0.480607333333333</v>
      </c>
      <c r="E2" s="51">
        <v>0.22138099999999999</v>
      </c>
      <c r="F2" s="53">
        <v>0.22276133333333301</v>
      </c>
      <c r="G2" s="53">
        <v>0.22199833333333299</v>
      </c>
      <c r="H2" s="53">
        <v>0.23962866666666699</v>
      </c>
      <c r="I2" s="53">
        <v>0.24127399999999999</v>
      </c>
      <c r="J2" s="53">
        <v>0.24037233333333299</v>
      </c>
      <c r="O2" s="2" t="str">
        <f t="shared" ref="O2" si="0">SUBSTITUTE(MID(A2,53,FIND("GBHS",A2)-54), ".", ",")</f>
        <v>-0,52-0,00-0,28-0,00-0,20</v>
      </c>
      <c r="P2" s="6" t="str">
        <f>MID(O2,1,4)</f>
        <v>-0,5</v>
      </c>
      <c r="Q2" s="6" t="str">
        <f>MID(O2,6,4)</f>
        <v>-0,0</v>
      </c>
      <c r="R2" s="6" t="str">
        <f>MID(O2,11,4)</f>
        <v>-0,2</v>
      </c>
      <c r="S2" s="6" t="str">
        <f>MID(O2,16,4)</f>
        <v>-0,0</v>
      </c>
      <c r="T2" s="6" t="str">
        <f>MID(O2,21,4)</f>
        <v>-0,2</v>
      </c>
      <c r="U2" s="2" t="str">
        <f>SUBSTITUTE(CONCATENATE("&lt;Parametros&gt;","&lt;Alfa&gt;",P2,"&lt;/Alfa&gt;","&lt;Beta&gt;",Q2,"&lt;/Beta&gt;","&lt;Gamma&gt;",R2,"&lt;/Gamma&gt;","&lt;Delta&gt;",S2,"&lt;/Delta&gt;","&lt;Ro&gt;",T2,"&lt;/Ro&gt;","&lt;/Parametros&gt;"),",",".")</f>
        <v>&lt;Parametros&gt;&lt;Alfa&gt;-0.5&lt;/Alfa&gt;&lt;Beta&gt;-0.0&lt;/Beta&gt;&lt;Gamma&gt;-0.2&lt;/Gamma&gt;&lt;Delta&gt;-0.0&lt;/Delta&gt;&lt;Ro&gt;-0.2&lt;/Ro&gt;&lt;/Parametros&gt;</v>
      </c>
    </row>
    <row r="3" spans="1:21" x14ac:dyDescent="0.3">
      <c r="A3" s="2" t="s">
        <v>388</v>
      </c>
      <c r="B3" s="3">
        <v>0.47886899999999999</v>
      </c>
      <c r="C3">
        <v>0.48234833333333299</v>
      </c>
      <c r="D3">
        <v>0.48045233333333298</v>
      </c>
      <c r="E3" s="4">
        <v>0.220913</v>
      </c>
      <c r="F3">
        <v>0.22225900000000001</v>
      </c>
      <c r="G3">
        <v>0.221514666666667</v>
      </c>
      <c r="H3">
        <v>0.23925866666666701</v>
      </c>
      <c r="I3">
        <v>0.240857666666667</v>
      </c>
      <c r="J3">
        <v>0.23997866666666701</v>
      </c>
      <c r="K3" s="7"/>
      <c r="L3" s="7"/>
      <c r="M3" s="7"/>
      <c r="O3" s="2" t="str">
        <f t="shared" ref="O3:O64" si="1">SUBSTITUTE(MID(A3,53,FIND("GBHS",A3)-54), ".", ",")</f>
        <v>-0,51-0,00-0,28-0,00-0,21</v>
      </c>
      <c r="P3" s="6" t="str">
        <f t="shared" ref="P3:P64" si="2">MID(O3,1,4)</f>
        <v>-0,5</v>
      </c>
      <c r="Q3" s="6" t="str">
        <f t="shared" ref="Q3:Q64" si="3">MID(O3,6,4)</f>
        <v>-0,0</v>
      </c>
      <c r="R3" s="6" t="str">
        <f t="shared" ref="R3:R64" si="4">MID(O3,11,4)</f>
        <v>-0,2</v>
      </c>
      <c r="S3" s="6" t="str">
        <f t="shared" ref="S3:S64" si="5">MID(O3,16,4)</f>
        <v>-0,0</v>
      </c>
      <c r="T3" s="6" t="str">
        <f t="shared" ref="T3:T64" si="6">MID(O3,21,4)</f>
        <v>-0,2</v>
      </c>
      <c r="U3" s="2" t="str">
        <f t="shared" ref="U3:U64" si="7">SUBSTITUTE(CONCATENATE("&lt;Parametros&gt;","&lt;Alfa&gt;",P3,"&lt;/Alfa&gt;","&lt;Beta&gt;",Q3,"&lt;/Beta&gt;","&lt;Gamma&gt;",R3,"&lt;/Gamma&gt;","&lt;Delta&gt;",S3,"&lt;/Delta&gt;","&lt;Ro&gt;",T3,"&lt;/Ro&gt;","&lt;/Parametros&gt;"),",",".")</f>
        <v>&lt;Parametros&gt;&lt;Alfa&gt;-0.5&lt;/Alfa&gt;&lt;Beta&gt;-0.0&lt;/Beta&gt;&lt;Gamma&gt;-0.2&lt;/Gamma&gt;&lt;Delta&gt;-0.0&lt;/Delta&gt;&lt;Ro&gt;-0.2&lt;/Ro&gt;&lt;/Parametros&gt;</v>
      </c>
    </row>
    <row r="4" spans="1:21" x14ac:dyDescent="0.3">
      <c r="A4" s="2" t="s">
        <v>392</v>
      </c>
      <c r="B4" s="3">
        <v>0.47884100000000002</v>
      </c>
      <c r="C4">
        <v>0.482399666666667</v>
      </c>
      <c r="D4">
        <v>0.480464</v>
      </c>
      <c r="E4" s="4">
        <v>0.22140333333333301</v>
      </c>
      <c r="F4">
        <v>0.22277533333333299</v>
      </c>
      <c r="G4">
        <v>0.222018666666667</v>
      </c>
      <c r="H4">
        <v>0.239642666666667</v>
      </c>
      <c r="I4">
        <v>0.241275666666667</v>
      </c>
      <c r="J4">
        <v>0.24037900000000001</v>
      </c>
      <c r="O4" s="2" t="str">
        <f t="shared" si="1"/>
        <v>-0,52-0,00-0,28-0,00-0,20</v>
      </c>
      <c r="P4" s="6" t="str">
        <f t="shared" si="2"/>
        <v>-0,5</v>
      </c>
      <c r="Q4" s="6" t="str">
        <f t="shared" si="3"/>
        <v>-0,0</v>
      </c>
      <c r="R4" s="6" t="str">
        <f t="shared" si="4"/>
        <v>-0,2</v>
      </c>
      <c r="S4" s="6" t="str">
        <f t="shared" si="5"/>
        <v>-0,0</v>
      </c>
      <c r="T4" s="6" t="str">
        <f t="shared" si="6"/>
        <v>-0,2</v>
      </c>
      <c r="U4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5" spans="1:21" x14ac:dyDescent="0.3">
      <c r="A5" s="2" t="s">
        <v>449</v>
      </c>
      <c r="B5" s="1">
        <v>0.47867399999999999</v>
      </c>
      <c r="C5" s="1">
        <v>0.48231133333333298</v>
      </c>
      <c r="D5" s="1">
        <v>0.48033700000000001</v>
      </c>
      <c r="E5" s="1">
        <v>0.221450333333333</v>
      </c>
      <c r="F5" s="1">
        <v>0.22285366666666701</v>
      </c>
      <c r="G5" s="1">
        <v>0.22207866666666701</v>
      </c>
      <c r="H5" s="1">
        <v>0.23966533333333301</v>
      </c>
      <c r="I5" s="1">
        <v>0.24132999999999999</v>
      </c>
      <c r="J5" s="1">
        <v>0.24041733333333301</v>
      </c>
      <c r="O5" s="2" t="str">
        <f t="shared" si="1"/>
        <v>-0,52-0,00-0,28-0,00-0,20</v>
      </c>
      <c r="P5" s="6" t="str">
        <f t="shared" si="2"/>
        <v>-0,5</v>
      </c>
      <c r="Q5" s="6" t="str">
        <f t="shared" si="3"/>
        <v>-0,0</v>
      </c>
      <c r="R5" s="6" t="str">
        <f t="shared" si="4"/>
        <v>-0,2</v>
      </c>
      <c r="S5" s="6" t="str">
        <f t="shared" si="5"/>
        <v>-0,0</v>
      </c>
      <c r="T5" s="6" t="str">
        <f t="shared" si="6"/>
        <v>-0,2</v>
      </c>
      <c r="U5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6" spans="1:21" x14ac:dyDescent="0.3">
      <c r="A6" s="2" t="s">
        <v>383</v>
      </c>
      <c r="B6">
        <v>0.47866133333333299</v>
      </c>
      <c r="C6">
        <v>0.482022333333333</v>
      </c>
      <c r="D6">
        <v>0.480188</v>
      </c>
      <c r="E6" s="4">
        <v>0.22011466666666701</v>
      </c>
      <c r="F6">
        <v>0.221389</v>
      </c>
      <c r="G6">
        <v>0.22067999999999999</v>
      </c>
      <c r="H6">
        <v>0.23852499999999999</v>
      </c>
      <c r="I6">
        <v>0.24005633333333301</v>
      </c>
      <c r="J6">
        <v>0.23921166666666699</v>
      </c>
      <c r="O6" s="2" t="str">
        <f t="shared" si="1"/>
        <v>-0,50-0,00-0,28-0,00-0,22</v>
      </c>
      <c r="P6" s="6" t="str">
        <f t="shared" si="2"/>
        <v>-0,5</v>
      </c>
      <c r="Q6" s="6" t="str">
        <f t="shared" si="3"/>
        <v>-0,0</v>
      </c>
      <c r="R6" s="6" t="str">
        <f t="shared" si="4"/>
        <v>-0,2</v>
      </c>
      <c r="S6" s="6" t="str">
        <f t="shared" si="5"/>
        <v>-0,0</v>
      </c>
      <c r="T6" s="6" t="str">
        <f t="shared" si="6"/>
        <v>-0,2</v>
      </c>
      <c r="U6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7" spans="1:21" x14ac:dyDescent="0.3">
      <c r="A7" s="2" t="s">
        <v>462</v>
      </c>
      <c r="B7">
        <v>0.47863</v>
      </c>
      <c r="C7">
        <v>0.48212566666666701</v>
      </c>
      <c r="D7">
        <v>0.48022366666666699</v>
      </c>
      <c r="E7">
        <v>0.220947333333333</v>
      </c>
      <c r="F7">
        <v>0.222283333333333</v>
      </c>
      <c r="G7">
        <v>0.22154433333333301</v>
      </c>
      <c r="H7">
        <v>0.23920033333333299</v>
      </c>
      <c r="I7">
        <v>0.24078733333333299</v>
      </c>
      <c r="J7">
        <v>0.23991499999999999</v>
      </c>
      <c r="O7" s="2" t="str">
        <f t="shared" si="1"/>
        <v>-0,52-0,00-0,28-0,00-0,20</v>
      </c>
      <c r="P7" s="6" t="str">
        <f t="shared" si="2"/>
        <v>-0,5</v>
      </c>
      <c r="Q7" s="6" t="str">
        <f t="shared" si="3"/>
        <v>-0,0</v>
      </c>
      <c r="R7" s="6" t="str">
        <f t="shared" si="4"/>
        <v>-0,2</v>
      </c>
      <c r="S7" s="6" t="str">
        <f t="shared" si="5"/>
        <v>-0,0</v>
      </c>
      <c r="T7" s="6" t="str">
        <f t="shared" si="6"/>
        <v>-0,2</v>
      </c>
      <c r="U7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8" spans="1:21" x14ac:dyDescent="0.3">
      <c r="A8" s="2" t="s">
        <v>371</v>
      </c>
      <c r="B8">
        <v>0.47859133333333298</v>
      </c>
      <c r="C8">
        <v>0.48206700000000002</v>
      </c>
      <c r="D8">
        <v>0.480171666666667</v>
      </c>
      <c r="E8">
        <v>0.220369333333333</v>
      </c>
      <c r="F8">
        <v>0.22169666666666701</v>
      </c>
      <c r="G8">
        <v>0.22095999999999999</v>
      </c>
      <c r="H8">
        <v>0.23872966666666701</v>
      </c>
      <c r="I8">
        <v>0.240317</v>
      </c>
      <c r="J8">
        <v>0.23944233333333301</v>
      </c>
      <c r="K8" s="1"/>
      <c r="L8" s="1"/>
      <c r="M8" s="1"/>
      <c r="O8" s="2" t="str">
        <f t="shared" si="1"/>
        <v>-0,48-0,00-0,30-0,00-0,22</v>
      </c>
      <c r="P8" s="6" t="str">
        <f t="shared" si="2"/>
        <v>-0,4</v>
      </c>
      <c r="Q8" s="6" t="str">
        <f t="shared" si="3"/>
        <v>-0,0</v>
      </c>
      <c r="R8" s="6" t="str">
        <f t="shared" si="4"/>
        <v>-0,3</v>
      </c>
      <c r="S8" s="6" t="str">
        <f t="shared" si="5"/>
        <v>-0,0</v>
      </c>
      <c r="T8" s="6" t="str">
        <f t="shared" si="6"/>
        <v>-0,2</v>
      </c>
      <c r="U8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9" spans="1:21" x14ac:dyDescent="0.3">
      <c r="A9" s="2" t="s">
        <v>389</v>
      </c>
      <c r="B9">
        <v>0.478584333333333</v>
      </c>
      <c r="C9">
        <v>0.48218800000000001</v>
      </c>
      <c r="D9">
        <v>0.48023066666666703</v>
      </c>
      <c r="E9" s="4">
        <v>0.22148399999999999</v>
      </c>
      <c r="F9">
        <v>0.22288033333333299</v>
      </c>
      <c r="G9">
        <v>0.22211</v>
      </c>
      <c r="H9">
        <v>0.23954166666666701</v>
      </c>
      <c r="I9">
        <v>0.241190666666667</v>
      </c>
      <c r="J9">
        <v>0.24028633333333299</v>
      </c>
      <c r="O9" s="2" t="str">
        <f t="shared" si="1"/>
        <v>-0,51-0,00-0,29-0,00-0,20</v>
      </c>
      <c r="P9" s="6" t="str">
        <f t="shared" si="2"/>
        <v>-0,5</v>
      </c>
      <c r="Q9" s="6" t="str">
        <f t="shared" si="3"/>
        <v>-0,0</v>
      </c>
      <c r="R9" s="6" t="str">
        <f t="shared" si="4"/>
        <v>-0,2</v>
      </c>
      <c r="S9" s="6" t="str">
        <f t="shared" si="5"/>
        <v>-0,0</v>
      </c>
      <c r="T9" s="6" t="str">
        <f t="shared" si="6"/>
        <v>-0,2</v>
      </c>
      <c r="U9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0" spans="1:21" x14ac:dyDescent="0.3">
      <c r="A10" s="2" t="s">
        <v>464</v>
      </c>
      <c r="B10">
        <v>0.47857233333333299</v>
      </c>
      <c r="C10">
        <v>0.482150666666667</v>
      </c>
      <c r="D10">
        <v>0.48020566666666697</v>
      </c>
      <c r="E10">
        <v>0.221111</v>
      </c>
      <c r="F10">
        <v>0.22248633333333301</v>
      </c>
      <c r="G10">
        <v>0.22172600000000001</v>
      </c>
      <c r="H10">
        <v>0.23933233333333301</v>
      </c>
      <c r="I10">
        <v>0.24096733333333301</v>
      </c>
      <c r="J10">
        <v>0.240069333333333</v>
      </c>
      <c r="O10" s="2" t="str">
        <f t="shared" si="1"/>
        <v>-0,52-0,00-0,28-0,00-0,20</v>
      </c>
      <c r="P10" s="6" t="str">
        <f t="shared" si="2"/>
        <v>-0,5</v>
      </c>
      <c r="Q10" s="6" t="str">
        <f t="shared" si="3"/>
        <v>-0,0</v>
      </c>
      <c r="R10" s="6" t="str">
        <f t="shared" si="4"/>
        <v>-0,2</v>
      </c>
      <c r="S10" s="6" t="str">
        <f t="shared" si="5"/>
        <v>-0,0</v>
      </c>
      <c r="T10" s="6" t="str">
        <f t="shared" si="6"/>
        <v>-0,2</v>
      </c>
      <c r="U10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1" spans="1:21" x14ac:dyDescent="0.3">
      <c r="A11" s="2" t="s">
        <v>453</v>
      </c>
      <c r="B11">
        <v>0.478522</v>
      </c>
      <c r="C11">
        <v>0.48213166666666701</v>
      </c>
      <c r="D11">
        <v>0.480171666666667</v>
      </c>
      <c r="E11">
        <v>0.221129666666667</v>
      </c>
      <c r="F11">
        <v>0.22251699999999999</v>
      </c>
      <c r="G11">
        <v>0.221751333333333</v>
      </c>
      <c r="H11">
        <v>0.23924300000000001</v>
      </c>
      <c r="I11">
        <v>0.240887666666667</v>
      </c>
      <c r="J11">
        <v>0.239986</v>
      </c>
      <c r="O11" s="2" t="str">
        <f t="shared" si="1"/>
        <v>-0,52-0,00-0,28-0,00-0,20</v>
      </c>
      <c r="P11" s="6" t="str">
        <f t="shared" si="2"/>
        <v>-0,5</v>
      </c>
      <c r="Q11" s="6" t="str">
        <f t="shared" si="3"/>
        <v>-0,0</v>
      </c>
      <c r="R11" s="6" t="str">
        <f t="shared" si="4"/>
        <v>-0,2</v>
      </c>
      <c r="S11" s="6" t="str">
        <f t="shared" si="5"/>
        <v>-0,0</v>
      </c>
      <c r="T11" s="6" t="str">
        <f t="shared" si="6"/>
        <v>-0,2</v>
      </c>
      <c r="U11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2" spans="1:21" x14ac:dyDescent="0.3">
      <c r="A12" s="2" t="s">
        <v>458</v>
      </c>
      <c r="B12">
        <v>0.47850199999999998</v>
      </c>
      <c r="C12">
        <v>0.48218666666666699</v>
      </c>
      <c r="D12">
        <v>0.48018733333333302</v>
      </c>
      <c r="E12">
        <v>0.221202333333333</v>
      </c>
      <c r="F12">
        <v>0.22262599999999999</v>
      </c>
      <c r="G12">
        <v>0.22184300000000001</v>
      </c>
      <c r="H12">
        <v>0.239438333333333</v>
      </c>
      <c r="I12">
        <v>0.24113000000000001</v>
      </c>
      <c r="J12">
        <v>0.240204</v>
      </c>
      <c r="O12" s="2" t="str">
        <f t="shared" si="1"/>
        <v>-0,52-0,00-0,28-0,00-0,20</v>
      </c>
      <c r="P12" s="6" t="str">
        <f t="shared" si="2"/>
        <v>-0,5</v>
      </c>
      <c r="Q12" s="6" t="str">
        <f t="shared" si="3"/>
        <v>-0,0</v>
      </c>
      <c r="R12" s="6" t="str">
        <f t="shared" si="4"/>
        <v>-0,2</v>
      </c>
      <c r="S12" s="6" t="str">
        <f t="shared" si="5"/>
        <v>-0,0</v>
      </c>
      <c r="T12" s="6" t="str">
        <f t="shared" si="6"/>
        <v>-0,2</v>
      </c>
      <c r="U12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3" spans="1:21" x14ac:dyDescent="0.3">
      <c r="A13" s="2" t="s">
        <v>465</v>
      </c>
      <c r="B13">
        <v>0.47849366666666698</v>
      </c>
      <c r="C13">
        <v>0.48201366666666701</v>
      </c>
      <c r="D13">
        <v>0.480099</v>
      </c>
      <c r="E13">
        <v>0.220654666666667</v>
      </c>
      <c r="F13">
        <v>0.22199933333333299</v>
      </c>
      <c r="G13">
        <v>0.22125566666666699</v>
      </c>
      <c r="H13">
        <v>0.23890466666666699</v>
      </c>
      <c r="I13">
        <v>0.240503666666667</v>
      </c>
      <c r="J13">
        <v>0.23962466666666701</v>
      </c>
      <c r="O13" s="2" t="str">
        <f t="shared" si="1"/>
        <v>-0,52-0,00-0,28-0,00-0,20</v>
      </c>
      <c r="P13" s="6" t="str">
        <f t="shared" si="2"/>
        <v>-0,5</v>
      </c>
      <c r="Q13" s="6" t="str">
        <f t="shared" si="3"/>
        <v>-0,0</v>
      </c>
      <c r="R13" s="6" t="str">
        <f t="shared" si="4"/>
        <v>-0,2</v>
      </c>
      <c r="S13" s="6" t="str">
        <f t="shared" si="5"/>
        <v>-0,0</v>
      </c>
      <c r="T13" s="6" t="str">
        <f t="shared" si="6"/>
        <v>-0,2</v>
      </c>
      <c r="U13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4" spans="1:21" x14ac:dyDescent="0.3">
      <c r="A14" s="2" t="s">
        <v>385</v>
      </c>
      <c r="B14">
        <v>0.47848366666666697</v>
      </c>
      <c r="C14">
        <v>0.482159333333333</v>
      </c>
      <c r="D14">
        <v>0.48016466666666702</v>
      </c>
      <c r="E14" s="4">
        <v>0.221416</v>
      </c>
      <c r="F14">
        <v>0.22283900000000001</v>
      </c>
      <c r="G14">
        <v>0.22205433333333299</v>
      </c>
      <c r="H14">
        <v>0.23935100000000001</v>
      </c>
      <c r="I14">
        <v>0.24103633333333299</v>
      </c>
      <c r="J14">
        <v>0.24011133333333301</v>
      </c>
      <c r="K14" s="7"/>
      <c r="L14" s="7"/>
      <c r="M14" s="7"/>
      <c r="O14" s="2" t="str">
        <f t="shared" si="1"/>
        <v>-0,50-0,00-0,30-0,00-0,20</v>
      </c>
      <c r="P14" s="6" t="str">
        <f t="shared" si="2"/>
        <v>-0,5</v>
      </c>
      <c r="Q14" s="6" t="str">
        <f t="shared" si="3"/>
        <v>-0,0</v>
      </c>
      <c r="R14" s="6" t="str">
        <f t="shared" si="4"/>
        <v>-0,3</v>
      </c>
      <c r="S14" s="6" t="str">
        <f t="shared" si="5"/>
        <v>-0,0</v>
      </c>
      <c r="T14" s="6" t="str">
        <f t="shared" si="6"/>
        <v>-0,2</v>
      </c>
      <c r="U14" s="2" t="str">
        <f t="shared" si="7"/>
        <v>&lt;Parametros&gt;&lt;Alfa&gt;-0.5&lt;/Alfa&gt;&lt;Beta&gt;-0.0&lt;/Beta&gt;&lt;Gamma&gt;-0.3&lt;/Gamma&gt;&lt;Delta&gt;-0.0&lt;/Delta&gt;&lt;Ro&gt;-0.2&lt;/Ro&gt;&lt;/Parametros&gt;</v>
      </c>
    </row>
    <row r="15" spans="1:21" x14ac:dyDescent="0.3">
      <c r="A15" s="2" t="s">
        <v>384</v>
      </c>
      <c r="B15">
        <v>0.47846166666666701</v>
      </c>
      <c r="C15">
        <v>0.48201866666666698</v>
      </c>
      <c r="D15">
        <v>0.48008333333333297</v>
      </c>
      <c r="E15" s="4">
        <v>0.220820666666667</v>
      </c>
      <c r="F15">
        <v>0.22219066666666701</v>
      </c>
      <c r="G15">
        <v>0.22143433333333301</v>
      </c>
      <c r="H15">
        <v>0.23903199999999999</v>
      </c>
      <c r="I15">
        <v>0.24066299999999999</v>
      </c>
      <c r="J15">
        <v>0.23976600000000001</v>
      </c>
      <c r="O15" s="2" t="str">
        <f t="shared" si="1"/>
        <v>-0,50-0,00-0,29-0,00-0,21</v>
      </c>
      <c r="P15" s="6" t="str">
        <f t="shared" si="2"/>
        <v>-0,5</v>
      </c>
      <c r="Q15" s="6" t="str">
        <f t="shared" si="3"/>
        <v>-0,0</v>
      </c>
      <c r="R15" s="6" t="str">
        <f t="shared" si="4"/>
        <v>-0,2</v>
      </c>
      <c r="S15" s="6" t="str">
        <f t="shared" si="5"/>
        <v>-0,0</v>
      </c>
      <c r="T15" s="6" t="str">
        <f t="shared" si="6"/>
        <v>-0,2</v>
      </c>
      <c r="U15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6" spans="1:21" x14ac:dyDescent="0.3">
      <c r="A16" s="2" t="s">
        <v>386</v>
      </c>
      <c r="B16" s="1">
        <v>0.47845233333333298</v>
      </c>
      <c r="C16" s="1">
        <v>0.48226400000000003</v>
      </c>
      <c r="D16" s="1">
        <v>0.48020200000000002</v>
      </c>
      <c r="E16" s="47">
        <v>0.22215933333333299</v>
      </c>
      <c r="F16" s="1">
        <v>0.223662</v>
      </c>
      <c r="G16" s="1">
        <v>0.222838333333333</v>
      </c>
      <c r="H16" s="1">
        <v>0.23987600000000001</v>
      </c>
      <c r="I16" s="1">
        <v>0.241633666666667</v>
      </c>
      <c r="J16" s="1">
        <v>0.240675</v>
      </c>
      <c r="K16" s="7"/>
      <c r="L16" s="7"/>
      <c r="M16" s="7"/>
      <c r="O16" s="2" t="str">
        <f t="shared" si="1"/>
        <v>-0,50-0,00-0,31-0,00-0,19</v>
      </c>
      <c r="P16" s="6" t="str">
        <f t="shared" si="2"/>
        <v>-0,5</v>
      </c>
      <c r="Q16" s="6" t="str">
        <f t="shared" si="3"/>
        <v>-0,0</v>
      </c>
      <c r="R16" s="6" t="str">
        <f t="shared" si="4"/>
        <v>-0,3</v>
      </c>
      <c r="S16" s="6" t="str">
        <f t="shared" si="5"/>
        <v>-0,0</v>
      </c>
      <c r="T16" s="6" t="str">
        <f t="shared" si="6"/>
        <v>-0,1</v>
      </c>
      <c r="U16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17" spans="1:21" x14ac:dyDescent="0.3">
      <c r="A17" s="2" t="s">
        <v>451</v>
      </c>
      <c r="B17">
        <v>0.478449666666667</v>
      </c>
      <c r="C17">
        <v>0.48211333333333301</v>
      </c>
      <c r="D17">
        <v>0.48012733333333302</v>
      </c>
      <c r="E17">
        <v>0.22087066666666699</v>
      </c>
      <c r="F17">
        <v>0.222309333333333</v>
      </c>
      <c r="G17">
        <v>0.22151833333333301</v>
      </c>
      <c r="H17">
        <v>0.23910666666666699</v>
      </c>
      <c r="I17">
        <v>0.24080199999999999</v>
      </c>
      <c r="J17">
        <v>0.23987600000000001</v>
      </c>
      <c r="O17" s="2" t="str">
        <f t="shared" si="1"/>
        <v>-0,52-0,00-0,28-0,00-0,20</v>
      </c>
      <c r="P17" s="6" t="str">
        <f t="shared" si="2"/>
        <v>-0,5</v>
      </c>
      <c r="Q17" s="6" t="str">
        <f t="shared" si="3"/>
        <v>-0,0</v>
      </c>
      <c r="R17" s="6" t="str">
        <f t="shared" si="4"/>
        <v>-0,2</v>
      </c>
      <c r="S17" s="6" t="str">
        <f t="shared" si="5"/>
        <v>-0,0</v>
      </c>
      <c r="T17" s="6" t="str">
        <f t="shared" si="6"/>
        <v>-0,2</v>
      </c>
      <c r="U17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8" spans="1:21" x14ac:dyDescent="0.3">
      <c r="A18" s="2" t="s">
        <v>461</v>
      </c>
      <c r="B18">
        <v>0.478412</v>
      </c>
      <c r="C18">
        <v>0.48203833333333301</v>
      </c>
      <c r="D18">
        <v>0.48006933333333301</v>
      </c>
      <c r="E18">
        <v>0.220947333333333</v>
      </c>
      <c r="F18">
        <v>0.22234899999999999</v>
      </c>
      <c r="G18">
        <v>0.221575666666667</v>
      </c>
      <c r="H18">
        <v>0.239162666666667</v>
      </c>
      <c r="I18">
        <v>0.24082799999999999</v>
      </c>
      <c r="J18">
        <v>0.239915666666667</v>
      </c>
      <c r="K18" s="7"/>
      <c r="L18" s="7"/>
      <c r="M18" s="7"/>
      <c r="O18" s="2" t="str">
        <f t="shared" si="1"/>
        <v>-0,52-0,00-0,28-0,00-0,20</v>
      </c>
      <c r="P18" s="6" t="str">
        <f t="shared" si="2"/>
        <v>-0,5</v>
      </c>
      <c r="Q18" s="6" t="str">
        <f t="shared" si="3"/>
        <v>-0,0</v>
      </c>
      <c r="R18" s="6" t="str">
        <f t="shared" si="4"/>
        <v>-0,2</v>
      </c>
      <c r="S18" s="6" t="str">
        <f t="shared" si="5"/>
        <v>-0,0</v>
      </c>
      <c r="T18" s="6" t="str">
        <f t="shared" si="6"/>
        <v>-0,2</v>
      </c>
      <c r="U18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19" spans="1:21" x14ac:dyDescent="0.3">
      <c r="A19" s="2" t="s">
        <v>393</v>
      </c>
      <c r="B19" s="1">
        <v>0.47837099999999999</v>
      </c>
      <c r="C19" s="1">
        <v>0.482036666666667</v>
      </c>
      <c r="D19" s="1">
        <v>0.48004833333333302</v>
      </c>
      <c r="E19" s="2">
        <v>0.221706666666667</v>
      </c>
      <c r="F19" s="1">
        <v>0.223139</v>
      </c>
      <c r="G19" s="1">
        <v>0.22235133333333301</v>
      </c>
      <c r="H19" s="1">
        <v>0.239589</v>
      </c>
      <c r="I19" s="1">
        <v>0.24127399999999999</v>
      </c>
      <c r="J19" s="1">
        <v>0.24035100000000001</v>
      </c>
      <c r="O19" s="2" t="str">
        <f t="shared" si="1"/>
        <v>-0,52-0,00-0,29-0,00-0,19</v>
      </c>
      <c r="P19" s="6" t="str">
        <f t="shared" si="2"/>
        <v>-0,5</v>
      </c>
      <c r="Q19" s="6" t="str">
        <f t="shared" si="3"/>
        <v>-0,0</v>
      </c>
      <c r="R19" s="6" t="str">
        <f t="shared" si="4"/>
        <v>-0,2</v>
      </c>
      <c r="S19" s="6" t="str">
        <f t="shared" si="5"/>
        <v>-0,0</v>
      </c>
      <c r="T19" s="6" t="str">
        <f t="shared" si="6"/>
        <v>-0,1</v>
      </c>
      <c r="U19" s="2" t="str">
        <f t="shared" si="7"/>
        <v>&lt;Parametros&gt;&lt;Alfa&gt;-0.5&lt;/Alfa&gt;&lt;Beta&gt;-0.0&lt;/Beta&gt;&lt;Gamma&gt;-0.2&lt;/Gamma&gt;&lt;Delta&gt;-0.0&lt;/Delta&gt;&lt;Ro&gt;-0.1&lt;/Ro&gt;&lt;/Parametros&gt;</v>
      </c>
    </row>
    <row r="20" spans="1:21" x14ac:dyDescent="0.3">
      <c r="A20" s="2" t="s">
        <v>395</v>
      </c>
      <c r="B20" s="1">
        <v>0.47836366666666702</v>
      </c>
      <c r="C20" s="1">
        <v>0.48200500000000002</v>
      </c>
      <c r="D20" s="1">
        <v>0.48002800000000001</v>
      </c>
      <c r="E20" s="2">
        <v>0.22144800000000001</v>
      </c>
      <c r="F20" s="1">
        <v>0.22288733333333299</v>
      </c>
      <c r="G20" s="1">
        <v>0.222095666666667</v>
      </c>
      <c r="H20" s="1">
        <v>0.23941599999999999</v>
      </c>
      <c r="I20" s="1">
        <v>0.24110300000000001</v>
      </c>
      <c r="J20" s="1">
        <v>0.24017933333333299</v>
      </c>
      <c r="O20" s="2" t="str">
        <f t="shared" si="1"/>
        <v>-0,53-0,00-0,28-0,00-0,19</v>
      </c>
      <c r="P20" s="6" t="str">
        <f t="shared" si="2"/>
        <v>-0,5</v>
      </c>
      <c r="Q20" s="6" t="str">
        <f t="shared" si="3"/>
        <v>-0,0</v>
      </c>
      <c r="R20" s="6" t="str">
        <f t="shared" si="4"/>
        <v>-0,2</v>
      </c>
      <c r="S20" s="6" t="str">
        <f t="shared" si="5"/>
        <v>-0,0</v>
      </c>
      <c r="T20" s="6" t="str">
        <f t="shared" si="6"/>
        <v>-0,1</v>
      </c>
      <c r="U20" s="2" t="str">
        <f t="shared" si="7"/>
        <v>&lt;Parametros&gt;&lt;Alfa&gt;-0.5&lt;/Alfa&gt;&lt;Beta&gt;-0.0&lt;/Beta&gt;&lt;Gamma&gt;-0.2&lt;/Gamma&gt;&lt;Delta&gt;-0.0&lt;/Delta&gt;&lt;Ro&gt;-0.1&lt;/Ro&gt;&lt;/Parametros&gt;</v>
      </c>
    </row>
    <row r="21" spans="1:21" x14ac:dyDescent="0.3">
      <c r="A21" s="2" t="s">
        <v>394</v>
      </c>
      <c r="B21">
        <v>0.47835133333333302</v>
      </c>
      <c r="C21">
        <v>0.48205466666666702</v>
      </c>
      <c r="D21">
        <v>0.48004766666666698</v>
      </c>
      <c r="E21" s="3">
        <v>0.22225466666666699</v>
      </c>
      <c r="F21">
        <v>0.22372166666666701</v>
      </c>
      <c r="G21">
        <v>0.22291533333333299</v>
      </c>
      <c r="H21">
        <v>0.239854333333333</v>
      </c>
      <c r="I21">
        <v>0.241568</v>
      </c>
      <c r="J21">
        <v>0.24063100000000001</v>
      </c>
      <c r="O21" s="2" t="str">
        <f t="shared" si="1"/>
        <v>-0,52-0,00-0,30-0,00-0,18</v>
      </c>
      <c r="P21" s="6" t="str">
        <f t="shared" si="2"/>
        <v>-0,5</v>
      </c>
      <c r="Q21" s="6" t="str">
        <f t="shared" si="3"/>
        <v>-0,0</v>
      </c>
      <c r="R21" s="6" t="str">
        <f t="shared" si="4"/>
        <v>-0,3</v>
      </c>
      <c r="S21" s="6" t="str">
        <f t="shared" si="5"/>
        <v>-0,0</v>
      </c>
      <c r="T21" s="6" t="str">
        <f t="shared" si="6"/>
        <v>-0,1</v>
      </c>
      <c r="U21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22" spans="1:21" x14ac:dyDescent="0.3">
      <c r="A22" s="2" t="s">
        <v>457</v>
      </c>
      <c r="B22">
        <v>0.478335333333333</v>
      </c>
      <c r="C22">
        <v>0.48187866666666701</v>
      </c>
      <c r="D22">
        <v>0.47995233333333298</v>
      </c>
      <c r="E22">
        <v>0.22077833333333299</v>
      </c>
      <c r="F22">
        <v>0.22214566666666699</v>
      </c>
      <c r="G22">
        <v>0.22139066666666701</v>
      </c>
      <c r="H22">
        <v>0.23900199999999999</v>
      </c>
      <c r="I22">
        <v>0.24062266666666701</v>
      </c>
      <c r="J22">
        <v>0.23973266666666701</v>
      </c>
      <c r="O22" s="2" t="str">
        <f t="shared" si="1"/>
        <v>-0,52-0,00-0,28-0,00-0,20</v>
      </c>
      <c r="P22" s="6" t="str">
        <f t="shared" si="2"/>
        <v>-0,5</v>
      </c>
      <c r="Q22" s="6" t="str">
        <f t="shared" si="3"/>
        <v>-0,0</v>
      </c>
      <c r="R22" s="6" t="str">
        <f t="shared" si="4"/>
        <v>-0,2</v>
      </c>
      <c r="S22" s="6" t="str">
        <f t="shared" si="5"/>
        <v>-0,0</v>
      </c>
      <c r="T22" s="6" t="str">
        <f t="shared" si="6"/>
        <v>-0,2</v>
      </c>
      <c r="U22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23" spans="1:21" x14ac:dyDescent="0.3">
      <c r="A23" s="2" t="s">
        <v>380</v>
      </c>
      <c r="B23">
        <v>0.47833166666666699</v>
      </c>
      <c r="C23">
        <v>0.481918333333333</v>
      </c>
      <c r="D23">
        <v>0.47996766666666701</v>
      </c>
      <c r="E23" s="4">
        <v>0.22043599999999999</v>
      </c>
      <c r="F23">
        <v>0.22180766666666701</v>
      </c>
      <c r="G23">
        <v>0.221048666666667</v>
      </c>
      <c r="H23">
        <v>0.238737333333333</v>
      </c>
      <c r="I23">
        <v>0.240371</v>
      </c>
      <c r="J23">
        <v>0.23947399999999999</v>
      </c>
      <c r="O23" s="2" t="str">
        <f t="shared" si="1"/>
        <v>-0,49-0,00-0,30-0,00-0,21</v>
      </c>
      <c r="P23" s="6" t="str">
        <f t="shared" si="2"/>
        <v>-0,4</v>
      </c>
      <c r="Q23" s="6" t="str">
        <f t="shared" si="3"/>
        <v>-0,0</v>
      </c>
      <c r="R23" s="6" t="str">
        <f t="shared" si="4"/>
        <v>-0,3</v>
      </c>
      <c r="S23" s="6" t="str">
        <f t="shared" si="5"/>
        <v>-0,0</v>
      </c>
      <c r="T23" s="6" t="str">
        <f t="shared" si="6"/>
        <v>-0,2</v>
      </c>
      <c r="U23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24" spans="1:21" x14ac:dyDescent="0.3">
      <c r="A24" s="2" t="s">
        <v>332</v>
      </c>
      <c r="B24">
        <v>0.478331333333333</v>
      </c>
      <c r="C24">
        <v>0.48192200000000002</v>
      </c>
      <c r="D24">
        <v>0.47996966666666702</v>
      </c>
      <c r="E24" s="4">
        <v>0.22105533333333299</v>
      </c>
      <c r="F24">
        <v>0.22243099999999999</v>
      </c>
      <c r="G24">
        <v>0.22167100000000001</v>
      </c>
      <c r="H24">
        <v>0.23907066666666699</v>
      </c>
      <c r="I24">
        <v>0.24070233333333299</v>
      </c>
      <c r="J24">
        <v>0.23980633333333301</v>
      </c>
      <c r="O24" s="2" t="str">
        <f t="shared" si="1"/>
        <v>-0,50-0,00-0,30-0,00-0,20</v>
      </c>
      <c r="P24" s="6" t="str">
        <f t="shared" si="2"/>
        <v>-0,5</v>
      </c>
      <c r="Q24" s="6" t="str">
        <f t="shared" si="3"/>
        <v>-0,0</v>
      </c>
      <c r="R24" s="6" t="str">
        <f t="shared" si="4"/>
        <v>-0,3</v>
      </c>
      <c r="S24" s="6" t="str">
        <f t="shared" si="5"/>
        <v>-0,0</v>
      </c>
      <c r="T24" s="6" t="str">
        <f t="shared" si="6"/>
        <v>-0,2</v>
      </c>
      <c r="U24" s="2" t="str">
        <f t="shared" si="7"/>
        <v>&lt;Parametros&gt;&lt;Alfa&gt;-0.5&lt;/Alfa&gt;&lt;Beta&gt;-0.0&lt;/Beta&gt;&lt;Gamma&gt;-0.3&lt;/Gamma&gt;&lt;Delta&gt;-0.0&lt;/Delta&gt;&lt;Ro&gt;-0.2&lt;/Ro&gt;&lt;/Parametros&gt;</v>
      </c>
    </row>
    <row r="25" spans="1:21" x14ac:dyDescent="0.3">
      <c r="A25" s="2" t="s">
        <v>377</v>
      </c>
      <c r="B25" s="4">
        <v>0.47831966666666698</v>
      </c>
      <c r="C25" s="4">
        <v>0.48195433333333298</v>
      </c>
      <c r="D25" s="4">
        <v>0.479980666666667</v>
      </c>
      <c r="E25" s="4">
        <v>0.22076633333333301</v>
      </c>
      <c r="F25">
        <v>0.222163</v>
      </c>
      <c r="G25">
        <v>0.22139300000000001</v>
      </c>
      <c r="H25">
        <v>0.23878133333333301</v>
      </c>
      <c r="I25">
        <v>0.24044133333333301</v>
      </c>
      <c r="J25">
        <v>0.239531666666667</v>
      </c>
      <c r="O25" s="2" t="str">
        <f t="shared" si="1"/>
        <v>-0,48-0,00-0,31-0,00-0,21</v>
      </c>
      <c r="P25" s="6" t="str">
        <f t="shared" si="2"/>
        <v>-0,4</v>
      </c>
      <c r="Q25" s="6" t="str">
        <f t="shared" si="3"/>
        <v>-0,0</v>
      </c>
      <c r="R25" s="6" t="str">
        <f t="shared" si="4"/>
        <v>-0,3</v>
      </c>
      <c r="S25" s="6" t="str">
        <f t="shared" si="5"/>
        <v>-0,0</v>
      </c>
      <c r="T25" s="6" t="str">
        <f t="shared" si="6"/>
        <v>-0,2</v>
      </c>
      <c r="U25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26" spans="1:21" x14ac:dyDescent="0.3">
      <c r="A26" s="2" t="s">
        <v>376</v>
      </c>
      <c r="B26">
        <v>0.47831000000000001</v>
      </c>
      <c r="C26">
        <v>0.48183199999999998</v>
      </c>
      <c r="D26">
        <v>0.47991400000000001</v>
      </c>
      <c r="E26" s="4">
        <v>0.22004433333333301</v>
      </c>
      <c r="F26">
        <v>0.221394333333333</v>
      </c>
      <c r="G26">
        <v>0.22064766666666699</v>
      </c>
      <c r="H26">
        <v>0.238459</v>
      </c>
      <c r="I26">
        <v>0.24007166666666699</v>
      </c>
      <c r="J26">
        <v>0.23918600000000001</v>
      </c>
      <c r="K26" s="7"/>
      <c r="L26" s="7"/>
      <c r="M26" s="7"/>
      <c r="O26" s="2" t="str">
        <f t="shared" si="1"/>
        <v>-0,48-0,00-0,30-0,00-0,22</v>
      </c>
      <c r="P26" s="6" t="str">
        <f t="shared" si="2"/>
        <v>-0,4</v>
      </c>
      <c r="Q26" s="6" t="str">
        <f t="shared" si="3"/>
        <v>-0,0</v>
      </c>
      <c r="R26" s="6" t="str">
        <f t="shared" si="4"/>
        <v>-0,3</v>
      </c>
      <c r="S26" s="6" t="str">
        <f t="shared" si="5"/>
        <v>-0,0</v>
      </c>
      <c r="T26" s="6" t="str">
        <f t="shared" si="6"/>
        <v>-0,2</v>
      </c>
      <c r="U26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27" spans="1:21" x14ac:dyDescent="0.3">
      <c r="A27" s="2" t="s">
        <v>455</v>
      </c>
      <c r="B27" s="1">
        <v>0.47830666666666699</v>
      </c>
      <c r="C27" s="1">
        <v>0.48187999999999998</v>
      </c>
      <c r="D27" s="1">
        <v>0.479937</v>
      </c>
      <c r="E27" s="1">
        <v>0.22095600000000001</v>
      </c>
      <c r="F27" s="1">
        <v>0.22232633333333299</v>
      </c>
      <c r="G27" s="1">
        <v>0.22156899999999999</v>
      </c>
      <c r="H27" s="1">
        <v>0.23927066666666699</v>
      </c>
      <c r="I27" s="1">
        <v>0.24090033333333299</v>
      </c>
      <c r="J27" s="1">
        <v>0.24000566666666701</v>
      </c>
      <c r="O27" s="2" t="str">
        <f t="shared" si="1"/>
        <v>-0,52-0,00-0,28-0,00-0,20</v>
      </c>
      <c r="P27" s="6" t="str">
        <f t="shared" si="2"/>
        <v>-0,5</v>
      </c>
      <c r="Q27" s="6" t="str">
        <f t="shared" si="3"/>
        <v>-0,0</v>
      </c>
      <c r="R27" s="6" t="str">
        <f t="shared" si="4"/>
        <v>-0,2</v>
      </c>
      <c r="S27" s="6" t="str">
        <f t="shared" si="5"/>
        <v>-0,0</v>
      </c>
      <c r="T27" s="6" t="str">
        <f t="shared" si="6"/>
        <v>-0,2</v>
      </c>
      <c r="U27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28" spans="1:21" x14ac:dyDescent="0.3">
      <c r="A28" s="2" t="s">
        <v>370</v>
      </c>
      <c r="B28">
        <v>0.478262666666667</v>
      </c>
      <c r="C28">
        <v>0.48170600000000002</v>
      </c>
      <c r="D28">
        <v>0.47983033333333303</v>
      </c>
      <c r="E28" s="4">
        <v>0.21987799999999999</v>
      </c>
      <c r="F28">
        <v>0.22119233333333299</v>
      </c>
      <c r="G28">
        <v>0.22046499999999999</v>
      </c>
      <c r="H28">
        <v>0.238266333333333</v>
      </c>
      <c r="I28">
        <v>0.23983733333333301</v>
      </c>
      <c r="J28">
        <v>0.238973666666667</v>
      </c>
      <c r="K28" s="1"/>
      <c r="L28" s="1"/>
      <c r="M28" s="1"/>
      <c r="O28" s="2" t="str">
        <f t="shared" si="1"/>
        <v>-0,50-0,00-0,28-0,00-0,22</v>
      </c>
      <c r="P28" s="6" t="str">
        <f t="shared" si="2"/>
        <v>-0,5</v>
      </c>
      <c r="Q28" s="6" t="str">
        <f t="shared" si="3"/>
        <v>-0,0</v>
      </c>
      <c r="R28" s="6" t="str">
        <f t="shared" si="4"/>
        <v>-0,2</v>
      </c>
      <c r="S28" s="6" t="str">
        <f t="shared" si="5"/>
        <v>-0,0</v>
      </c>
      <c r="T28" s="6" t="str">
        <f t="shared" si="6"/>
        <v>-0,2</v>
      </c>
      <c r="U28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29" spans="1:21" x14ac:dyDescent="0.3">
      <c r="A29" s="2" t="s">
        <v>459</v>
      </c>
      <c r="B29">
        <v>0.47822599999999998</v>
      </c>
      <c r="C29">
        <v>0.48175166666666702</v>
      </c>
      <c r="D29">
        <v>0.47983300000000001</v>
      </c>
      <c r="E29">
        <v>0.22067700000000001</v>
      </c>
      <c r="F29">
        <v>0.22204099999999999</v>
      </c>
      <c r="G29">
        <v>0.22128700000000001</v>
      </c>
      <c r="H29">
        <v>0.23892633333333299</v>
      </c>
      <c r="I29">
        <v>0.24054366666666699</v>
      </c>
      <c r="J29">
        <v>0.239655333333333</v>
      </c>
      <c r="O29" s="2" t="str">
        <f t="shared" si="1"/>
        <v>-0,52-0,00-0,28-0,00-0,20</v>
      </c>
      <c r="P29" s="6" t="str">
        <f t="shared" si="2"/>
        <v>-0,5</v>
      </c>
      <c r="Q29" s="6" t="str">
        <f t="shared" si="3"/>
        <v>-0,0</v>
      </c>
      <c r="R29" s="6" t="str">
        <f t="shared" si="4"/>
        <v>-0,2</v>
      </c>
      <c r="S29" s="6" t="str">
        <f t="shared" si="5"/>
        <v>-0,0</v>
      </c>
      <c r="T29" s="6" t="str">
        <f t="shared" si="6"/>
        <v>-0,2</v>
      </c>
      <c r="U29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0" spans="1:21" x14ac:dyDescent="0.3">
      <c r="A30" s="2" t="s">
        <v>454</v>
      </c>
      <c r="B30">
        <v>0.47814000000000001</v>
      </c>
      <c r="C30">
        <v>0.48164933333333299</v>
      </c>
      <c r="D30">
        <v>0.47973900000000003</v>
      </c>
      <c r="E30">
        <v>0.220545666666667</v>
      </c>
      <c r="F30">
        <v>0.22189666666666699</v>
      </c>
      <c r="G30">
        <v>0.22115099999999999</v>
      </c>
      <c r="H30">
        <v>0.23875233333333301</v>
      </c>
      <c r="I30">
        <v>0.24035633333333301</v>
      </c>
      <c r="J30">
        <v>0.23947499999999999</v>
      </c>
      <c r="O30" s="2" t="str">
        <f t="shared" si="1"/>
        <v>-0,52-0,00-0,28-0,00-0,20</v>
      </c>
      <c r="P30" s="6" t="str">
        <f t="shared" si="2"/>
        <v>-0,5</v>
      </c>
      <c r="Q30" s="6" t="str">
        <f t="shared" si="3"/>
        <v>-0,0</v>
      </c>
      <c r="R30" s="6" t="str">
        <f t="shared" si="4"/>
        <v>-0,2</v>
      </c>
      <c r="S30" s="6" t="str">
        <f t="shared" si="5"/>
        <v>-0,0</v>
      </c>
      <c r="T30" s="6" t="str">
        <f t="shared" si="6"/>
        <v>-0,2</v>
      </c>
      <c r="U30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1" spans="1:21" x14ac:dyDescent="0.3">
      <c r="A31" s="2" t="s">
        <v>452</v>
      </c>
      <c r="B31">
        <v>0.47810866666666701</v>
      </c>
      <c r="C31">
        <v>0.48176366666666698</v>
      </c>
      <c r="D31">
        <v>0.47978033333333298</v>
      </c>
      <c r="E31">
        <v>0.22074666666666701</v>
      </c>
      <c r="F31">
        <v>0.22216233333333299</v>
      </c>
      <c r="G31">
        <v>0.22138433333333299</v>
      </c>
      <c r="H31">
        <v>0.23898900000000001</v>
      </c>
      <c r="I31">
        <v>0.24066799999999999</v>
      </c>
      <c r="J31">
        <v>0.239748666666667</v>
      </c>
      <c r="K31" s="7"/>
      <c r="L31" s="7"/>
      <c r="M31" s="7"/>
      <c r="O31" s="2" t="str">
        <f t="shared" si="1"/>
        <v>-0,52-0,00-0,28-0,00-0,20</v>
      </c>
      <c r="P31" s="6" t="str">
        <f t="shared" si="2"/>
        <v>-0,5</v>
      </c>
      <c r="Q31" s="6" t="str">
        <f t="shared" si="3"/>
        <v>-0,0</v>
      </c>
      <c r="R31" s="6" t="str">
        <f t="shared" si="4"/>
        <v>-0,2</v>
      </c>
      <c r="S31" s="6" t="str">
        <f t="shared" si="5"/>
        <v>-0,0</v>
      </c>
      <c r="T31" s="6" t="str">
        <f t="shared" si="6"/>
        <v>-0,2</v>
      </c>
      <c r="U31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2" spans="1:21" x14ac:dyDescent="0.3">
      <c r="A32" s="2" t="s">
        <v>456</v>
      </c>
      <c r="B32">
        <v>0.47810433333333302</v>
      </c>
      <c r="C32">
        <v>0.48165200000000002</v>
      </c>
      <c r="D32">
        <v>0.47972266666666702</v>
      </c>
      <c r="E32">
        <v>0.22027433333333299</v>
      </c>
      <c r="F32">
        <v>0.22162899999999999</v>
      </c>
      <c r="G32">
        <v>0.22088099999999999</v>
      </c>
      <c r="H32">
        <v>0.238674</v>
      </c>
      <c r="I32">
        <v>0.240289</v>
      </c>
      <c r="J32">
        <v>0.239403</v>
      </c>
      <c r="O32" s="2" t="str">
        <f t="shared" si="1"/>
        <v>-0,52-0,00-0,28-0,00-0,20</v>
      </c>
      <c r="P32" s="6" t="str">
        <f t="shared" si="2"/>
        <v>-0,5</v>
      </c>
      <c r="Q32" s="6" t="str">
        <f t="shared" si="3"/>
        <v>-0,0</v>
      </c>
      <c r="R32" s="6" t="str">
        <f t="shared" si="4"/>
        <v>-0,2</v>
      </c>
      <c r="S32" s="6" t="str">
        <f t="shared" si="5"/>
        <v>-0,0</v>
      </c>
      <c r="T32" s="6" t="str">
        <f t="shared" si="6"/>
        <v>-0,2</v>
      </c>
      <c r="U32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3" spans="1:21" x14ac:dyDescent="0.3">
      <c r="A33" s="2" t="s">
        <v>460</v>
      </c>
      <c r="B33">
        <v>0.478036666666667</v>
      </c>
      <c r="C33">
        <v>0.48157800000000001</v>
      </c>
      <c r="D33">
        <v>0.47965366666666698</v>
      </c>
      <c r="E33">
        <v>0.220399333333333</v>
      </c>
      <c r="F33">
        <v>0.22175700000000001</v>
      </c>
      <c r="G33">
        <v>0.221007333333333</v>
      </c>
      <c r="H33">
        <v>0.23870833333333299</v>
      </c>
      <c r="I33">
        <v>0.24031966666666699</v>
      </c>
      <c r="J33">
        <v>0.23943600000000001</v>
      </c>
      <c r="O33" s="2" t="str">
        <f t="shared" si="1"/>
        <v>-0,52-0,00-0,28-0,00-0,20</v>
      </c>
      <c r="P33" s="6" t="str">
        <f t="shared" si="2"/>
        <v>-0,5</v>
      </c>
      <c r="Q33" s="6" t="str">
        <f t="shared" si="3"/>
        <v>-0,0</v>
      </c>
      <c r="R33" s="6" t="str">
        <f t="shared" si="4"/>
        <v>-0,2</v>
      </c>
      <c r="S33" s="6" t="str">
        <f t="shared" si="5"/>
        <v>-0,0</v>
      </c>
      <c r="T33" s="6" t="str">
        <f t="shared" si="6"/>
        <v>-0,2</v>
      </c>
      <c r="U33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4" spans="1:21" x14ac:dyDescent="0.3">
      <c r="A34" s="2" t="s">
        <v>450</v>
      </c>
      <c r="B34" s="1">
        <v>0.47798733333333299</v>
      </c>
      <c r="C34" s="1">
        <v>0.481632333333333</v>
      </c>
      <c r="D34" s="1">
        <v>0.47965533333333299</v>
      </c>
      <c r="E34" s="1">
        <v>0.220655666666667</v>
      </c>
      <c r="F34" s="1">
        <v>0.22206899999999999</v>
      </c>
      <c r="G34" s="1">
        <v>0.22129133333333301</v>
      </c>
      <c r="H34" s="1">
        <v>0.23879166666666701</v>
      </c>
      <c r="I34" s="1">
        <v>0.24046466666666699</v>
      </c>
      <c r="J34" s="1">
        <v>0.239549333333333</v>
      </c>
      <c r="O34" s="2" t="str">
        <f t="shared" si="1"/>
        <v>-0,52-0,00-0,28-0,00-0,20</v>
      </c>
      <c r="P34" s="6" t="str">
        <f t="shared" si="2"/>
        <v>-0,5</v>
      </c>
      <c r="Q34" s="6" t="str">
        <f t="shared" si="3"/>
        <v>-0,0</v>
      </c>
      <c r="R34" s="6" t="str">
        <f t="shared" si="4"/>
        <v>-0,2</v>
      </c>
      <c r="S34" s="6" t="str">
        <f t="shared" si="5"/>
        <v>-0,0</v>
      </c>
      <c r="T34" s="6" t="str">
        <f t="shared" si="6"/>
        <v>-0,2</v>
      </c>
      <c r="U34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5" spans="1:21" x14ac:dyDescent="0.3">
      <c r="A35" s="2" t="s">
        <v>396</v>
      </c>
      <c r="B35" s="1">
        <v>0.47798499999999999</v>
      </c>
      <c r="C35" s="1">
        <v>0.48163866666666699</v>
      </c>
      <c r="D35" s="1">
        <v>0.47965533333333299</v>
      </c>
      <c r="E35" s="2">
        <v>0.22197900000000001</v>
      </c>
      <c r="F35" s="1">
        <v>0.223397333333333</v>
      </c>
      <c r="G35" s="1">
        <v>0.22261700000000001</v>
      </c>
      <c r="H35" s="1">
        <v>0.239660333333333</v>
      </c>
      <c r="I35" s="1">
        <v>0.241330666666667</v>
      </c>
      <c r="J35" s="1">
        <v>0.24041599999999999</v>
      </c>
      <c r="O35" s="2" t="str">
        <f t="shared" si="1"/>
        <v>-0,53-0,00-0,29-0,00-0,18</v>
      </c>
      <c r="P35" s="6" t="str">
        <f t="shared" si="2"/>
        <v>-0,5</v>
      </c>
      <c r="Q35" s="6" t="str">
        <f t="shared" si="3"/>
        <v>-0,0</v>
      </c>
      <c r="R35" s="6" t="str">
        <f t="shared" si="4"/>
        <v>-0,2</v>
      </c>
      <c r="S35" s="6" t="str">
        <f t="shared" si="5"/>
        <v>-0,0</v>
      </c>
      <c r="T35" s="6" t="str">
        <f t="shared" si="6"/>
        <v>-0,1</v>
      </c>
      <c r="U35" s="2" t="str">
        <f t="shared" si="7"/>
        <v>&lt;Parametros&gt;&lt;Alfa&gt;-0.5&lt;/Alfa&gt;&lt;Beta&gt;-0.0&lt;/Beta&gt;&lt;Gamma&gt;-0.2&lt;/Gamma&gt;&lt;Delta&gt;-0.0&lt;/Delta&gt;&lt;Ro&gt;-0.1&lt;/Ro&gt;&lt;/Parametros&gt;</v>
      </c>
    </row>
    <row r="36" spans="1:21" x14ac:dyDescent="0.3">
      <c r="A36" s="2" t="s">
        <v>390</v>
      </c>
      <c r="B36" s="1">
        <v>0.477883</v>
      </c>
      <c r="C36" s="1">
        <v>0.48152666666666699</v>
      </c>
      <c r="D36" s="1">
        <v>0.47954933333333299</v>
      </c>
      <c r="E36" s="2">
        <v>0.221607</v>
      </c>
      <c r="F36" s="1">
        <v>0.223040666666667</v>
      </c>
      <c r="G36" s="1">
        <v>0.222251</v>
      </c>
      <c r="H36" s="1">
        <v>0.23926466666666699</v>
      </c>
      <c r="I36" s="1">
        <v>0.24094133333333301</v>
      </c>
      <c r="J36" s="1">
        <v>0.240022333333333</v>
      </c>
      <c r="K36" s="1"/>
      <c r="L36" s="1"/>
      <c r="M36" s="1"/>
      <c r="O36" s="2" t="str">
        <f t="shared" si="1"/>
        <v>-0,51-0,00-0,30-0,00-0,19</v>
      </c>
      <c r="P36" s="6" t="str">
        <f t="shared" si="2"/>
        <v>-0,5</v>
      </c>
      <c r="Q36" s="6" t="str">
        <f t="shared" si="3"/>
        <v>-0,0</v>
      </c>
      <c r="R36" s="6" t="str">
        <f t="shared" si="4"/>
        <v>-0,3</v>
      </c>
      <c r="S36" s="6" t="str">
        <f t="shared" si="5"/>
        <v>-0,0</v>
      </c>
      <c r="T36" s="6" t="str">
        <f t="shared" si="6"/>
        <v>-0,1</v>
      </c>
      <c r="U36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37" spans="1:21" x14ac:dyDescent="0.3">
      <c r="A37" s="2" t="s">
        <v>463</v>
      </c>
      <c r="B37">
        <v>0.47785</v>
      </c>
      <c r="C37">
        <v>0.48129866666666699</v>
      </c>
      <c r="D37">
        <v>0.47941899999999998</v>
      </c>
      <c r="E37">
        <v>0.22015833333333301</v>
      </c>
      <c r="F37">
        <v>0.22147466666666701</v>
      </c>
      <c r="G37">
        <v>0.22074566666666701</v>
      </c>
      <c r="H37">
        <v>0.238438333333333</v>
      </c>
      <c r="I37">
        <v>0.24000333333333301</v>
      </c>
      <c r="J37">
        <v>0.239140666666667</v>
      </c>
      <c r="O37" s="2" t="str">
        <f t="shared" si="1"/>
        <v>-0,52-0,00-0,28-0,00-0,20</v>
      </c>
      <c r="P37" s="6" t="str">
        <f t="shared" si="2"/>
        <v>-0,5</v>
      </c>
      <c r="Q37" s="6" t="str">
        <f t="shared" si="3"/>
        <v>-0,0</v>
      </c>
      <c r="R37" s="6" t="str">
        <f t="shared" si="4"/>
        <v>-0,2</v>
      </c>
      <c r="S37" s="6" t="str">
        <f t="shared" si="5"/>
        <v>-0,0</v>
      </c>
      <c r="T37" s="6" t="str">
        <f t="shared" si="6"/>
        <v>-0,2</v>
      </c>
      <c r="U37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38" spans="1:21" x14ac:dyDescent="0.3">
      <c r="A38" s="2" t="s">
        <v>372</v>
      </c>
      <c r="B38">
        <v>0.47784633333333298</v>
      </c>
      <c r="C38">
        <v>0.48170966666666698</v>
      </c>
      <c r="D38">
        <v>0.479619666666667</v>
      </c>
      <c r="E38" s="4">
        <v>0.22122666666666699</v>
      </c>
      <c r="F38">
        <v>0.22273933333333301</v>
      </c>
      <c r="G38">
        <v>0.22191166666666701</v>
      </c>
      <c r="H38">
        <v>0.23888166666666699</v>
      </c>
      <c r="I38">
        <v>0.240657333333333</v>
      </c>
      <c r="J38">
        <v>0.23968866666666699</v>
      </c>
      <c r="O38" s="2" t="str">
        <f t="shared" si="1"/>
        <v>-0,48-0,00-0,32-0,00-0,20</v>
      </c>
      <c r="P38" s="6" t="str">
        <f t="shared" si="2"/>
        <v>-0,4</v>
      </c>
      <c r="Q38" s="6" t="str">
        <f t="shared" si="3"/>
        <v>-0,0</v>
      </c>
      <c r="R38" s="6" t="str">
        <f t="shared" si="4"/>
        <v>-0,3</v>
      </c>
      <c r="S38" s="6" t="str">
        <f t="shared" si="5"/>
        <v>-0,0</v>
      </c>
      <c r="T38" s="6" t="str">
        <f t="shared" si="6"/>
        <v>-0,2</v>
      </c>
      <c r="U38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39" spans="1:21" x14ac:dyDescent="0.3">
      <c r="A39" s="2" t="s">
        <v>382</v>
      </c>
      <c r="B39" s="3">
        <v>0.47775000000000001</v>
      </c>
      <c r="C39">
        <v>0.48156700000000002</v>
      </c>
      <c r="D39">
        <v>0.479501333333333</v>
      </c>
      <c r="E39" s="4">
        <v>0.22162200000000001</v>
      </c>
      <c r="F39">
        <v>0.22313566666666701</v>
      </c>
      <c r="G39">
        <v>0.222307333333333</v>
      </c>
      <c r="H39">
        <v>0.23919199999999999</v>
      </c>
      <c r="I39">
        <v>0.24095800000000001</v>
      </c>
      <c r="J39">
        <v>0.239994333333333</v>
      </c>
      <c r="O39" s="2" t="str">
        <f t="shared" si="1"/>
        <v>-0,49-0,00-0,32-0,00-0,19</v>
      </c>
      <c r="P39" s="6" t="str">
        <f t="shared" si="2"/>
        <v>-0,4</v>
      </c>
      <c r="Q39" s="6" t="str">
        <f t="shared" si="3"/>
        <v>-0,0</v>
      </c>
      <c r="R39" s="6" t="str">
        <f t="shared" si="4"/>
        <v>-0,3</v>
      </c>
      <c r="S39" s="6" t="str">
        <f t="shared" si="5"/>
        <v>-0,0</v>
      </c>
      <c r="T39" s="6" t="str">
        <f t="shared" si="6"/>
        <v>-0,1</v>
      </c>
      <c r="U39" s="2" t="str">
        <f t="shared" si="7"/>
        <v>&lt;Parametros&gt;&lt;Alfa&gt;-0.4&lt;/Alfa&gt;&lt;Beta&gt;-0.0&lt;/Beta&gt;&lt;Gamma&gt;-0.3&lt;/Gamma&gt;&lt;Delta&gt;-0.0&lt;/Delta&gt;&lt;Ro&gt;-0.1&lt;/Ro&gt;&lt;/Parametros&gt;</v>
      </c>
    </row>
    <row r="40" spans="1:21" x14ac:dyDescent="0.3">
      <c r="A40" s="2" t="s">
        <v>391</v>
      </c>
      <c r="B40" s="1">
        <v>0.47774366666666701</v>
      </c>
      <c r="C40" s="1">
        <v>0.48151633333333299</v>
      </c>
      <c r="D40" s="1">
        <v>0.47947466666666699</v>
      </c>
      <c r="E40" s="47">
        <v>0.222130666666667</v>
      </c>
      <c r="F40" s="1">
        <v>0.22364566666666699</v>
      </c>
      <c r="G40" s="1">
        <v>0.22281500000000001</v>
      </c>
      <c r="H40" s="1">
        <v>0.23966166666666699</v>
      </c>
      <c r="I40" s="1">
        <v>0.24141799999999999</v>
      </c>
      <c r="J40" s="1">
        <v>0.24045800000000001</v>
      </c>
      <c r="O40" s="2" t="str">
        <f t="shared" si="1"/>
        <v>-0,51-0,00-0,31-0,00-0,18</v>
      </c>
      <c r="P40" s="6" t="str">
        <f t="shared" si="2"/>
        <v>-0,5</v>
      </c>
      <c r="Q40" s="6" t="str">
        <f t="shared" si="3"/>
        <v>-0,0</v>
      </c>
      <c r="R40" s="6" t="str">
        <f t="shared" si="4"/>
        <v>-0,3</v>
      </c>
      <c r="S40" s="6" t="str">
        <f t="shared" si="5"/>
        <v>-0,0</v>
      </c>
      <c r="T40" s="6" t="str">
        <f t="shared" si="6"/>
        <v>-0,1</v>
      </c>
      <c r="U40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41" spans="1:21" x14ac:dyDescent="0.3">
      <c r="A41" s="2" t="s">
        <v>378</v>
      </c>
      <c r="B41" s="4">
        <v>0.47768033333333298</v>
      </c>
      <c r="C41" s="4">
        <v>0.48148600000000003</v>
      </c>
      <c r="D41" s="4">
        <v>0.47942499999999999</v>
      </c>
      <c r="E41" s="4">
        <v>0.221174333333333</v>
      </c>
      <c r="F41">
        <v>0.22268533333333301</v>
      </c>
      <c r="G41">
        <v>0.22185866666666701</v>
      </c>
      <c r="H41">
        <v>0.238887666666667</v>
      </c>
      <c r="I41">
        <v>0.240651</v>
      </c>
      <c r="J41">
        <v>0.23968800000000001</v>
      </c>
      <c r="K41" s="7"/>
      <c r="L41" s="7"/>
      <c r="M41" s="7"/>
      <c r="O41" s="2" t="str">
        <f t="shared" si="1"/>
        <v>-0,48-0,00-0,32-0,00-0,20</v>
      </c>
      <c r="P41" s="6" t="str">
        <f t="shared" si="2"/>
        <v>-0,4</v>
      </c>
      <c r="Q41" s="6" t="str">
        <f t="shared" si="3"/>
        <v>-0,0</v>
      </c>
      <c r="R41" s="6" t="str">
        <f t="shared" si="4"/>
        <v>-0,3</v>
      </c>
      <c r="S41" s="6" t="str">
        <f t="shared" si="5"/>
        <v>-0,0</v>
      </c>
      <c r="T41" s="6" t="str">
        <f t="shared" si="6"/>
        <v>-0,2</v>
      </c>
      <c r="U41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42" spans="1:21" x14ac:dyDescent="0.3">
      <c r="A42" s="2" t="s">
        <v>466</v>
      </c>
      <c r="B42">
        <v>0.47761833333333298</v>
      </c>
      <c r="C42">
        <v>0.48107966666666702</v>
      </c>
      <c r="D42">
        <v>0.47919533333333297</v>
      </c>
      <c r="E42">
        <v>0.219875666666667</v>
      </c>
      <c r="F42">
        <v>0.221196</v>
      </c>
      <c r="G42">
        <v>0.220466</v>
      </c>
      <c r="H42">
        <v>0.238203</v>
      </c>
      <c r="I42">
        <v>0.239771333333333</v>
      </c>
      <c r="J42">
        <v>0.23890866666666699</v>
      </c>
      <c r="O42" s="2" t="str">
        <f t="shared" si="1"/>
        <v>-0,52-0,00-0,28-0,00-0,20</v>
      </c>
      <c r="P42" s="6" t="str">
        <f t="shared" si="2"/>
        <v>-0,5</v>
      </c>
      <c r="Q42" s="6" t="str">
        <f t="shared" si="3"/>
        <v>-0,0</v>
      </c>
      <c r="R42" s="6" t="str">
        <f t="shared" si="4"/>
        <v>-0,2</v>
      </c>
      <c r="S42" s="6" t="str">
        <f t="shared" si="5"/>
        <v>-0,0</v>
      </c>
      <c r="T42" s="6" t="str">
        <f t="shared" si="6"/>
        <v>-0,2</v>
      </c>
      <c r="U42" s="2" t="str">
        <f t="shared" si="7"/>
        <v>&lt;Parametros&gt;&lt;Alfa&gt;-0.5&lt;/Alfa&gt;&lt;Beta&gt;-0.0&lt;/Beta&gt;&lt;Gamma&gt;-0.2&lt;/Gamma&gt;&lt;Delta&gt;-0.0&lt;/Delta&gt;&lt;Ro&gt;-0.2&lt;/Ro&gt;&lt;/Parametros&gt;</v>
      </c>
    </row>
    <row r="43" spans="1:21" x14ac:dyDescent="0.3">
      <c r="A43" s="2" t="s">
        <v>379</v>
      </c>
      <c r="B43">
        <v>0.47761399999999998</v>
      </c>
      <c r="C43">
        <v>0.48104400000000003</v>
      </c>
      <c r="D43">
        <v>0.479173666666667</v>
      </c>
      <c r="E43" s="4">
        <v>0.21938133333333301</v>
      </c>
      <c r="F43">
        <v>0.22069900000000001</v>
      </c>
      <c r="G43">
        <v>0.21997033333333299</v>
      </c>
      <c r="H43">
        <v>0.23777266666666699</v>
      </c>
      <c r="I43">
        <v>0.239341</v>
      </c>
      <c r="J43">
        <v>0.238477666666667</v>
      </c>
      <c r="O43" s="2" t="str">
        <f t="shared" si="1"/>
        <v>-0,49-0,00-0,29-0,00-0,22</v>
      </c>
      <c r="P43" s="6" t="str">
        <f t="shared" si="2"/>
        <v>-0,4</v>
      </c>
      <c r="Q43" s="6" t="str">
        <f t="shared" si="3"/>
        <v>-0,0</v>
      </c>
      <c r="R43" s="6" t="str">
        <f t="shared" si="4"/>
        <v>-0,2</v>
      </c>
      <c r="S43" s="6" t="str">
        <f t="shared" si="5"/>
        <v>-0,0</v>
      </c>
      <c r="T43" s="6" t="str">
        <f t="shared" si="6"/>
        <v>-0,2</v>
      </c>
      <c r="U43" s="2" t="str">
        <f t="shared" si="7"/>
        <v>&lt;Parametros&gt;&lt;Alfa&gt;-0.4&lt;/Alfa&gt;&lt;Beta&gt;-0.0&lt;/Beta&gt;&lt;Gamma&gt;-0.2&lt;/Gamma&gt;&lt;Delta&gt;-0.0&lt;/Delta&gt;&lt;Ro&gt;-0.2&lt;/Ro&gt;&lt;/Parametros&gt;</v>
      </c>
    </row>
    <row r="44" spans="1:21" x14ac:dyDescent="0.3">
      <c r="A44" s="2" t="s">
        <v>381</v>
      </c>
      <c r="B44">
        <v>0.47761366666666699</v>
      </c>
      <c r="C44">
        <v>0.48138233333333302</v>
      </c>
      <c r="D44">
        <v>0.47934066666666703</v>
      </c>
      <c r="E44" s="4">
        <v>0.22071399999999999</v>
      </c>
      <c r="F44">
        <v>0.22218866666666701</v>
      </c>
      <c r="G44">
        <v>0.22137933333333301</v>
      </c>
      <c r="H44">
        <v>0.23866433333333301</v>
      </c>
      <c r="I44">
        <v>0.24040133333333299</v>
      </c>
      <c r="J44">
        <v>0.23945233333333299</v>
      </c>
      <c r="O44" s="2" t="str">
        <f t="shared" si="1"/>
        <v>-0,49-0,00-0,31-0,00-0,20</v>
      </c>
      <c r="P44" s="6" t="str">
        <f t="shared" si="2"/>
        <v>-0,4</v>
      </c>
      <c r="Q44" s="6" t="str">
        <f t="shared" si="3"/>
        <v>-0,0</v>
      </c>
      <c r="R44" s="6" t="str">
        <f t="shared" si="4"/>
        <v>-0,3</v>
      </c>
      <c r="S44" s="6" t="str">
        <f t="shared" si="5"/>
        <v>-0,0</v>
      </c>
      <c r="T44" s="6" t="str">
        <f t="shared" si="6"/>
        <v>-0,2</v>
      </c>
      <c r="U44" s="2" t="str">
        <f t="shared" si="7"/>
        <v>&lt;Parametros&gt;&lt;Alfa&gt;-0.4&lt;/Alfa&gt;&lt;Beta&gt;-0.0&lt;/Beta&gt;&lt;Gamma&gt;-0.3&lt;/Gamma&gt;&lt;Delta&gt;-0.0&lt;/Delta&gt;&lt;Ro&gt;-0.2&lt;/Ro&gt;&lt;/Parametros&gt;</v>
      </c>
    </row>
    <row r="45" spans="1:21" x14ac:dyDescent="0.3">
      <c r="A45" s="2" t="s">
        <v>387</v>
      </c>
      <c r="B45" s="1">
        <v>0.47732999999999998</v>
      </c>
      <c r="C45" s="1">
        <v>0.48114433333333301</v>
      </c>
      <c r="D45" s="1">
        <v>0.47908133333333303</v>
      </c>
      <c r="E45" s="2">
        <v>0.22164600000000001</v>
      </c>
      <c r="F45" s="1">
        <v>0.223176333333333</v>
      </c>
      <c r="G45" s="1">
        <v>0.22233866666666699</v>
      </c>
      <c r="H45" s="1">
        <v>0.23915233333333299</v>
      </c>
      <c r="I45" s="1">
        <v>0.24092433333333299</v>
      </c>
      <c r="J45" s="1">
        <v>0.239958333333333</v>
      </c>
      <c r="O45" s="2" t="str">
        <f t="shared" si="1"/>
        <v>-0,50-0,00-0,32-0,00-0,18</v>
      </c>
      <c r="P45" s="6" t="str">
        <f t="shared" si="2"/>
        <v>-0,5</v>
      </c>
      <c r="Q45" s="6" t="str">
        <f t="shared" si="3"/>
        <v>-0,0</v>
      </c>
      <c r="R45" s="6" t="str">
        <f t="shared" si="4"/>
        <v>-0,3</v>
      </c>
      <c r="S45" s="6" t="str">
        <f t="shared" si="5"/>
        <v>-0,0</v>
      </c>
      <c r="T45" s="6" t="str">
        <f t="shared" si="6"/>
        <v>-0,1</v>
      </c>
      <c r="U45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46" spans="1:21" x14ac:dyDescent="0.3">
      <c r="A46" s="2" t="s">
        <v>333</v>
      </c>
      <c r="B46">
        <v>0.47718433333333299</v>
      </c>
      <c r="C46">
        <v>0.48101366666666701</v>
      </c>
      <c r="D46">
        <v>0.47894300000000001</v>
      </c>
      <c r="E46">
        <v>0.22197033333333299</v>
      </c>
      <c r="F46">
        <v>0.223513666666667</v>
      </c>
      <c r="G46">
        <v>0.222668333333333</v>
      </c>
      <c r="H46">
        <v>0.23922499999999999</v>
      </c>
      <c r="I46">
        <v>0.24101166666666701</v>
      </c>
      <c r="J46">
        <v>0.24003933333333299</v>
      </c>
      <c r="O46" s="2" t="str">
        <f t="shared" si="1"/>
        <v>-0,50-0,00-0,32-0,00-0,18</v>
      </c>
      <c r="P46" s="6" t="str">
        <f t="shared" si="2"/>
        <v>-0,5</v>
      </c>
      <c r="Q46" s="6" t="str">
        <f t="shared" si="3"/>
        <v>-0,0</v>
      </c>
      <c r="R46" s="6" t="str">
        <f t="shared" si="4"/>
        <v>-0,3</v>
      </c>
      <c r="S46" s="6" t="str">
        <f t="shared" si="5"/>
        <v>-0,0</v>
      </c>
      <c r="T46" s="6" t="str">
        <f t="shared" si="6"/>
        <v>-0,1</v>
      </c>
      <c r="U46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47" spans="1:21" x14ac:dyDescent="0.3">
      <c r="A47" s="2" t="s">
        <v>373</v>
      </c>
      <c r="B47">
        <v>0.47681400000000002</v>
      </c>
      <c r="C47">
        <v>0.48050866666666697</v>
      </c>
      <c r="D47">
        <v>0.47850599999999999</v>
      </c>
      <c r="E47">
        <v>0.22038466666666701</v>
      </c>
      <c r="F47">
        <v>0.22185033333333301</v>
      </c>
      <c r="G47">
        <v>0.22104699999999999</v>
      </c>
      <c r="H47">
        <v>0.23825666666666701</v>
      </c>
      <c r="I47">
        <v>0.23996466666666699</v>
      </c>
      <c r="J47">
        <v>0.239029666666667</v>
      </c>
      <c r="O47" s="2" t="str">
        <f t="shared" si="1"/>
        <v>-0,52-0,00-0,30-0,00-0,18</v>
      </c>
      <c r="P47" s="6" t="str">
        <f t="shared" si="2"/>
        <v>-0,5</v>
      </c>
      <c r="Q47" s="6" t="str">
        <f t="shared" si="3"/>
        <v>-0,0</v>
      </c>
      <c r="R47" s="6" t="str">
        <f t="shared" si="4"/>
        <v>-0,3</v>
      </c>
      <c r="S47" s="6" t="str">
        <f t="shared" si="5"/>
        <v>-0,0</v>
      </c>
      <c r="T47" s="6" t="str">
        <f t="shared" si="6"/>
        <v>-0,1</v>
      </c>
      <c r="U47" s="2" t="str">
        <f t="shared" si="7"/>
        <v>&lt;Parametros&gt;&lt;Alfa&gt;-0.5&lt;/Alfa&gt;&lt;Beta&gt;-0.0&lt;/Beta&gt;&lt;Gamma&gt;-0.3&lt;/Gamma&gt;&lt;Delta&gt;-0.0&lt;/Delta&gt;&lt;Ro&gt;-0.1&lt;/Ro&gt;&lt;/Parametros&gt;</v>
      </c>
    </row>
    <row r="48" spans="1:21" x14ac:dyDescent="0.3">
      <c r="B48"/>
      <c r="C48"/>
      <c r="D48"/>
      <c r="E48"/>
      <c r="F48"/>
      <c r="G48"/>
      <c r="H48"/>
      <c r="I48"/>
      <c r="J48"/>
      <c r="O48" s="2" t="e">
        <f t="shared" si="1"/>
        <v>#VALUE!</v>
      </c>
      <c r="P48" s="6" t="e">
        <f t="shared" si="2"/>
        <v>#VALUE!</v>
      </c>
      <c r="Q48" s="6" t="e">
        <f t="shared" si="3"/>
        <v>#VALUE!</v>
      </c>
      <c r="R48" s="6" t="e">
        <f t="shared" si="4"/>
        <v>#VALUE!</v>
      </c>
      <c r="S48" s="6" t="e">
        <f t="shared" si="5"/>
        <v>#VALUE!</v>
      </c>
      <c r="T48" s="6" t="e">
        <f t="shared" si="6"/>
        <v>#VALUE!</v>
      </c>
      <c r="U48" s="2" t="e">
        <f t="shared" si="7"/>
        <v>#VALUE!</v>
      </c>
    </row>
    <row r="49" spans="2:21" x14ac:dyDescent="0.3">
      <c r="B49"/>
      <c r="C49"/>
      <c r="D49"/>
      <c r="E49"/>
      <c r="F49"/>
      <c r="G49"/>
      <c r="H49"/>
      <c r="I49"/>
      <c r="J49"/>
      <c r="O49" s="2" t="e">
        <f t="shared" si="1"/>
        <v>#VALUE!</v>
      </c>
      <c r="P49" s="6" t="e">
        <f t="shared" si="2"/>
        <v>#VALUE!</v>
      </c>
      <c r="Q49" s="6" t="e">
        <f t="shared" si="3"/>
        <v>#VALUE!</v>
      </c>
      <c r="R49" s="6" t="e">
        <f t="shared" si="4"/>
        <v>#VALUE!</v>
      </c>
      <c r="S49" s="6" t="e">
        <f t="shared" si="5"/>
        <v>#VALUE!</v>
      </c>
      <c r="T49" s="6" t="e">
        <f t="shared" si="6"/>
        <v>#VALUE!</v>
      </c>
      <c r="U49" s="2" t="e">
        <f t="shared" si="7"/>
        <v>#VALUE!</v>
      </c>
    </row>
    <row r="50" spans="2:21" x14ac:dyDescent="0.3">
      <c r="B50"/>
      <c r="C50"/>
      <c r="D50"/>
      <c r="E50"/>
      <c r="F50"/>
      <c r="G50"/>
      <c r="H50"/>
      <c r="I50"/>
      <c r="J50"/>
      <c r="O50" s="2" t="e">
        <f t="shared" si="1"/>
        <v>#VALUE!</v>
      </c>
      <c r="P50" s="6" t="e">
        <f t="shared" si="2"/>
        <v>#VALUE!</v>
      </c>
      <c r="Q50" s="6" t="e">
        <f t="shared" si="3"/>
        <v>#VALUE!</v>
      </c>
      <c r="R50" s="6" t="e">
        <f t="shared" si="4"/>
        <v>#VALUE!</v>
      </c>
      <c r="S50" s="6" t="e">
        <f t="shared" si="5"/>
        <v>#VALUE!</v>
      </c>
      <c r="T50" s="6" t="e">
        <f t="shared" si="6"/>
        <v>#VALUE!</v>
      </c>
      <c r="U50" s="2" t="e">
        <f t="shared" si="7"/>
        <v>#VALUE!</v>
      </c>
    </row>
    <row r="51" spans="2:21" x14ac:dyDescent="0.3">
      <c r="B51"/>
      <c r="C51"/>
      <c r="D51"/>
      <c r="E51"/>
      <c r="F51"/>
      <c r="G51"/>
      <c r="H51"/>
      <c r="I51"/>
      <c r="J51"/>
      <c r="O51" s="2" t="e">
        <f t="shared" si="1"/>
        <v>#VALUE!</v>
      </c>
      <c r="P51" s="6" t="e">
        <f t="shared" si="2"/>
        <v>#VALUE!</v>
      </c>
      <c r="Q51" s="6" t="e">
        <f t="shared" si="3"/>
        <v>#VALUE!</v>
      </c>
      <c r="R51" s="6" t="e">
        <f t="shared" si="4"/>
        <v>#VALUE!</v>
      </c>
      <c r="S51" s="6" t="e">
        <f t="shared" si="5"/>
        <v>#VALUE!</v>
      </c>
      <c r="T51" s="6" t="e">
        <f t="shared" si="6"/>
        <v>#VALUE!</v>
      </c>
      <c r="U51" s="2" t="e">
        <f t="shared" si="7"/>
        <v>#VALUE!</v>
      </c>
    </row>
    <row r="52" spans="2:21" x14ac:dyDescent="0.3">
      <c r="B52"/>
      <c r="C52"/>
      <c r="D52"/>
      <c r="E52"/>
      <c r="F52"/>
      <c r="G52"/>
      <c r="H52"/>
      <c r="I52"/>
      <c r="J52"/>
      <c r="K52" s="7"/>
      <c r="L52" s="7"/>
      <c r="M52" s="7"/>
      <c r="O52" s="2" t="e">
        <f t="shared" si="1"/>
        <v>#VALUE!</v>
      </c>
      <c r="P52" s="6" t="e">
        <f t="shared" si="2"/>
        <v>#VALUE!</v>
      </c>
      <c r="Q52" s="6" t="e">
        <f t="shared" si="3"/>
        <v>#VALUE!</v>
      </c>
      <c r="R52" s="6" t="e">
        <f t="shared" si="4"/>
        <v>#VALUE!</v>
      </c>
      <c r="S52" s="6" t="e">
        <f t="shared" si="5"/>
        <v>#VALUE!</v>
      </c>
      <c r="T52" s="6" t="e">
        <f t="shared" si="6"/>
        <v>#VALUE!</v>
      </c>
      <c r="U52" s="2" t="e">
        <f t="shared" si="7"/>
        <v>#VALUE!</v>
      </c>
    </row>
    <row r="53" spans="2:21" x14ac:dyDescent="0.3">
      <c r="B53"/>
      <c r="C53"/>
      <c r="D53"/>
      <c r="E53"/>
      <c r="F53"/>
      <c r="G53"/>
      <c r="H53"/>
      <c r="I53"/>
      <c r="J53"/>
      <c r="O53" s="2" t="e">
        <f t="shared" si="1"/>
        <v>#VALUE!</v>
      </c>
      <c r="P53" s="6" t="e">
        <f t="shared" si="2"/>
        <v>#VALUE!</v>
      </c>
      <c r="Q53" s="6" t="e">
        <f t="shared" si="3"/>
        <v>#VALUE!</v>
      </c>
      <c r="R53" s="6" t="e">
        <f t="shared" si="4"/>
        <v>#VALUE!</v>
      </c>
      <c r="S53" s="6" t="e">
        <f t="shared" si="5"/>
        <v>#VALUE!</v>
      </c>
      <c r="T53" s="6" t="e">
        <f t="shared" si="6"/>
        <v>#VALUE!</v>
      </c>
      <c r="U53" s="2" t="e">
        <f t="shared" si="7"/>
        <v>#VALUE!</v>
      </c>
    </row>
    <row r="54" spans="2:21" x14ac:dyDescent="0.3">
      <c r="B54"/>
      <c r="C54"/>
      <c r="D54"/>
      <c r="E54"/>
      <c r="F54"/>
      <c r="G54"/>
      <c r="H54"/>
      <c r="I54"/>
      <c r="J54"/>
      <c r="O54" s="2" t="e">
        <f t="shared" si="1"/>
        <v>#VALUE!</v>
      </c>
      <c r="P54" s="6" t="e">
        <f t="shared" si="2"/>
        <v>#VALUE!</v>
      </c>
      <c r="Q54" s="6" t="e">
        <f t="shared" si="3"/>
        <v>#VALUE!</v>
      </c>
      <c r="R54" s="6" t="e">
        <f t="shared" si="4"/>
        <v>#VALUE!</v>
      </c>
      <c r="S54" s="6" t="e">
        <f t="shared" si="5"/>
        <v>#VALUE!</v>
      </c>
      <c r="T54" s="6" t="e">
        <f t="shared" si="6"/>
        <v>#VALUE!</v>
      </c>
      <c r="U54" s="2" t="e">
        <f t="shared" si="7"/>
        <v>#VALUE!</v>
      </c>
    </row>
    <row r="55" spans="2:21" x14ac:dyDescent="0.3">
      <c r="B55"/>
      <c r="C55"/>
      <c r="D55"/>
      <c r="E55"/>
      <c r="F55"/>
      <c r="G55"/>
      <c r="H55"/>
      <c r="I55"/>
      <c r="J55"/>
      <c r="O55" s="2" t="e">
        <f t="shared" si="1"/>
        <v>#VALUE!</v>
      </c>
      <c r="P55" s="6" t="e">
        <f t="shared" si="2"/>
        <v>#VALUE!</v>
      </c>
      <c r="Q55" s="6" t="e">
        <f t="shared" si="3"/>
        <v>#VALUE!</v>
      </c>
      <c r="R55" s="6" t="e">
        <f t="shared" si="4"/>
        <v>#VALUE!</v>
      </c>
      <c r="S55" s="6" t="e">
        <f t="shared" si="5"/>
        <v>#VALUE!</v>
      </c>
      <c r="T55" s="6" t="e">
        <f t="shared" si="6"/>
        <v>#VALUE!</v>
      </c>
      <c r="U55" s="2" t="e">
        <f t="shared" si="7"/>
        <v>#VALUE!</v>
      </c>
    </row>
    <row r="56" spans="2:21" x14ac:dyDescent="0.3">
      <c r="B56"/>
      <c r="C56"/>
      <c r="D56"/>
      <c r="E56"/>
      <c r="F56"/>
      <c r="G56"/>
      <c r="H56"/>
      <c r="I56"/>
      <c r="J56"/>
      <c r="O56" s="2" t="e">
        <f t="shared" si="1"/>
        <v>#VALUE!</v>
      </c>
      <c r="P56" s="6" t="e">
        <f t="shared" si="2"/>
        <v>#VALUE!</v>
      </c>
      <c r="Q56" s="6" t="e">
        <f t="shared" si="3"/>
        <v>#VALUE!</v>
      </c>
      <c r="R56" s="6" t="e">
        <f t="shared" si="4"/>
        <v>#VALUE!</v>
      </c>
      <c r="S56" s="6" t="e">
        <f t="shared" si="5"/>
        <v>#VALUE!</v>
      </c>
      <c r="T56" s="6" t="e">
        <f t="shared" si="6"/>
        <v>#VALUE!</v>
      </c>
      <c r="U56" s="2" t="e">
        <f t="shared" si="7"/>
        <v>#VALUE!</v>
      </c>
    </row>
    <row r="57" spans="2:21" x14ac:dyDescent="0.3">
      <c r="B57"/>
      <c r="C57"/>
      <c r="D57"/>
      <c r="E57"/>
      <c r="F57"/>
      <c r="G57"/>
      <c r="H57"/>
      <c r="I57"/>
      <c r="J57"/>
      <c r="K57" s="1"/>
      <c r="L57" s="1"/>
      <c r="M57" s="1"/>
      <c r="O57" s="2" t="e">
        <f t="shared" si="1"/>
        <v>#VALUE!</v>
      </c>
      <c r="P57" s="6" t="e">
        <f t="shared" si="2"/>
        <v>#VALUE!</v>
      </c>
      <c r="Q57" s="6" t="e">
        <f t="shared" si="3"/>
        <v>#VALUE!</v>
      </c>
      <c r="R57" s="6" t="e">
        <f t="shared" si="4"/>
        <v>#VALUE!</v>
      </c>
      <c r="S57" s="6" t="e">
        <f t="shared" si="5"/>
        <v>#VALUE!</v>
      </c>
      <c r="T57" s="6" t="e">
        <f t="shared" si="6"/>
        <v>#VALUE!</v>
      </c>
      <c r="U57" s="2" t="e">
        <f t="shared" si="7"/>
        <v>#VALUE!</v>
      </c>
    </row>
    <row r="58" spans="2:21" x14ac:dyDescent="0.3">
      <c r="B58"/>
      <c r="C58"/>
      <c r="D58"/>
      <c r="E58"/>
      <c r="F58"/>
      <c r="G58"/>
      <c r="H58"/>
      <c r="I58"/>
      <c r="J58"/>
      <c r="O58" s="2" t="e">
        <f t="shared" si="1"/>
        <v>#VALUE!</v>
      </c>
      <c r="P58" s="6" t="e">
        <f t="shared" si="2"/>
        <v>#VALUE!</v>
      </c>
      <c r="Q58" s="6" t="e">
        <f t="shared" si="3"/>
        <v>#VALUE!</v>
      </c>
      <c r="R58" s="6" t="e">
        <f t="shared" si="4"/>
        <v>#VALUE!</v>
      </c>
      <c r="S58" s="6" t="e">
        <f t="shared" si="5"/>
        <v>#VALUE!</v>
      </c>
      <c r="T58" s="6" t="e">
        <f t="shared" si="6"/>
        <v>#VALUE!</v>
      </c>
      <c r="U58" s="2" t="e">
        <f t="shared" si="7"/>
        <v>#VALUE!</v>
      </c>
    </row>
    <row r="59" spans="2:21" x14ac:dyDescent="0.3">
      <c r="B59"/>
      <c r="C59"/>
      <c r="D59"/>
      <c r="E59"/>
      <c r="F59"/>
      <c r="G59"/>
      <c r="H59"/>
      <c r="I59"/>
      <c r="J59"/>
      <c r="O59" s="2" t="e">
        <f t="shared" si="1"/>
        <v>#VALUE!</v>
      </c>
      <c r="P59" s="6" t="e">
        <f t="shared" si="2"/>
        <v>#VALUE!</v>
      </c>
      <c r="Q59" s="6" t="e">
        <f t="shared" si="3"/>
        <v>#VALUE!</v>
      </c>
      <c r="R59" s="6" t="e">
        <f t="shared" si="4"/>
        <v>#VALUE!</v>
      </c>
      <c r="S59" s="6" t="e">
        <f t="shared" si="5"/>
        <v>#VALUE!</v>
      </c>
      <c r="T59" s="6" t="e">
        <f t="shared" si="6"/>
        <v>#VALUE!</v>
      </c>
      <c r="U59" s="2" t="e">
        <f t="shared" si="7"/>
        <v>#VALUE!</v>
      </c>
    </row>
    <row r="60" spans="2:21" x14ac:dyDescent="0.3">
      <c r="B60"/>
      <c r="C60"/>
      <c r="D60"/>
      <c r="E60"/>
      <c r="F60"/>
      <c r="G60"/>
      <c r="H60"/>
      <c r="I60"/>
      <c r="J60"/>
      <c r="O60" s="2" t="e">
        <f t="shared" si="1"/>
        <v>#VALUE!</v>
      </c>
      <c r="P60" s="6" t="e">
        <f t="shared" si="2"/>
        <v>#VALUE!</v>
      </c>
      <c r="Q60" s="6" t="e">
        <f t="shared" si="3"/>
        <v>#VALUE!</v>
      </c>
      <c r="R60" s="6" t="e">
        <f t="shared" si="4"/>
        <v>#VALUE!</v>
      </c>
      <c r="S60" s="6" t="e">
        <f t="shared" si="5"/>
        <v>#VALUE!</v>
      </c>
      <c r="T60" s="6" t="e">
        <f t="shared" si="6"/>
        <v>#VALUE!</v>
      </c>
      <c r="U60" s="2" t="e">
        <f t="shared" si="7"/>
        <v>#VALUE!</v>
      </c>
    </row>
    <row r="61" spans="2:21" x14ac:dyDescent="0.3">
      <c r="B61"/>
      <c r="C61"/>
      <c r="D61"/>
      <c r="E61"/>
      <c r="F61"/>
      <c r="G61"/>
      <c r="H61"/>
      <c r="I61"/>
      <c r="J61"/>
      <c r="K61" s="7"/>
      <c r="L61" s="7"/>
      <c r="M61" s="7"/>
      <c r="O61" s="2" t="e">
        <f t="shared" si="1"/>
        <v>#VALUE!</v>
      </c>
      <c r="P61" s="6" t="e">
        <f t="shared" si="2"/>
        <v>#VALUE!</v>
      </c>
      <c r="Q61" s="6" t="e">
        <f t="shared" si="3"/>
        <v>#VALUE!</v>
      </c>
      <c r="R61" s="6" t="e">
        <f t="shared" si="4"/>
        <v>#VALUE!</v>
      </c>
      <c r="S61" s="6" t="e">
        <f t="shared" si="5"/>
        <v>#VALUE!</v>
      </c>
      <c r="T61" s="6" t="e">
        <f t="shared" si="6"/>
        <v>#VALUE!</v>
      </c>
      <c r="U61" s="2" t="e">
        <f t="shared" si="7"/>
        <v>#VALUE!</v>
      </c>
    </row>
    <row r="62" spans="2:21" x14ac:dyDescent="0.3">
      <c r="B62"/>
      <c r="C62"/>
      <c r="D62"/>
      <c r="E62"/>
      <c r="F62"/>
      <c r="G62"/>
      <c r="H62"/>
      <c r="I62"/>
      <c r="J62"/>
      <c r="O62" s="2" t="e">
        <f t="shared" si="1"/>
        <v>#VALUE!</v>
      </c>
      <c r="P62" s="6" t="e">
        <f t="shared" si="2"/>
        <v>#VALUE!</v>
      </c>
      <c r="Q62" s="6" t="e">
        <f t="shared" si="3"/>
        <v>#VALUE!</v>
      </c>
      <c r="R62" s="6" t="e">
        <f t="shared" si="4"/>
        <v>#VALUE!</v>
      </c>
      <c r="S62" s="6" t="e">
        <f t="shared" si="5"/>
        <v>#VALUE!</v>
      </c>
      <c r="T62" s="6" t="e">
        <f t="shared" si="6"/>
        <v>#VALUE!</v>
      </c>
      <c r="U62" s="2" t="e">
        <f t="shared" si="7"/>
        <v>#VALUE!</v>
      </c>
    </row>
    <row r="63" spans="2:21" x14ac:dyDescent="0.3">
      <c r="B63"/>
      <c r="C63"/>
      <c r="D63"/>
      <c r="E63"/>
      <c r="F63"/>
      <c r="G63"/>
      <c r="H63"/>
      <c r="I63"/>
      <c r="J63"/>
      <c r="O63" s="2" t="e">
        <f t="shared" si="1"/>
        <v>#VALUE!</v>
      </c>
      <c r="P63" s="6" t="e">
        <f t="shared" si="2"/>
        <v>#VALUE!</v>
      </c>
      <c r="Q63" s="6" t="e">
        <f t="shared" si="3"/>
        <v>#VALUE!</v>
      </c>
      <c r="R63" s="6" t="e">
        <f t="shared" si="4"/>
        <v>#VALUE!</v>
      </c>
      <c r="S63" s="6" t="e">
        <f t="shared" si="5"/>
        <v>#VALUE!</v>
      </c>
      <c r="T63" s="6" t="e">
        <f t="shared" si="6"/>
        <v>#VALUE!</v>
      </c>
      <c r="U63" s="2" t="e">
        <f t="shared" si="7"/>
        <v>#VALUE!</v>
      </c>
    </row>
    <row r="64" spans="2:21" x14ac:dyDescent="0.3">
      <c r="B64"/>
      <c r="C64"/>
      <c r="D64"/>
      <c r="E64"/>
      <c r="F64"/>
      <c r="G64"/>
      <c r="H64"/>
      <c r="I64"/>
      <c r="J64"/>
      <c r="K64" s="7"/>
      <c r="L64" s="7"/>
      <c r="M64" s="7"/>
      <c r="O64" s="2" t="e">
        <f t="shared" si="1"/>
        <v>#VALUE!</v>
      </c>
      <c r="P64" s="6" t="e">
        <f t="shared" si="2"/>
        <v>#VALUE!</v>
      </c>
      <c r="Q64" s="6" t="e">
        <f t="shared" si="3"/>
        <v>#VALUE!</v>
      </c>
      <c r="R64" s="6" t="e">
        <f t="shared" si="4"/>
        <v>#VALUE!</v>
      </c>
      <c r="S64" s="6" t="e">
        <f t="shared" si="5"/>
        <v>#VALUE!</v>
      </c>
      <c r="T64" s="6" t="e">
        <f t="shared" si="6"/>
        <v>#VALUE!</v>
      </c>
      <c r="U64" s="2" t="e">
        <f t="shared" si="7"/>
        <v>#VALUE!</v>
      </c>
    </row>
    <row r="65" spans="2:21" x14ac:dyDescent="0.3">
      <c r="B65"/>
      <c r="C65"/>
      <c r="D65"/>
      <c r="E65"/>
      <c r="F65"/>
      <c r="G65"/>
      <c r="H65"/>
      <c r="I65"/>
      <c r="J65"/>
      <c r="O65" s="2" t="e">
        <f t="shared" ref="O65:O128" si="8">SUBSTITUTE(MID(A65,53,FIND("GBHS",A65)-54), ".", ",")</f>
        <v>#VALUE!</v>
      </c>
      <c r="P65" s="6" t="e">
        <f t="shared" ref="P65:P128" si="9">MID(O65,1,4)</f>
        <v>#VALUE!</v>
      </c>
      <c r="Q65" s="6" t="e">
        <f t="shared" ref="Q65:Q128" si="10">MID(O65,6,4)</f>
        <v>#VALUE!</v>
      </c>
      <c r="R65" s="6" t="e">
        <f t="shared" ref="R65:R128" si="11">MID(O65,11,4)</f>
        <v>#VALUE!</v>
      </c>
      <c r="S65" s="6" t="e">
        <f t="shared" ref="S65:S128" si="12">MID(O65,16,4)</f>
        <v>#VALUE!</v>
      </c>
      <c r="T65" s="6" t="e">
        <f t="shared" ref="T65:T128" si="13">MID(O65,21,4)</f>
        <v>#VALUE!</v>
      </c>
      <c r="U65" s="2" t="e">
        <f t="shared" ref="U65:U128" si="14">SUBSTITUTE(CONCATENATE("&lt;Parametros&gt;","&lt;Alfa&gt;",P65,"&lt;/Alfa&gt;","&lt;Beta&gt;",Q65,"&lt;/Beta&gt;","&lt;Gamma&gt;",R65,"&lt;/Gamma&gt;","&lt;Delta&gt;",S65,"&lt;/Delta&gt;","&lt;Ro&gt;",T65,"&lt;/Ro&gt;","&lt;/Parametros&gt;"),",",".")</f>
        <v>#VALUE!</v>
      </c>
    </row>
    <row r="66" spans="2:21" x14ac:dyDescent="0.3">
      <c r="B66"/>
      <c r="C66"/>
      <c r="D66"/>
      <c r="E66"/>
      <c r="F66"/>
      <c r="G66"/>
      <c r="H66"/>
      <c r="I66"/>
      <c r="J66"/>
      <c r="O66" s="2" t="e">
        <f t="shared" si="8"/>
        <v>#VALUE!</v>
      </c>
      <c r="P66" s="6" t="e">
        <f t="shared" si="9"/>
        <v>#VALUE!</v>
      </c>
      <c r="Q66" s="6" t="e">
        <f t="shared" si="10"/>
        <v>#VALUE!</v>
      </c>
      <c r="R66" s="6" t="e">
        <f t="shared" si="11"/>
        <v>#VALUE!</v>
      </c>
      <c r="S66" s="6" t="e">
        <f t="shared" si="12"/>
        <v>#VALUE!</v>
      </c>
      <c r="T66" s="6" t="e">
        <f t="shared" si="13"/>
        <v>#VALUE!</v>
      </c>
      <c r="U66" s="2" t="e">
        <f t="shared" si="14"/>
        <v>#VALUE!</v>
      </c>
    </row>
    <row r="67" spans="2:21" x14ac:dyDescent="0.3">
      <c r="B67"/>
      <c r="C67"/>
      <c r="D67"/>
      <c r="E67"/>
      <c r="F67"/>
      <c r="G67"/>
      <c r="H67"/>
      <c r="I67"/>
      <c r="J67"/>
      <c r="O67" s="2" t="e">
        <f t="shared" si="8"/>
        <v>#VALUE!</v>
      </c>
      <c r="P67" s="6" t="e">
        <f t="shared" si="9"/>
        <v>#VALUE!</v>
      </c>
      <c r="Q67" s="6" t="e">
        <f t="shared" si="10"/>
        <v>#VALUE!</v>
      </c>
      <c r="R67" s="6" t="e">
        <f t="shared" si="11"/>
        <v>#VALUE!</v>
      </c>
      <c r="S67" s="6" t="e">
        <f t="shared" si="12"/>
        <v>#VALUE!</v>
      </c>
      <c r="T67" s="6" t="e">
        <f t="shared" si="13"/>
        <v>#VALUE!</v>
      </c>
      <c r="U67" s="2" t="e">
        <f t="shared" si="14"/>
        <v>#VALUE!</v>
      </c>
    </row>
    <row r="68" spans="2:21" x14ac:dyDescent="0.3">
      <c r="B68"/>
      <c r="C68"/>
      <c r="D68"/>
      <c r="E68"/>
      <c r="F68"/>
      <c r="G68"/>
      <c r="H68"/>
      <c r="I68"/>
      <c r="J68"/>
      <c r="O68" s="2" t="e">
        <f t="shared" si="8"/>
        <v>#VALUE!</v>
      </c>
      <c r="P68" s="6" t="e">
        <f t="shared" si="9"/>
        <v>#VALUE!</v>
      </c>
      <c r="Q68" s="6" t="e">
        <f t="shared" si="10"/>
        <v>#VALUE!</v>
      </c>
      <c r="R68" s="6" t="e">
        <f t="shared" si="11"/>
        <v>#VALUE!</v>
      </c>
      <c r="S68" s="6" t="e">
        <f t="shared" si="12"/>
        <v>#VALUE!</v>
      </c>
      <c r="T68" s="6" t="e">
        <f t="shared" si="13"/>
        <v>#VALUE!</v>
      </c>
      <c r="U68" s="2" t="e">
        <f t="shared" si="14"/>
        <v>#VALUE!</v>
      </c>
    </row>
    <row r="69" spans="2:21" x14ac:dyDescent="0.3">
      <c r="B69"/>
      <c r="C69"/>
      <c r="D69"/>
      <c r="E69"/>
      <c r="F69"/>
      <c r="G69"/>
      <c r="H69"/>
      <c r="I69"/>
      <c r="J69"/>
      <c r="K69" s="7"/>
      <c r="L69" s="7"/>
      <c r="M69" s="7"/>
      <c r="O69" s="2" t="e">
        <f t="shared" si="8"/>
        <v>#VALUE!</v>
      </c>
      <c r="P69" s="6" t="e">
        <f t="shared" si="9"/>
        <v>#VALUE!</v>
      </c>
      <c r="Q69" s="6" t="e">
        <f t="shared" si="10"/>
        <v>#VALUE!</v>
      </c>
      <c r="R69" s="6" t="e">
        <f t="shared" si="11"/>
        <v>#VALUE!</v>
      </c>
      <c r="S69" s="6" t="e">
        <f t="shared" si="12"/>
        <v>#VALUE!</v>
      </c>
      <c r="T69" s="6" t="e">
        <f t="shared" si="13"/>
        <v>#VALUE!</v>
      </c>
      <c r="U69" s="2" t="e">
        <f t="shared" si="14"/>
        <v>#VALUE!</v>
      </c>
    </row>
    <row r="70" spans="2:21" x14ac:dyDescent="0.3">
      <c r="B70"/>
      <c r="C70"/>
      <c r="D70"/>
      <c r="E70"/>
      <c r="F70"/>
      <c r="G70"/>
      <c r="H70"/>
      <c r="I70"/>
      <c r="J70"/>
      <c r="O70" s="2" t="e">
        <f t="shared" si="8"/>
        <v>#VALUE!</v>
      </c>
      <c r="P70" s="6" t="e">
        <f t="shared" si="9"/>
        <v>#VALUE!</v>
      </c>
      <c r="Q70" s="6" t="e">
        <f t="shared" si="10"/>
        <v>#VALUE!</v>
      </c>
      <c r="R70" s="6" t="e">
        <f t="shared" si="11"/>
        <v>#VALUE!</v>
      </c>
      <c r="S70" s="6" t="e">
        <f t="shared" si="12"/>
        <v>#VALUE!</v>
      </c>
      <c r="T70" s="6" t="e">
        <f t="shared" si="13"/>
        <v>#VALUE!</v>
      </c>
      <c r="U70" s="2" t="e">
        <f t="shared" si="14"/>
        <v>#VALUE!</v>
      </c>
    </row>
    <row r="71" spans="2:21" x14ac:dyDescent="0.3">
      <c r="B71"/>
      <c r="C71"/>
      <c r="D71"/>
      <c r="E71"/>
      <c r="F71"/>
      <c r="G71"/>
      <c r="H71"/>
      <c r="I71"/>
      <c r="J71"/>
      <c r="K71" s="7"/>
      <c r="L71" s="7"/>
      <c r="M71" s="7"/>
      <c r="O71" s="2" t="e">
        <f t="shared" si="8"/>
        <v>#VALUE!</v>
      </c>
      <c r="P71" s="6" t="e">
        <f t="shared" si="9"/>
        <v>#VALUE!</v>
      </c>
      <c r="Q71" s="6" t="e">
        <f t="shared" si="10"/>
        <v>#VALUE!</v>
      </c>
      <c r="R71" s="6" t="e">
        <f t="shared" si="11"/>
        <v>#VALUE!</v>
      </c>
      <c r="S71" s="6" t="e">
        <f t="shared" si="12"/>
        <v>#VALUE!</v>
      </c>
      <c r="T71" s="6" t="e">
        <f t="shared" si="13"/>
        <v>#VALUE!</v>
      </c>
      <c r="U71" s="2" t="e">
        <f t="shared" si="14"/>
        <v>#VALUE!</v>
      </c>
    </row>
    <row r="72" spans="2:21" x14ac:dyDescent="0.3">
      <c r="B72"/>
      <c r="C72"/>
      <c r="D72"/>
      <c r="E72"/>
      <c r="F72"/>
      <c r="G72"/>
      <c r="H72"/>
      <c r="I72"/>
      <c r="J72"/>
      <c r="O72" s="2" t="e">
        <f t="shared" si="8"/>
        <v>#VALUE!</v>
      </c>
      <c r="P72" s="6" t="e">
        <f t="shared" si="9"/>
        <v>#VALUE!</v>
      </c>
      <c r="Q72" s="6" t="e">
        <f t="shared" si="10"/>
        <v>#VALUE!</v>
      </c>
      <c r="R72" s="6" t="e">
        <f t="shared" si="11"/>
        <v>#VALUE!</v>
      </c>
      <c r="S72" s="6" t="e">
        <f t="shared" si="12"/>
        <v>#VALUE!</v>
      </c>
      <c r="T72" s="6" t="e">
        <f t="shared" si="13"/>
        <v>#VALUE!</v>
      </c>
      <c r="U72" s="2" t="e">
        <f t="shared" si="14"/>
        <v>#VALUE!</v>
      </c>
    </row>
    <row r="73" spans="2:21" x14ac:dyDescent="0.3">
      <c r="B73"/>
      <c r="C73"/>
      <c r="D73"/>
      <c r="E73"/>
      <c r="F73"/>
      <c r="G73"/>
      <c r="H73"/>
      <c r="I73"/>
      <c r="J73"/>
      <c r="O73" s="2" t="e">
        <f t="shared" si="8"/>
        <v>#VALUE!</v>
      </c>
      <c r="P73" s="6" t="e">
        <f t="shared" si="9"/>
        <v>#VALUE!</v>
      </c>
      <c r="Q73" s="6" t="e">
        <f t="shared" si="10"/>
        <v>#VALUE!</v>
      </c>
      <c r="R73" s="6" t="e">
        <f t="shared" si="11"/>
        <v>#VALUE!</v>
      </c>
      <c r="S73" s="6" t="e">
        <f t="shared" si="12"/>
        <v>#VALUE!</v>
      </c>
      <c r="T73" s="6" t="e">
        <f t="shared" si="13"/>
        <v>#VALUE!</v>
      </c>
      <c r="U73" s="2" t="e">
        <f t="shared" si="14"/>
        <v>#VALUE!</v>
      </c>
    </row>
    <row r="74" spans="2:21" x14ac:dyDescent="0.3">
      <c r="B74"/>
      <c r="C74"/>
      <c r="D74"/>
      <c r="E74"/>
      <c r="F74"/>
      <c r="G74"/>
      <c r="H74"/>
      <c r="I74"/>
      <c r="J74"/>
      <c r="O74" s="2" t="e">
        <f t="shared" si="8"/>
        <v>#VALUE!</v>
      </c>
      <c r="P74" s="6" t="e">
        <f t="shared" si="9"/>
        <v>#VALUE!</v>
      </c>
      <c r="Q74" s="6" t="e">
        <f t="shared" si="10"/>
        <v>#VALUE!</v>
      </c>
      <c r="R74" s="6" t="e">
        <f t="shared" si="11"/>
        <v>#VALUE!</v>
      </c>
      <c r="S74" s="6" t="e">
        <f t="shared" si="12"/>
        <v>#VALUE!</v>
      </c>
      <c r="T74" s="6" t="e">
        <f t="shared" si="13"/>
        <v>#VALUE!</v>
      </c>
      <c r="U74" s="2" t="e">
        <f t="shared" si="14"/>
        <v>#VALUE!</v>
      </c>
    </row>
    <row r="75" spans="2:21" x14ac:dyDescent="0.3">
      <c r="B75"/>
      <c r="C75"/>
      <c r="D75"/>
      <c r="E75"/>
      <c r="F75"/>
      <c r="G75"/>
      <c r="H75"/>
      <c r="I75"/>
      <c r="J75"/>
      <c r="K75" s="7"/>
      <c r="L75" s="7"/>
      <c r="M75" s="7"/>
      <c r="O75" s="2" t="e">
        <f t="shared" si="8"/>
        <v>#VALUE!</v>
      </c>
      <c r="P75" s="6" t="e">
        <f t="shared" si="9"/>
        <v>#VALUE!</v>
      </c>
      <c r="Q75" s="6" t="e">
        <f t="shared" si="10"/>
        <v>#VALUE!</v>
      </c>
      <c r="R75" s="6" t="e">
        <f t="shared" si="11"/>
        <v>#VALUE!</v>
      </c>
      <c r="S75" s="6" t="e">
        <f t="shared" si="12"/>
        <v>#VALUE!</v>
      </c>
      <c r="T75" s="6" t="e">
        <f t="shared" si="13"/>
        <v>#VALUE!</v>
      </c>
      <c r="U75" s="2" t="e">
        <f t="shared" si="14"/>
        <v>#VALUE!</v>
      </c>
    </row>
    <row r="76" spans="2:21" x14ac:dyDescent="0.3">
      <c r="B76"/>
      <c r="C76"/>
      <c r="D76"/>
      <c r="E76"/>
      <c r="F76"/>
      <c r="G76"/>
      <c r="H76"/>
      <c r="I76"/>
      <c r="J76"/>
      <c r="O76" s="2" t="e">
        <f t="shared" si="8"/>
        <v>#VALUE!</v>
      </c>
      <c r="P76" s="6" t="e">
        <f t="shared" si="9"/>
        <v>#VALUE!</v>
      </c>
      <c r="Q76" s="6" t="e">
        <f t="shared" si="10"/>
        <v>#VALUE!</v>
      </c>
      <c r="R76" s="6" t="e">
        <f t="shared" si="11"/>
        <v>#VALUE!</v>
      </c>
      <c r="S76" s="6" t="e">
        <f t="shared" si="12"/>
        <v>#VALUE!</v>
      </c>
      <c r="T76" s="6" t="e">
        <f t="shared" si="13"/>
        <v>#VALUE!</v>
      </c>
      <c r="U76" s="2" t="e">
        <f t="shared" si="14"/>
        <v>#VALUE!</v>
      </c>
    </row>
    <row r="77" spans="2:21" x14ac:dyDescent="0.3">
      <c r="B77"/>
      <c r="C77"/>
      <c r="D77"/>
      <c r="E77"/>
      <c r="F77"/>
      <c r="G77"/>
      <c r="H77"/>
      <c r="I77"/>
      <c r="J77"/>
      <c r="O77" s="2" t="e">
        <f t="shared" si="8"/>
        <v>#VALUE!</v>
      </c>
      <c r="P77" s="6" t="e">
        <f t="shared" si="9"/>
        <v>#VALUE!</v>
      </c>
      <c r="Q77" s="6" t="e">
        <f t="shared" si="10"/>
        <v>#VALUE!</v>
      </c>
      <c r="R77" s="6" t="e">
        <f t="shared" si="11"/>
        <v>#VALUE!</v>
      </c>
      <c r="S77" s="6" t="e">
        <f t="shared" si="12"/>
        <v>#VALUE!</v>
      </c>
      <c r="T77" s="6" t="e">
        <f t="shared" si="13"/>
        <v>#VALUE!</v>
      </c>
      <c r="U77" s="2" t="e">
        <f t="shared" si="14"/>
        <v>#VALUE!</v>
      </c>
    </row>
    <row r="78" spans="2:21" x14ac:dyDescent="0.3">
      <c r="B78"/>
      <c r="C78"/>
      <c r="D78"/>
      <c r="E78"/>
      <c r="F78"/>
      <c r="G78"/>
      <c r="H78"/>
      <c r="I78"/>
      <c r="J78"/>
      <c r="O78" s="2" t="e">
        <f t="shared" si="8"/>
        <v>#VALUE!</v>
      </c>
      <c r="P78" s="6" t="e">
        <f t="shared" si="9"/>
        <v>#VALUE!</v>
      </c>
      <c r="Q78" s="6" t="e">
        <f t="shared" si="10"/>
        <v>#VALUE!</v>
      </c>
      <c r="R78" s="6" t="e">
        <f t="shared" si="11"/>
        <v>#VALUE!</v>
      </c>
      <c r="S78" s="6" t="e">
        <f t="shared" si="12"/>
        <v>#VALUE!</v>
      </c>
      <c r="T78" s="6" t="e">
        <f t="shared" si="13"/>
        <v>#VALUE!</v>
      </c>
      <c r="U78" s="2" t="e">
        <f t="shared" si="14"/>
        <v>#VALUE!</v>
      </c>
    </row>
    <row r="79" spans="2:21" x14ac:dyDescent="0.3">
      <c r="B79"/>
      <c r="C79"/>
      <c r="D79"/>
      <c r="E79"/>
      <c r="F79"/>
      <c r="G79"/>
      <c r="H79"/>
      <c r="I79"/>
      <c r="J79"/>
      <c r="O79" s="2" t="e">
        <f t="shared" si="8"/>
        <v>#VALUE!</v>
      </c>
      <c r="P79" s="6" t="e">
        <f t="shared" si="9"/>
        <v>#VALUE!</v>
      </c>
      <c r="Q79" s="6" t="e">
        <f t="shared" si="10"/>
        <v>#VALUE!</v>
      </c>
      <c r="R79" s="6" t="e">
        <f t="shared" si="11"/>
        <v>#VALUE!</v>
      </c>
      <c r="S79" s="6" t="e">
        <f t="shared" si="12"/>
        <v>#VALUE!</v>
      </c>
      <c r="T79" s="6" t="e">
        <f t="shared" si="13"/>
        <v>#VALUE!</v>
      </c>
      <c r="U79" s="2" t="e">
        <f t="shared" si="14"/>
        <v>#VALUE!</v>
      </c>
    </row>
    <row r="80" spans="2:21" x14ac:dyDescent="0.3">
      <c r="B80"/>
      <c r="C80"/>
      <c r="D80"/>
      <c r="E80"/>
      <c r="F80"/>
      <c r="G80"/>
      <c r="H80"/>
      <c r="I80"/>
      <c r="J80"/>
      <c r="O80" s="2" t="e">
        <f t="shared" si="8"/>
        <v>#VALUE!</v>
      </c>
      <c r="P80" s="6" t="e">
        <f t="shared" si="9"/>
        <v>#VALUE!</v>
      </c>
      <c r="Q80" s="6" t="e">
        <f t="shared" si="10"/>
        <v>#VALUE!</v>
      </c>
      <c r="R80" s="6" t="e">
        <f t="shared" si="11"/>
        <v>#VALUE!</v>
      </c>
      <c r="S80" s="6" t="e">
        <f t="shared" si="12"/>
        <v>#VALUE!</v>
      </c>
      <c r="T80" s="6" t="e">
        <f t="shared" si="13"/>
        <v>#VALUE!</v>
      </c>
      <c r="U80" s="2" t="e">
        <f t="shared" si="14"/>
        <v>#VALUE!</v>
      </c>
    </row>
    <row r="81" spans="2:21" x14ac:dyDescent="0.3">
      <c r="B81"/>
      <c r="C81"/>
      <c r="D81"/>
      <c r="E81"/>
      <c r="F81"/>
      <c r="G81"/>
      <c r="H81"/>
      <c r="I81"/>
      <c r="J81"/>
      <c r="O81" s="2" t="e">
        <f t="shared" si="8"/>
        <v>#VALUE!</v>
      </c>
      <c r="P81" s="6" t="e">
        <f t="shared" si="9"/>
        <v>#VALUE!</v>
      </c>
      <c r="Q81" s="6" t="e">
        <f t="shared" si="10"/>
        <v>#VALUE!</v>
      </c>
      <c r="R81" s="6" t="e">
        <f t="shared" si="11"/>
        <v>#VALUE!</v>
      </c>
      <c r="S81" s="6" t="e">
        <f t="shared" si="12"/>
        <v>#VALUE!</v>
      </c>
      <c r="T81" s="6" t="e">
        <f t="shared" si="13"/>
        <v>#VALUE!</v>
      </c>
      <c r="U81" s="2" t="e">
        <f t="shared" si="14"/>
        <v>#VALUE!</v>
      </c>
    </row>
    <row r="82" spans="2:21" x14ac:dyDescent="0.3">
      <c r="B82"/>
      <c r="C82"/>
      <c r="D82"/>
      <c r="E82"/>
      <c r="F82"/>
      <c r="G82"/>
      <c r="H82"/>
      <c r="I82"/>
      <c r="J82"/>
      <c r="O82" s="2" t="e">
        <f t="shared" si="8"/>
        <v>#VALUE!</v>
      </c>
      <c r="P82" s="6" t="e">
        <f t="shared" si="9"/>
        <v>#VALUE!</v>
      </c>
      <c r="Q82" s="6" t="e">
        <f t="shared" si="10"/>
        <v>#VALUE!</v>
      </c>
      <c r="R82" s="6" t="e">
        <f t="shared" si="11"/>
        <v>#VALUE!</v>
      </c>
      <c r="S82" s="6" t="e">
        <f t="shared" si="12"/>
        <v>#VALUE!</v>
      </c>
      <c r="T82" s="6" t="e">
        <f t="shared" si="13"/>
        <v>#VALUE!</v>
      </c>
      <c r="U82" s="2" t="e">
        <f t="shared" si="14"/>
        <v>#VALUE!</v>
      </c>
    </row>
    <row r="83" spans="2:21" x14ac:dyDescent="0.3">
      <c r="B83"/>
      <c r="C83"/>
      <c r="D83"/>
      <c r="E83"/>
      <c r="F83"/>
      <c r="G83"/>
      <c r="H83"/>
      <c r="I83"/>
      <c r="J83"/>
      <c r="O83" s="2" t="e">
        <f t="shared" si="8"/>
        <v>#VALUE!</v>
      </c>
      <c r="P83" s="6" t="e">
        <f t="shared" si="9"/>
        <v>#VALUE!</v>
      </c>
      <c r="Q83" s="6" t="e">
        <f t="shared" si="10"/>
        <v>#VALUE!</v>
      </c>
      <c r="R83" s="6" t="e">
        <f t="shared" si="11"/>
        <v>#VALUE!</v>
      </c>
      <c r="S83" s="6" t="e">
        <f t="shared" si="12"/>
        <v>#VALUE!</v>
      </c>
      <c r="T83" s="6" t="e">
        <f t="shared" si="13"/>
        <v>#VALUE!</v>
      </c>
      <c r="U83" s="2" t="e">
        <f t="shared" si="14"/>
        <v>#VALUE!</v>
      </c>
    </row>
    <row r="84" spans="2:21" x14ac:dyDescent="0.3">
      <c r="B84"/>
      <c r="C84"/>
      <c r="D84"/>
      <c r="E84"/>
      <c r="F84"/>
      <c r="G84"/>
      <c r="H84"/>
      <c r="I84"/>
      <c r="J84"/>
      <c r="K84" s="7"/>
      <c r="L84" s="7"/>
      <c r="M84" s="7"/>
      <c r="O84" s="2" t="e">
        <f t="shared" si="8"/>
        <v>#VALUE!</v>
      </c>
      <c r="P84" s="6" t="e">
        <f t="shared" si="9"/>
        <v>#VALUE!</v>
      </c>
      <c r="Q84" s="6" t="e">
        <f t="shared" si="10"/>
        <v>#VALUE!</v>
      </c>
      <c r="R84" s="6" t="e">
        <f t="shared" si="11"/>
        <v>#VALUE!</v>
      </c>
      <c r="S84" s="6" t="e">
        <f t="shared" si="12"/>
        <v>#VALUE!</v>
      </c>
      <c r="T84" s="6" t="e">
        <f t="shared" si="13"/>
        <v>#VALUE!</v>
      </c>
      <c r="U84" s="2" t="e">
        <f t="shared" si="14"/>
        <v>#VALUE!</v>
      </c>
    </row>
    <row r="85" spans="2:21" x14ac:dyDescent="0.3">
      <c r="B85"/>
      <c r="C85"/>
      <c r="D85"/>
      <c r="E85"/>
      <c r="F85"/>
      <c r="G85"/>
      <c r="H85"/>
      <c r="I85"/>
      <c r="J85"/>
      <c r="O85" s="2" t="e">
        <f t="shared" si="8"/>
        <v>#VALUE!</v>
      </c>
      <c r="P85" s="6" t="e">
        <f t="shared" si="9"/>
        <v>#VALUE!</v>
      </c>
      <c r="Q85" s="6" t="e">
        <f t="shared" si="10"/>
        <v>#VALUE!</v>
      </c>
      <c r="R85" s="6" t="e">
        <f t="shared" si="11"/>
        <v>#VALUE!</v>
      </c>
      <c r="S85" s="6" t="e">
        <f t="shared" si="12"/>
        <v>#VALUE!</v>
      </c>
      <c r="T85" s="6" t="e">
        <f t="shared" si="13"/>
        <v>#VALUE!</v>
      </c>
      <c r="U85" s="2" t="e">
        <f t="shared" si="14"/>
        <v>#VALUE!</v>
      </c>
    </row>
    <row r="86" spans="2:21" x14ac:dyDescent="0.3">
      <c r="B86"/>
      <c r="C86"/>
      <c r="D86"/>
      <c r="E86"/>
      <c r="F86"/>
      <c r="G86"/>
      <c r="H86"/>
      <c r="I86"/>
      <c r="J86"/>
      <c r="O86" s="2" t="e">
        <f t="shared" si="8"/>
        <v>#VALUE!</v>
      </c>
      <c r="P86" s="6" t="e">
        <f t="shared" si="9"/>
        <v>#VALUE!</v>
      </c>
      <c r="Q86" s="6" t="e">
        <f t="shared" si="10"/>
        <v>#VALUE!</v>
      </c>
      <c r="R86" s="6" t="e">
        <f t="shared" si="11"/>
        <v>#VALUE!</v>
      </c>
      <c r="S86" s="6" t="e">
        <f t="shared" si="12"/>
        <v>#VALUE!</v>
      </c>
      <c r="T86" s="6" t="e">
        <f t="shared" si="13"/>
        <v>#VALUE!</v>
      </c>
      <c r="U86" s="2" t="e">
        <f t="shared" si="14"/>
        <v>#VALUE!</v>
      </c>
    </row>
    <row r="87" spans="2:21" x14ac:dyDescent="0.3">
      <c r="B87"/>
      <c r="C87"/>
      <c r="D87"/>
      <c r="E87"/>
      <c r="F87"/>
      <c r="G87"/>
      <c r="H87"/>
      <c r="I87"/>
      <c r="J87"/>
      <c r="O87" s="2" t="e">
        <f t="shared" si="8"/>
        <v>#VALUE!</v>
      </c>
      <c r="P87" s="6" t="e">
        <f t="shared" si="9"/>
        <v>#VALUE!</v>
      </c>
      <c r="Q87" s="6" t="e">
        <f t="shared" si="10"/>
        <v>#VALUE!</v>
      </c>
      <c r="R87" s="6" t="e">
        <f t="shared" si="11"/>
        <v>#VALUE!</v>
      </c>
      <c r="S87" s="6" t="e">
        <f t="shared" si="12"/>
        <v>#VALUE!</v>
      </c>
      <c r="T87" s="6" t="e">
        <f t="shared" si="13"/>
        <v>#VALUE!</v>
      </c>
      <c r="U87" s="2" t="e">
        <f t="shared" si="14"/>
        <v>#VALUE!</v>
      </c>
    </row>
    <row r="88" spans="2:21" x14ac:dyDescent="0.3">
      <c r="B88"/>
      <c r="C88"/>
      <c r="D88"/>
      <c r="E88"/>
      <c r="F88"/>
      <c r="G88"/>
      <c r="H88"/>
      <c r="I88"/>
      <c r="J88"/>
      <c r="O88" s="2" t="e">
        <f t="shared" si="8"/>
        <v>#VALUE!</v>
      </c>
      <c r="P88" s="6" t="e">
        <f t="shared" si="9"/>
        <v>#VALUE!</v>
      </c>
      <c r="Q88" s="6" t="e">
        <f t="shared" si="10"/>
        <v>#VALUE!</v>
      </c>
      <c r="R88" s="6" t="e">
        <f t="shared" si="11"/>
        <v>#VALUE!</v>
      </c>
      <c r="S88" s="6" t="e">
        <f t="shared" si="12"/>
        <v>#VALUE!</v>
      </c>
      <c r="T88" s="6" t="e">
        <f t="shared" si="13"/>
        <v>#VALUE!</v>
      </c>
      <c r="U88" s="2" t="e">
        <f t="shared" si="14"/>
        <v>#VALUE!</v>
      </c>
    </row>
    <row r="89" spans="2:21" x14ac:dyDescent="0.3">
      <c r="B89"/>
      <c r="C89"/>
      <c r="D89"/>
      <c r="E89"/>
      <c r="F89"/>
      <c r="G89"/>
      <c r="H89"/>
      <c r="I89"/>
      <c r="J89"/>
      <c r="K89" s="1"/>
      <c r="L89" s="1"/>
      <c r="M89" s="1"/>
      <c r="O89" s="2" t="e">
        <f t="shared" si="8"/>
        <v>#VALUE!</v>
      </c>
      <c r="P89" s="6" t="e">
        <f t="shared" si="9"/>
        <v>#VALUE!</v>
      </c>
      <c r="Q89" s="6" t="e">
        <f t="shared" si="10"/>
        <v>#VALUE!</v>
      </c>
      <c r="R89" s="6" t="e">
        <f t="shared" si="11"/>
        <v>#VALUE!</v>
      </c>
      <c r="S89" s="6" t="e">
        <f t="shared" si="12"/>
        <v>#VALUE!</v>
      </c>
      <c r="T89" s="6" t="e">
        <f t="shared" si="13"/>
        <v>#VALUE!</v>
      </c>
      <c r="U89" s="2" t="e">
        <f t="shared" si="14"/>
        <v>#VALUE!</v>
      </c>
    </row>
    <row r="90" spans="2:21" x14ac:dyDescent="0.3">
      <c r="B90"/>
      <c r="C90"/>
      <c r="D90"/>
      <c r="E90"/>
      <c r="F90"/>
      <c r="G90"/>
      <c r="H90"/>
      <c r="I90"/>
      <c r="J90"/>
      <c r="K90" s="1"/>
      <c r="L90" s="1"/>
      <c r="M90" s="1"/>
      <c r="O90" s="2" t="e">
        <f t="shared" si="8"/>
        <v>#VALUE!</v>
      </c>
      <c r="P90" s="6" t="e">
        <f t="shared" si="9"/>
        <v>#VALUE!</v>
      </c>
      <c r="Q90" s="6" t="e">
        <f t="shared" si="10"/>
        <v>#VALUE!</v>
      </c>
      <c r="R90" s="6" t="e">
        <f t="shared" si="11"/>
        <v>#VALUE!</v>
      </c>
      <c r="S90" s="6" t="e">
        <f t="shared" si="12"/>
        <v>#VALUE!</v>
      </c>
      <c r="T90" s="6" t="e">
        <f t="shared" si="13"/>
        <v>#VALUE!</v>
      </c>
      <c r="U90" s="2" t="e">
        <f t="shared" si="14"/>
        <v>#VALUE!</v>
      </c>
    </row>
    <row r="91" spans="2:21" x14ac:dyDescent="0.3">
      <c r="B91"/>
      <c r="C91"/>
      <c r="D91"/>
      <c r="E91"/>
      <c r="F91"/>
      <c r="G91"/>
      <c r="H91"/>
      <c r="I91"/>
      <c r="J91"/>
      <c r="O91" s="2" t="e">
        <f t="shared" si="8"/>
        <v>#VALUE!</v>
      </c>
      <c r="P91" s="6" t="e">
        <f t="shared" si="9"/>
        <v>#VALUE!</v>
      </c>
      <c r="Q91" s="6" t="e">
        <f t="shared" si="10"/>
        <v>#VALUE!</v>
      </c>
      <c r="R91" s="6" t="e">
        <f t="shared" si="11"/>
        <v>#VALUE!</v>
      </c>
      <c r="S91" s="6" t="e">
        <f t="shared" si="12"/>
        <v>#VALUE!</v>
      </c>
      <c r="T91" s="6" t="e">
        <f t="shared" si="13"/>
        <v>#VALUE!</v>
      </c>
      <c r="U91" s="2" t="e">
        <f t="shared" si="14"/>
        <v>#VALUE!</v>
      </c>
    </row>
    <row r="92" spans="2:21" x14ac:dyDescent="0.3">
      <c r="B92"/>
      <c r="C92"/>
      <c r="D92"/>
      <c r="E92"/>
      <c r="F92"/>
      <c r="G92"/>
      <c r="H92"/>
      <c r="I92"/>
      <c r="J92"/>
      <c r="O92" s="2" t="e">
        <f t="shared" si="8"/>
        <v>#VALUE!</v>
      </c>
      <c r="P92" s="6" t="e">
        <f t="shared" si="9"/>
        <v>#VALUE!</v>
      </c>
      <c r="Q92" s="6" t="e">
        <f t="shared" si="10"/>
        <v>#VALUE!</v>
      </c>
      <c r="R92" s="6" t="e">
        <f t="shared" si="11"/>
        <v>#VALUE!</v>
      </c>
      <c r="S92" s="6" t="e">
        <f t="shared" si="12"/>
        <v>#VALUE!</v>
      </c>
      <c r="T92" s="6" t="e">
        <f t="shared" si="13"/>
        <v>#VALUE!</v>
      </c>
      <c r="U92" s="2" t="e">
        <f t="shared" si="14"/>
        <v>#VALUE!</v>
      </c>
    </row>
    <row r="93" spans="2:21" x14ac:dyDescent="0.3">
      <c r="B93"/>
      <c r="C93"/>
      <c r="D93"/>
      <c r="E93"/>
      <c r="F93"/>
      <c r="G93"/>
      <c r="H93"/>
      <c r="I93"/>
      <c r="J93"/>
      <c r="O93" s="2" t="e">
        <f t="shared" si="8"/>
        <v>#VALUE!</v>
      </c>
      <c r="P93" s="6" t="e">
        <f t="shared" si="9"/>
        <v>#VALUE!</v>
      </c>
      <c r="Q93" s="6" t="e">
        <f t="shared" si="10"/>
        <v>#VALUE!</v>
      </c>
      <c r="R93" s="6" t="e">
        <f t="shared" si="11"/>
        <v>#VALUE!</v>
      </c>
      <c r="S93" s="6" t="e">
        <f t="shared" si="12"/>
        <v>#VALUE!</v>
      </c>
      <c r="T93" s="6" t="e">
        <f t="shared" si="13"/>
        <v>#VALUE!</v>
      </c>
      <c r="U93" s="2" t="e">
        <f t="shared" si="14"/>
        <v>#VALUE!</v>
      </c>
    </row>
    <row r="94" spans="2:21" x14ac:dyDescent="0.3">
      <c r="B94"/>
      <c r="C94"/>
      <c r="D94"/>
      <c r="E94"/>
      <c r="F94"/>
      <c r="G94"/>
      <c r="H94"/>
      <c r="I94"/>
      <c r="J94"/>
      <c r="O94" s="2" t="e">
        <f t="shared" si="8"/>
        <v>#VALUE!</v>
      </c>
      <c r="P94" s="6" t="e">
        <f t="shared" si="9"/>
        <v>#VALUE!</v>
      </c>
      <c r="Q94" s="6" t="e">
        <f t="shared" si="10"/>
        <v>#VALUE!</v>
      </c>
      <c r="R94" s="6" t="e">
        <f t="shared" si="11"/>
        <v>#VALUE!</v>
      </c>
      <c r="S94" s="6" t="e">
        <f t="shared" si="12"/>
        <v>#VALUE!</v>
      </c>
      <c r="T94" s="6" t="e">
        <f t="shared" si="13"/>
        <v>#VALUE!</v>
      </c>
      <c r="U94" s="2" t="e">
        <f t="shared" si="14"/>
        <v>#VALUE!</v>
      </c>
    </row>
    <row r="95" spans="2:21" x14ac:dyDescent="0.3">
      <c r="B95"/>
      <c r="C95"/>
      <c r="D95"/>
      <c r="E95"/>
      <c r="F95"/>
      <c r="G95"/>
      <c r="H95"/>
      <c r="I95"/>
      <c r="J95"/>
      <c r="O95" s="2" t="e">
        <f t="shared" si="8"/>
        <v>#VALUE!</v>
      </c>
      <c r="P95" s="6" t="e">
        <f t="shared" si="9"/>
        <v>#VALUE!</v>
      </c>
      <c r="Q95" s="6" t="e">
        <f t="shared" si="10"/>
        <v>#VALUE!</v>
      </c>
      <c r="R95" s="6" t="e">
        <f t="shared" si="11"/>
        <v>#VALUE!</v>
      </c>
      <c r="S95" s="6" t="e">
        <f t="shared" si="12"/>
        <v>#VALUE!</v>
      </c>
      <c r="T95" s="6" t="e">
        <f t="shared" si="13"/>
        <v>#VALUE!</v>
      </c>
      <c r="U95" s="2" t="e">
        <f t="shared" si="14"/>
        <v>#VALUE!</v>
      </c>
    </row>
    <row r="96" spans="2:21" x14ac:dyDescent="0.3">
      <c r="B96"/>
      <c r="C96"/>
      <c r="D96"/>
      <c r="E96"/>
      <c r="F96"/>
      <c r="G96"/>
      <c r="H96"/>
      <c r="I96"/>
      <c r="J96"/>
      <c r="O96" s="2" t="e">
        <f t="shared" si="8"/>
        <v>#VALUE!</v>
      </c>
      <c r="P96" s="6" t="e">
        <f t="shared" si="9"/>
        <v>#VALUE!</v>
      </c>
      <c r="Q96" s="6" t="e">
        <f t="shared" si="10"/>
        <v>#VALUE!</v>
      </c>
      <c r="R96" s="6" t="e">
        <f t="shared" si="11"/>
        <v>#VALUE!</v>
      </c>
      <c r="S96" s="6" t="e">
        <f t="shared" si="12"/>
        <v>#VALUE!</v>
      </c>
      <c r="T96" s="6" t="e">
        <f t="shared" si="13"/>
        <v>#VALUE!</v>
      </c>
      <c r="U96" s="2" t="e">
        <f t="shared" si="14"/>
        <v>#VALUE!</v>
      </c>
    </row>
    <row r="97" spans="2:21" x14ac:dyDescent="0.3">
      <c r="B97"/>
      <c r="C97"/>
      <c r="D97"/>
      <c r="E97"/>
      <c r="F97"/>
      <c r="G97"/>
      <c r="H97"/>
      <c r="I97"/>
      <c r="J97"/>
      <c r="K97" s="7"/>
      <c r="L97" s="7"/>
      <c r="M97" s="7"/>
      <c r="O97" s="2" t="e">
        <f t="shared" si="8"/>
        <v>#VALUE!</v>
      </c>
      <c r="P97" s="6" t="e">
        <f t="shared" si="9"/>
        <v>#VALUE!</v>
      </c>
      <c r="Q97" s="6" t="e">
        <f t="shared" si="10"/>
        <v>#VALUE!</v>
      </c>
      <c r="R97" s="6" t="e">
        <f t="shared" si="11"/>
        <v>#VALUE!</v>
      </c>
      <c r="S97" s="6" t="e">
        <f t="shared" si="12"/>
        <v>#VALUE!</v>
      </c>
      <c r="T97" s="6" t="e">
        <f t="shared" si="13"/>
        <v>#VALUE!</v>
      </c>
      <c r="U97" s="2" t="e">
        <f t="shared" si="14"/>
        <v>#VALUE!</v>
      </c>
    </row>
    <row r="98" spans="2:21" x14ac:dyDescent="0.3">
      <c r="B98"/>
      <c r="C98"/>
      <c r="D98"/>
      <c r="E98"/>
      <c r="F98"/>
      <c r="G98"/>
      <c r="H98"/>
      <c r="I98"/>
      <c r="J98"/>
      <c r="K98" s="1"/>
      <c r="L98" s="1"/>
      <c r="M98" s="1"/>
      <c r="O98" s="2" t="e">
        <f t="shared" si="8"/>
        <v>#VALUE!</v>
      </c>
      <c r="P98" s="6" t="e">
        <f t="shared" si="9"/>
        <v>#VALUE!</v>
      </c>
      <c r="Q98" s="6" t="e">
        <f t="shared" si="10"/>
        <v>#VALUE!</v>
      </c>
      <c r="R98" s="6" t="e">
        <f t="shared" si="11"/>
        <v>#VALUE!</v>
      </c>
      <c r="S98" s="6" t="e">
        <f t="shared" si="12"/>
        <v>#VALUE!</v>
      </c>
      <c r="T98" s="6" t="e">
        <f t="shared" si="13"/>
        <v>#VALUE!</v>
      </c>
      <c r="U98" s="2" t="e">
        <f t="shared" si="14"/>
        <v>#VALUE!</v>
      </c>
    </row>
    <row r="99" spans="2:21" x14ac:dyDescent="0.3">
      <c r="B99"/>
      <c r="C99"/>
      <c r="D99"/>
      <c r="E99"/>
      <c r="F99"/>
      <c r="G99"/>
      <c r="H99"/>
      <c r="I99"/>
      <c r="J99"/>
      <c r="O99" s="2" t="e">
        <f t="shared" si="8"/>
        <v>#VALUE!</v>
      </c>
      <c r="P99" s="6" t="e">
        <f t="shared" si="9"/>
        <v>#VALUE!</v>
      </c>
      <c r="Q99" s="6" t="e">
        <f t="shared" si="10"/>
        <v>#VALUE!</v>
      </c>
      <c r="R99" s="6" t="e">
        <f t="shared" si="11"/>
        <v>#VALUE!</v>
      </c>
      <c r="S99" s="6" t="e">
        <f t="shared" si="12"/>
        <v>#VALUE!</v>
      </c>
      <c r="T99" s="6" t="e">
        <f t="shared" si="13"/>
        <v>#VALUE!</v>
      </c>
      <c r="U99" s="2" t="e">
        <f t="shared" si="14"/>
        <v>#VALUE!</v>
      </c>
    </row>
    <row r="100" spans="2:21" x14ac:dyDescent="0.3">
      <c r="B100"/>
      <c r="C100"/>
      <c r="D100"/>
      <c r="E100"/>
      <c r="F100"/>
      <c r="G100"/>
      <c r="H100"/>
      <c r="I100"/>
      <c r="J100"/>
      <c r="O100" s="2" t="e">
        <f t="shared" si="8"/>
        <v>#VALUE!</v>
      </c>
      <c r="P100" s="6" t="e">
        <f t="shared" si="9"/>
        <v>#VALUE!</v>
      </c>
      <c r="Q100" s="6" t="e">
        <f t="shared" si="10"/>
        <v>#VALUE!</v>
      </c>
      <c r="R100" s="6" t="e">
        <f t="shared" si="11"/>
        <v>#VALUE!</v>
      </c>
      <c r="S100" s="6" t="e">
        <f t="shared" si="12"/>
        <v>#VALUE!</v>
      </c>
      <c r="T100" s="6" t="e">
        <f t="shared" si="13"/>
        <v>#VALUE!</v>
      </c>
      <c r="U100" s="2" t="e">
        <f t="shared" si="14"/>
        <v>#VALUE!</v>
      </c>
    </row>
    <row r="101" spans="2:21" x14ac:dyDescent="0.3">
      <c r="B101"/>
      <c r="C101"/>
      <c r="D101"/>
      <c r="E101"/>
      <c r="F101"/>
      <c r="G101"/>
      <c r="H101"/>
      <c r="I101"/>
      <c r="J101"/>
      <c r="O101" s="2" t="e">
        <f t="shared" si="8"/>
        <v>#VALUE!</v>
      </c>
      <c r="P101" s="6" t="e">
        <f t="shared" si="9"/>
        <v>#VALUE!</v>
      </c>
      <c r="Q101" s="6" t="e">
        <f t="shared" si="10"/>
        <v>#VALUE!</v>
      </c>
      <c r="R101" s="6" t="e">
        <f t="shared" si="11"/>
        <v>#VALUE!</v>
      </c>
      <c r="S101" s="6" t="e">
        <f t="shared" si="12"/>
        <v>#VALUE!</v>
      </c>
      <c r="T101" s="6" t="e">
        <f t="shared" si="13"/>
        <v>#VALUE!</v>
      </c>
      <c r="U101" s="2" t="e">
        <f t="shared" si="14"/>
        <v>#VALUE!</v>
      </c>
    </row>
    <row r="102" spans="2:21" x14ac:dyDescent="0.3">
      <c r="B102"/>
      <c r="C102"/>
      <c r="D102"/>
      <c r="E102"/>
      <c r="F102"/>
      <c r="G102"/>
      <c r="H102"/>
      <c r="I102"/>
      <c r="J102"/>
      <c r="O102" s="2" t="e">
        <f t="shared" si="8"/>
        <v>#VALUE!</v>
      </c>
      <c r="P102" s="6" t="e">
        <f t="shared" si="9"/>
        <v>#VALUE!</v>
      </c>
      <c r="Q102" s="6" t="e">
        <f t="shared" si="10"/>
        <v>#VALUE!</v>
      </c>
      <c r="R102" s="6" t="e">
        <f t="shared" si="11"/>
        <v>#VALUE!</v>
      </c>
      <c r="S102" s="6" t="e">
        <f t="shared" si="12"/>
        <v>#VALUE!</v>
      </c>
      <c r="T102" s="6" t="e">
        <f t="shared" si="13"/>
        <v>#VALUE!</v>
      </c>
      <c r="U102" s="2" t="e">
        <f t="shared" si="14"/>
        <v>#VALUE!</v>
      </c>
    </row>
    <row r="103" spans="2:21" x14ac:dyDescent="0.3">
      <c r="B103"/>
      <c r="C103"/>
      <c r="D103"/>
      <c r="E103"/>
      <c r="F103"/>
      <c r="G103"/>
      <c r="H103"/>
      <c r="I103"/>
      <c r="J103"/>
      <c r="K103" s="7"/>
      <c r="L103" s="7"/>
      <c r="M103" s="7"/>
      <c r="O103" s="2" t="e">
        <f t="shared" si="8"/>
        <v>#VALUE!</v>
      </c>
      <c r="P103" s="6" t="e">
        <f t="shared" si="9"/>
        <v>#VALUE!</v>
      </c>
      <c r="Q103" s="6" t="e">
        <f t="shared" si="10"/>
        <v>#VALUE!</v>
      </c>
      <c r="R103" s="6" t="e">
        <f t="shared" si="11"/>
        <v>#VALUE!</v>
      </c>
      <c r="S103" s="6" t="e">
        <f t="shared" si="12"/>
        <v>#VALUE!</v>
      </c>
      <c r="T103" s="6" t="e">
        <f t="shared" si="13"/>
        <v>#VALUE!</v>
      </c>
      <c r="U103" s="2" t="e">
        <f t="shared" si="14"/>
        <v>#VALUE!</v>
      </c>
    </row>
    <row r="104" spans="2:21" x14ac:dyDescent="0.3">
      <c r="B104"/>
      <c r="C104"/>
      <c r="D104"/>
      <c r="E104"/>
      <c r="F104"/>
      <c r="G104"/>
      <c r="H104"/>
      <c r="I104"/>
      <c r="J104"/>
      <c r="O104" s="2" t="e">
        <f t="shared" si="8"/>
        <v>#VALUE!</v>
      </c>
      <c r="P104" s="6" t="e">
        <f t="shared" si="9"/>
        <v>#VALUE!</v>
      </c>
      <c r="Q104" s="6" t="e">
        <f t="shared" si="10"/>
        <v>#VALUE!</v>
      </c>
      <c r="R104" s="6" t="e">
        <f t="shared" si="11"/>
        <v>#VALUE!</v>
      </c>
      <c r="S104" s="6" t="e">
        <f t="shared" si="12"/>
        <v>#VALUE!</v>
      </c>
      <c r="T104" s="6" t="e">
        <f t="shared" si="13"/>
        <v>#VALUE!</v>
      </c>
      <c r="U104" s="2" t="e">
        <f t="shared" si="14"/>
        <v>#VALUE!</v>
      </c>
    </row>
    <row r="105" spans="2:21" x14ac:dyDescent="0.3">
      <c r="B105"/>
      <c r="C105"/>
      <c r="D105"/>
      <c r="E105"/>
      <c r="F105"/>
      <c r="G105"/>
      <c r="H105"/>
      <c r="I105"/>
      <c r="J105"/>
      <c r="O105" s="2" t="e">
        <f t="shared" si="8"/>
        <v>#VALUE!</v>
      </c>
      <c r="P105" s="6" t="e">
        <f t="shared" si="9"/>
        <v>#VALUE!</v>
      </c>
      <c r="Q105" s="6" t="e">
        <f t="shared" si="10"/>
        <v>#VALUE!</v>
      </c>
      <c r="R105" s="6" t="e">
        <f t="shared" si="11"/>
        <v>#VALUE!</v>
      </c>
      <c r="S105" s="6" t="e">
        <f t="shared" si="12"/>
        <v>#VALUE!</v>
      </c>
      <c r="T105" s="6" t="e">
        <f t="shared" si="13"/>
        <v>#VALUE!</v>
      </c>
      <c r="U105" s="2" t="e">
        <f t="shared" si="14"/>
        <v>#VALUE!</v>
      </c>
    </row>
    <row r="106" spans="2:21" x14ac:dyDescent="0.3">
      <c r="B106"/>
      <c r="C106"/>
      <c r="D106"/>
      <c r="E106"/>
      <c r="F106"/>
      <c r="G106"/>
      <c r="H106"/>
      <c r="I106"/>
      <c r="J106"/>
      <c r="K106" s="7"/>
      <c r="L106" s="7"/>
      <c r="M106" s="7"/>
      <c r="O106" s="2" t="e">
        <f t="shared" si="8"/>
        <v>#VALUE!</v>
      </c>
      <c r="P106" s="6" t="e">
        <f t="shared" si="9"/>
        <v>#VALUE!</v>
      </c>
      <c r="Q106" s="6" t="e">
        <f t="shared" si="10"/>
        <v>#VALUE!</v>
      </c>
      <c r="R106" s="6" t="e">
        <f t="shared" si="11"/>
        <v>#VALUE!</v>
      </c>
      <c r="S106" s="6" t="e">
        <f t="shared" si="12"/>
        <v>#VALUE!</v>
      </c>
      <c r="T106" s="6" t="e">
        <f t="shared" si="13"/>
        <v>#VALUE!</v>
      </c>
      <c r="U106" s="2" t="e">
        <f t="shared" si="14"/>
        <v>#VALUE!</v>
      </c>
    </row>
    <row r="107" spans="2:21" x14ac:dyDescent="0.3">
      <c r="B107"/>
      <c r="C107"/>
      <c r="D107"/>
      <c r="E107"/>
      <c r="F107"/>
      <c r="G107"/>
      <c r="H107"/>
      <c r="I107"/>
      <c r="J107"/>
      <c r="O107" s="2" t="e">
        <f t="shared" si="8"/>
        <v>#VALUE!</v>
      </c>
      <c r="P107" s="6" t="e">
        <f t="shared" si="9"/>
        <v>#VALUE!</v>
      </c>
      <c r="Q107" s="6" t="e">
        <f t="shared" si="10"/>
        <v>#VALUE!</v>
      </c>
      <c r="R107" s="6" t="e">
        <f t="shared" si="11"/>
        <v>#VALUE!</v>
      </c>
      <c r="S107" s="6" t="e">
        <f t="shared" si="12"/>
        <v>#VALUE!</v>
      </c>
      <c r="T107" s="6" t="e">
        <f t="shared" si="13"/>
        <v>#VALUE!</v>
      </c>
      <c r="U107" s="2" t="e">
        <f t="shared" si="14"/>
        <v>#VALUE!</v>
      </c>
    </row>
    <row r="108" spans="2:21" x14ac:dyDescent="0.3">
      <c r="B108"/>
      <c r="C108"/>
      <c r="D108"/>
      <c r="E108"/>
      <c r="F108"/>
      <c r="G108"/>
      <c r="H108"/>
      <c r="I108"/>
      <c r="J108"/>
      <c r="O108" s="2" t="e">
        <f t="shared" si="8"/>
        <v>#VALUE!</v>
      </c>
      <c r="P108" s="6" t="e">
        <f t="shared" si="9"/>
        <v>#VALUE!</v>
      </c>
      <c r="Q108" s="6" t="e">
        <f t="shared" si="10"/>
        <v>#VALUE!</v>
      </c>
      <c r="R108" s="6" t="e">
        <f t="shared" si="11"/>
        <v>#VALUE!</v>
      </c>
      <c r="S108" s="6" t="e">
        <f t="shared" si="12"/>
        <v>#VALUE!</v>
      </c>
      <c r="T108" s="6" t="e">
        <f t="shared" si="13"/>
        <v>#VALUE!</v>
      </c>
      <c r="U108" s="2" t="e">
        <f t="shared" si="14"/>
        <v>#VALUE!</v>
      </c>
    </row>
    <row r="109" spans="2:21" x14ac:dyDescent="0.3">
      <c r="B109"/>
      <c r="C109"/>
      <c r="D109"/>
      <c r="E109"/>
      <c r="F109"/>
      <c r="G109"/>
      <c r="H109"/>
      <c r="I109"/>
      <c r="J109"/>
      <c r="O109" s="2" t="e">
        <f t="shared" si="8"/>
        <v>#VALUE!</v>
      </c>
      <c r="P109" s="6" t="e">
        <f t="shared" si="9"/>
        <v>#VALUE!</v>
      </c>
      <c r="Q109" s="6" t="e">
        <f t="shared" si="10"/>
        <v>#VALUE!</v>
      </c>
      <c r="R109" s="6" t="e">
        <f t="shared" si="11"/>
        <v>#VALUE!</v>
      </c>
      <c r="S109" s="6" t="e">
        <f t="shared" si="12"/>
        <v>#VALUE!</v>
      </c>
      <c r="T109" s="6" t="e">
        <f t="shared" si="13"/>
        <v>#VALUE!</v>
      </c>
      <c r="U109" s="2" t="e">
        <f t="shared" si="14"/>
        <v>#VALUE!</v>
      </c>
    </row>
    <row r="110" spans="2:21" x14ac:dyDescent="0.3">
      <c r="B110"/>
      <c r="C110"/>
      <c r="D110"/>
      <c r="E110"/>
      <c r="F110"/>
      <c r="G110"/>
      <c r="H110"/>
      <c r="I110"/>
      <c r="J110"/>
      <c r="O110" s="2" t="e">
        <f t="shared" si="8"/>
        <v>#VALUE!</v>
      </c>
      <c r="P110" s="6" t="e">
        <f t="shared" si="9"/>
        <v>#VALUE!</v>
      </c>
      <c r="Q110" s="6" t="e">
        <f t="shared" si="10"/>
        <v>#VALUE!</v>
      </c>
      <c r="R110" s="6" t="e">
        <f t="shared" si="11"/>
        <v>#VALUE!</v>
      </c>
      <c r="S110" s="6" t="e">
        <f t="shared" si="12"/>
        <v>#VALUE!</v>
      </c>
      <c r="T110" s="6" t="e">
        <f t="shared" si="13"/>
        <v>#VALUE!</v>
      </c>
      <c r="U110" s="2" t="e">
        <f t="shared" si="14"/>
        <v>#VALUE!</v>
      </c>
    </row>
    <row r="111" spans="2:21" x14ac:dyDescent="0.3">
      <c r="B111"/>
      <c r="C111"/>
      <c r="D111"/>
      <c r="E111"/>
      <c r="F111"/>
      <c r="G111"/>
      <c r="H111"/>
      <c r="I111"/>
      <c r="J111"/>
      <c r="O111" s="2" t="e">
        <f t="shared" si="8"/>
        <v>#VALUE!</v>
      </c>
      <c r="P111" s="6" t="e">
        <f t="shared" si="9"/>
        <v>#VALUE!</v>
      </c>
      <c r="Q111" s="6" t="e">
        <f t="shared" si="10"/>
        <v>#VALUE!</v>
      </c>
      <c r="R111" s="6" t="e">
        <f t="shared" si="11"/>
        <v>#VALUE!</v>
      </c>
      <c r="S111" s="6" t="e">
        <f t="shared" si="12"/>
        <v>#VALUE!</v>
      </c>
      <c r="T111" s="6" t="e">
        <f t="shared" si="13"/>
        <v>#VALUE!</v>
      </c>
      <c r="U111" s="2" t="e">
        <f t="shared" si="14"/>
        <v>#VALUE!</v>
      </c>
    </row>
    <row r="112" spans="2:21" x14ac:dyDescent="0.3">
      <c r="B112"/>
      <c r="C112"/>
      <c r="D112"/>
      <c r="E112"/>
      <c r="F112"/>
      <c r="G112"/>
      <c r="H112"/>
      <c r="I112"/>
      <c r="J112"/>
      <c r="O112" s="2" t="e">
        <f t="shared" si="8"/>
        <v>#VALUE!</v>
      </c>
      <c r="P112" s="6" t="e">
        <f t="shared" si="9"/>
        <v>#VALUE!</v>
      </c>
      <c r="Q112" s="6" t="e">
        <f t="shared" si="10"/>
        <v>#VALUE!</v>
      </c>
      <c r="R112" s="6" t="e">
        <f t="shared" si="11"/>
        <v>#VALUE!</v>
      </c>
      <c r="S112" s="6" t="e">
        <f t="shared" si="12"/>
        <v>#VALUE!</v>
      </c>
      <c r="T112" s="6" t="e">
        <f t="shared" si="13"/>
        <v>#VALUE!</v>
      </c>
      <c r="U112" s="2" t="e">
        <f t="shared" si="14"/>
        <v>#VALUE!</v>
      </c>
    </row>
    <row r="113" spans="2:21" x14ac:dyDescent="0.3">
      <c r="B113"/>
      <c r="C113"/>
      <c r="D113"/>
      <c r="E113"/>
      <c r="F113"/>
      <c r="G113"/>
      <c r="H113"/>
      <c r="I113"/>
      <c r="J113"/>
      <c r="O113" s="2" t="e">
        <f t="shared" si="8"/>
        <v>#VALUE!</v>
      </c>
      <c r="P113" s="6" t="e">
        <f t="shared" si="9"/>
        <v>#VALUE!</v>
      </c>
      <c r="Q113" s="6" t="e">
        <f t="shared" si="10"/>
        <v>#VALUE!</v>
      </c>
      <c r="R113" s="6" t="e">
        <f t="shared" si="11"/>
        <v>#VALUE!</v>
      </c>
      <c r="S113" s="6" t="e">
        <f t="shared" si="12"/>
        <v>#VALUE!</v>
      </c>
      <c r="T113" s="6" t="e">
        <f t="shared" si="13"/>
        <v>#VALUE!</v>
      </c>
      <c r="U113" s="2" t="e">
        <f t="shared" si="14"/>
        <v>#VALUE!</v>
      </c>
    </row>
    <row r="114" spans="2:21" x14ac:dyDescent="0.3">
      <c r="B114"/>
      <c r="C114"/>
      <c r="D114"/>
      <c r="E114"/>
      <c r="F114"/>
      <c r="G114"/>
      <c r="H114"/>
      <c r="I114"/>
      <c r="J114"/>
      <c r="O114" s="2" t="e">
        <f t="shared" si="8"/>
        <v>#VALUE!</v>
      </c>
      <c r="P114" s="6" t="e">
        <f t="shared" si="9"/>
        <v>#VALUE!</v>
      </c>
      <c r="Q114" s="6" t="e">
        <f t="shared" si="10"/>
        <v>#VALUE!</v>
      </c>
      <c r="R114" s="6" t="e">
        <f t="shared" si="11"/>
        <v>#VALUE!</v>
      </c>
      <c r="S114" s="6" t="e">
        <f t="shared" si="12"/>
        <v>#VALUE!</v>
      </c>
      <c r="T114" s="6" t="e">
        <f t="shared" si="13"/>
        <v>#VALUE!</v>
      </c>
      <c r="U114" s="2" t="e">
        <f t="shared" si="14"/>
        <v>#VALUE!</v>
      </c>
    </row>
    <row r="115" spans="2:21" x14ac:dyDescent="0.3">
      <c r="B115"/>
      <c r="C115"/>
      <c r="D115"/>
      <c r="E115"/>
      <c r="F115"/>
      <c r="G115"/>
      <c r="H115"/>
      <c r="I115"/>
      <c r="J115"/>
      <c r="O115" s="2" t="e">
        <f t="shared" si="8"/>
        <v>#VALUE!</v>
      </c>
      <c r="P115" s="6" t="e">
        <f t="shared" si="9"/>
        <v>#VALUE!</v>
      </c>
      <c r="Q115" s="6" t="e">
        <f t="shared" si="10"/>
        <v>#VALUE!</v>
      </c>
      <c r="R115" s="6" t="e">
        <f t="shared" si="11"/>
        <v>#VALUE!</v>
      </c>
      <c r="S115" s="6" t="e">
        <f t="shared" si="12"/>
        <v>#VALUE!</v>
      </c>
      <c r="T115" s="6" t="e">
        <f t="shared" si="13"/>
        <v>#VALUE!</v>
      </c>
      <c r="U115" s="2" t="e">
        <f t="shared" si="14"/>
        <v>#VALUE!</v>
      </c>
    </row>
    <row r="116" spans="2:21" x14ac:dyDescent="0.3">
      <c r="B116"/>
      <c r="C116"/>
      <c r="D116"/>
      <c r="E116"/>
      <c r="F116"/>
      <c r="G116"/>
      <c r="H116"/>
      <c r="I116"/>
      <c r="J116"/>
      <c r="O116" s="2" t="e">
        <f t="shared" si="8"/>
        <v>#VALUE!</v>
      </c>
      <c r="P116" s="6" t="e">
        <f t="shared" si="9"/>
        <v>#VALUE!</v>
      </c>
      <c r="Q116" s="6" t="e">
        <f t="shared" si="10"/>
        <v>#VALUE!</v>
      </c>
      <c r="R116" s="6" t="e">
        <f t="shared" si="11"/>
        <v>#VALUE!</v>
      </c>
      <c r="S116" s="6" t="e">
        <f t="shared" si="12"/>
        <v>#VALUE!</v>
      </c>
      <c r="T116" s="6" t="e">
        <f t="shared" si="13"/>
        <v>#VALUE!</v>
      </c>
      <c r="U116" s="2" t="e">
        <f t="shared" si="14"/>
        <v>#VALUE!</v>
      </c>
    </row>
    <row r="117" spans="2:21" x14ac:dyDescent="0.3">
      <c r="B117"/>
      <c r="C117"/>
      <c r="D117"/>
      <c r="E117"/>
      <c r="F117"/>
      <c r="G117"/>
      <c r="H117"/>
      <c r="I117"/>
      <c r="J117"/>
      <c r="O117" s="2" t="e">
        <f t="shared" si="8"/>
        <v>#VALUE!</v>
      </c>
      <c r="P117" s="6" t="e">
        <f t="shared" si="9"/>
        <v>#VALUE!</v>
      </c>
      <c r="Q117" s="6" t="e">
        <f t="shared" si="10"/>
        <v>#VALUE!</v>
      </c>
      <c r="R117" s="6" t="e">
        <f t="shared" si="11"/>
        <v>#VALUE!</v>
      </c>
      <c r="S117" s="6" t="e">
        <f t="shared" si="12"/>
        <v>#VALUE!</v>
      </c>
      <c r="T117" s="6" t="e">
        <f t="shared" si="13"/>
        <v>#VALUE!</v>
      </c>
      <c r="U117" s="2" t="e">
        <f t="shared" si="14"/>
        <v>#VALUE!</v>
      </c>
    </row>
    <row r="118" spans="2:21" x14ac:dyDescent="0.3">
      <c r="B118"/>
      <c r="C118"/>
      <c r="D118"/>
      <c r="E118"/>
      <c r="F118"/>
      <c r="G118"/>
      <c r="H118"/>
      <c r="I118"/>
      <c r="J118"/>
      <c r="K118" s="7"/>
      <c r="L118" s="7"/>
      <c r="M118" s="7"/>
      <c r="O118" s="2" t="e">
        <f t="shared" si="8"/>
        <v>#VALUE!</v>
      </c>
      <c r="P118" s="6" t="e">
        <f t="shared" si="9"/>
        <v>#VALUE!</v>
      </c>
      <c r="Q118" s="6" t="e">
        <f t="shared" si="10"/>
        <v>#VALUE!</v>
      </c>
      <c r="R118" s="6" t="e">
        <f t="shared" si="11"/>
        <v>#VALUE!</v>
      </c>
      <c r="S118" s="6" t="e">
        <f t="shared" si="12"/>
        <v>#VALUE!</v>
      </c>
      <c r="T118" s="6" t="e">
        <f t="shared" si="13"/>
        <v>#VALUE!</v>
      </c>
      <c r="U118" s="2" t="e">
        <f t="shared" si="14"/>
        <v>#VALUE!</v>
      </c>
    </row>
    <row r="119" spans="2:21" x14ac:dyDescent="0.3">
      <c r="B119"/>
      <c r="C119"/>
      <c r="D119"/>
      <c r="E119"/>
      <c r="F119"/>
      <c r="G119"/>
      <c r="H119"/>
      <c r="I119"/>
      <c r="J119"/>
      <c r="O119" s="2" t="e">
        <f t="shared" si="8"/>
        <v>#VALUE!</v>
      </c>
      <c r="P119" s="6" t="e">
        <f t="shared" si="9"/>
        <v>#VALUE!</v>
      </c>
      <c r="Q119" s="6" t="e">
        <f t="shared" si="10"/>
        <v>#VALUE!</v>
      </c>
      <c r="R119" s="6" t="e">
        <f t="shared" si="11"/>
        <v>#VALUE!</v>
      </c>
      <c r="S119" s="6" t="e">
        <f t="shared" si="12"/>
        <v>#VALUE!</v>
      </c>
      <c r="T119" s="6" t="e">
        <f t="shared" si="13"/>
        <v>#VALUE!</v>
      </c>
      <c r="U119" s="2" t="e">
        <f t="shared" si="14"/>
        <v>#VALUE!</v>
      </c>
    </row>
    <row r="120" spans="2:21" x14ac:dyDescent="0.3">
      <c r="B120"/>
      <c r="C120"/>
      <c r="D120"/>
      <c r="E120"/>
      <c r="F120"/>
      <c r="G120"/>
      <c r="H120"/>
      <c r="I120"/>
      <c r="J120"/>
      <c r="K120" s="7"/>
      <c r="L120" s="7"/>
      <c r="M120" s="7"/>
      <c r="O120" s="2" t="e">
        <f t="shared" si="8"/>
        <v>#VALUE!</v>
      </c>
      <c r="P120" s="6" t="e">
        <f t="shared" si="9"/>
        <v>#VALUE!</v>
      </c>
      <c r="Q120" s="6" t="e">
        <f t="shared" si="10"/>
        <v>#VALUE!</v>
      </c>
      <c r="R120" s="6" t="e">
        <f t="shared" si="11"/>
        <v>#VALUE!</v>
      </c>
      <c r="S120" s="6" t="e">
        <f t="shared" si="12"/>
        <v>#VALUE!</v>
      </c>
      <c r="T120" s="6" t="e">
        <f t="shared" si="13"/>
        <v>#VALUE!</v>
      </c>
      <c r="U120" s="2" t="e">
        <f t="shared" si="14"/>
        <v>#VALUE!</v>
      </c>
    </row>
    <row r="121" spans="2:21" x14ac:dyDescent="0.3">
      <c r="B121"/>
      <c r="C121"/>
      <c r="D121"/>
      <c r="E121"/>
      <c r="F121"/>
      <c r="G121"/>
      <c r="H121"/>
      <c r="I121"/>
      <c r="J121"/>
      <c r="O121" s="2" t="e">
        <f t="shared" si="8"/>
        <v>#VALUE!</v>
      </c>
      <c r="P121" s="6" t="e">
        <f t="shared" si="9"/>
        <v>#VALUE!</v>
      </c>
      <c r="Q121" s="6" t="e">
        <f t="shared" si="10"/>
        <v>#VALUE!</v>
      </c>
      <c r="R121" s="6" t="e">
        <f t="shared" si="11"/>
        <v>#VALUE!</v>
      </c>
      <c r="S121" s="6" t="e">
        <f t="shared" si="12"/>
        <v>#VALUE!</v>
      </c>
      <c r="T121" s="6" t="e">
        <f t="shared" si="13"/>
        <v>#VALUE!</v>
      </c>
      <c r="U121" s="2" t="e">
        <f t="shared" si="14"/>
        <v>#VALUE!</v>
      </c>
    </row>
    <row r="122" spans="2:21" x14ac:dyDescent="0.3">
      <c r="B122"/>
      <c r="C122"/>
      <c r="D122"/>
      <c r="E122"/>
      <c r="F122"/>
      <c r="G122"/>
      <c r="H122"/>
      <c r="I122"/>
      <c r="J122"/>
      <c r="K122" s="7"/>
      <c r="L122" s="7"/>
      <c r="M122" s="7"/>
      <c r="O122" s="2" t="e">
        <f t="shared" si="8"/>
        <v>#VALUE!</v>
      </c>
      <c r="P122" s="6" t="e">
        <f t="shared" si="9"/>
        <v>#VALUE!</v>
      </c>
      <c r="Q122" s="6" t="e">
        <f t="shared" si="10"/>
        <v>#VALUE!</v>
      </c>
      <c r="R122" s="6" t="e">
        <f t="shared" si="11"/>
        <v>#VALUE!</v>
      </c>
      <c r="S122" s="6" t="e">
        <f t="shared" si="12"/>
        <v>#VALUE!</v>
      </c>
      <c r="T122" s="6" t="e">
        <f t="shared" si="13"/>
        <v>#VALUE!</v>
      </c>
      <c r="U122" s="2" t="e">
        <f t="shared" si="14"/>
        <v>#VALUE!</v>
      </c>
    </row>
    <row r="123" spans="2:21" x14ac:dyDescent="0.3">
      <c r="B123"/>
      <c r="C123"/>
      <c r="D123"/>
      <c r="E123"/>
      <c r="F123"/>
      <c r="G123"/>
      <c r="H123"/>
      <c r="I123"/>
      <c r="J123"/>
      <c r="O123" s="2" t="e">
        <f t="shared" si="8"/>
        <v>#VALUE!</v>
      </c>
      <c r="P123" s="6" t="e">
        <f t="shared" si="9"/>
        <v>#VALUE!</v>
      </c>
      <c r="Q123" s="6" t="e">
        <f t="shared" si="10"/>
        <v>#VALUE!</v>
      </c>
      <c r="R123" s="6" t="e">
        <f t="shared" si="11"/>
        <v>#VALUE!</v>
      </c>
      <c r="S123" s="6" t="e">
        <f t="shared" si="12"/>
        <v>#VALUE!</v>
      </c>
      <c r="T123" s="6" t="e">
        <f t="shared" si="13"/>
        <v>#VALUE!</v>
      </c>
      <c r="U123" s="2" t="e">
        <f t="shared" si="14"/>
        <v>#VALUE!</v>
      </c>
    </row>
    <row r="124" spans="2:21" x14ac:dyDescent="0.3">
      <c r="B124"/>
      <c r="C124"/>
      <c r="D124"/>
      <c r="E124"/>
      <c r="F124"/>
      <c r="G124"/>
      <c r="H124"/>
      <c r="I124"/>
      <c r="J124"/>
      <c r="K124" s="7"/>
      <c r="L124" s="7"/>
      <c r="M124" s="7"/>
      <c r="O124" s="2" t="e">
        <f t="shared" si="8"/>
        <v>#VALUE!</v>
      </c>
      <c r="P124" s="6" t="e">
        <f t="shared" si="9"/>
        <v>#VALUE!</v>
      </c>
      <c r="Q124" s="6" t="e">
        <f t="shared" si="10"/>
        <v>#VALUE!</v>
      </c>
      <c r="R124" s="6" t="e">
        <f t="shared" si="11"/>
        <v>#VALUE!</v>
      </c>
      <c r="S124" s="6" t="e">
        <f t="shared" si="12"/>
        <v>#VALUE!</v>
      </c>
      <c r="T124" s="6" t="e">
        <f t="shared" si="13"/>
        <v>#VALUE!</v>
      </c>
      <c r="U124" s="2" t="e">
        <f t="shared" si="14"/>
        <v>#VALUE!</v>
      </c>
    </row>
    <row r="125" spans="2:21" x14ac:dyDescent="0.3">
      <c r="B125"/>
      <c r="C125"/>
      <c r="D125"/>
      <c r="E125"/>
      <c r="F125"/>
      <c r="G125"/>
      <c r="H125"/>
      <c r="I125"/>
      <c r="J125"/>
      <c r="O125" s="2" t="e">
        <f t="shared" si="8"/>
        <v>#VALUE!</v>
      </c>
      <c r="P125" s="6" t="e">
        <f t="shared" si="9"/>
        <v>#VALUE!</v>
      </c>
      <c r="Q125" s="6" t="e">
        <f t="shared" si="10"/>
        <v>#VALUE!</v>
      </c>
      <c r="R125" s="6" t="e">
        <f t="shared" si="11"/>
        <v>#VALUE!</v>
      </c>
      <c r="S125" s="6" t="e">
        <f t="shared" si="12"/>
        <v>#VALUE!</v>
      </c>
      <c r="T125" s="6" t="e">
        <f t="shared" si="13"/>
        <v>#VALUE!</v>
      </c>
      <c r="U125" s="2" t="e">
        <f t="shared" si="14"/>
        <v>#VALUE!</v>
      </c>
    </row>
    <row r="126" spans="2:21" x14ac:dyDescent="0.3">
      <c r="B126"/>
      <c r="C126"/>
      <c r="D126"/>
      <c r="E126"/>
      <c r="F126"/>
      <c r="G126"/>
      <c r="H126"/>
      <c r="I126"/>
      <c r="J126"/>
      <c r="O126" s="2" t="e">
        <f t="shared" si="8"/>
        <v>#VALUE!</v>
      </c>
      <c r="P126" s="6" t="e">
        <f t="shared" si="9"/>
        <v>#VALUE!</v>
      </c>
      <c r="Q126" s="6" t="e">
        <f t="shared" si="10"/>
        <v>#VALUE!</v>
      </c>
      <c r="R126" s="6" t="e">
        <f t="shared" si="11"/>
        <v>#VALUE!</v>
      </c>
      <c r="S126" s="6" t="e">
        <f t="shared" si="12"/>
        <v>#VALUE!</v>
      </c>
      <c r="T126" s="6" t="e">
        <f t="shared" si="13"/>
        <v>#VALUE!</v>
      </c>
      <c r="U126" s="2" t="e">
        <f t="shared" si="14"/>
        <v>#VALUE!</v>
      </c>
    </row>
    <row r="127" spans="2:21" x14ac:dyDescent="0.3">
      <c r="B127"/>
      <c r="C127"/>
      <c r="D127"/>
      <c r="E127"/>
      <c r="F127"/>
      <c r="G127"/>
      <c r="H127"/>
      <c r="I127"/>
      <c r="J127"/>
      <c r="O127" s="2" t="e">
        <f t="shared" si="8"/>
        <v>#VALUE!</v>
      </c>
      <c r="P127" s="6" t="e">
        <f t="shared" si="9"/>
        <v>#VALUE!</v>
      </c>
      <c r="Q127" s="6" t="e">
        <f t="shared" si="10"/>
        <v>#VALUE!</v>
      </c>
      <c r="R127" s="6" t="e">
        <f t="shared" si="11"/>
        <v>#VALUE!</v>
      </c>
      <c r="S127" s="6" t="e">
        <f t="shared" si="12"/>
        <v>#VALUE!</v>
      </c>
      <c r="T127" s="6" t="e">
        <f t="shared" si="13"/>
        <v>#VALUE!</v>
      </c>
      <c r="U127" s="2" t="e">
        <f t="shared" si="14"/>
        <v>#VALUE!</v>
      </c>
    </row>
    <row r="128" spans="2:21" x14ac:dyDescent="0.3">
      <c r="B128"/>
      <c r="C128"/>
      <c r="D128"/>
      <c r="E128"/>
      <c r="F128"/>
      <c r="G128"/>
      <c r="H128"/>
      <c r="I128"/>
      <c r="J128"/>
      <c r="O128" s="2" t="e">
        <f t="shared" si="8"/>
        <v>#VALUE!</v>
      </c>
      <c r="P128" s="6" t="e">
        <f t="shared" si="9"/>
        <v>#VALUE!</v>
      </c>
      <c r="Q128" s="6" t="e">
        <f t="shared" si="10"/>
        <v>#VALUE!</v>
      </c>
      <c r="R128" s="6" t="e">
        <f t="shared" si="11"/>
        <v>#VALUE!</v>
      </c>
      <c r="S128" s="6" t="e">
        <f t="shared" si="12"/>
        <v>#VALUE!</v>
      </c>
      <c r="T128" s="6" t="e">
        <f t="shared" si="13"/>
        <v>#VALUE!</v>
      </c>
      <c r="U128" s="2" t="e">
        <f t="shared" si="14"/>
        <v>#VALUE!</v>
      </c>
    </row>
    <row r="129" spans="2:21" x14ac:dyDescent="0.3">
      <c r="B129"/>
      <c r="C129"/>
      <c r="D129"/>
      <c r="E129"/>
      <c r="F129"/>
      <c r="G129"/>
      <c r="H129"/>
      <c r="I129"/>
      <c r="J129"/>
      <c r="O129" s="2" t="e">
        <f t="shared" ref="O129:O192" si="15">SUBSTITUTE(MID(A129,53,FIND("GBHS",A129)-54), ".", ",")</f>
        <v>#VALUE!</v>
      </c>
      <c r="P129" s="6" t="e">
        <f t="shared" ref="P129:P192" si="16">MID(O129,1,4)</f>
        <v>#VALUE!</v>
      </c>
      <c r="Q129" s="6" t="e">
        <f t="shared" ref="Q129:Q192" si="17">MID(O129,6,4)</f>
        <v>#VALUE!</v>
      </c>
      <c r="R129" s="6" t="e">
        <f t="shared" ref="R129:R192" si="18">MID(O129,11,4)</f>
        <v>#VALUE!</v>
      </c>
      <c r="S129" s="6" t="e">
        <f t="shared" ref="S129:S192" si="19">MID(O129,16,4)</f>
        <v>#VALUE!</v>
      </c>
      <c r="T129" s="6" t="e">
        <f t="shared" ref="T129:T192" si="20">MID(O129,21,4)</f>
        <v>#VALUE!</v>
      </c>
      <c r="U129" s="2" t="e">
        <f t="shared" ref="U129:U192" si="21">SUBSTITUTE(CONCATENATE("&lt;Parametros&gt;","&lt;Alfa&gt;",P129,"&lt;/Alfa&gt;","&lt;Beta&gt;",Q129,"&lt;/Beta&gt;","&lt;Gamma&gt;",R129,"&lt;/Gamma&gt;","&lt;Delta&gt;",S129,"&lt;/Delta&gt;","&lt;Ro&gt;",T129,"&lt;/Ro&gt;","&lt;/Parametros&gt;"),",",".")</f>
        <v>#VALUE!</v>
      </c>
    </row>
    <row r="130" spans="2:21" x14ac:dyDescent="0.3">
      <c r="B130"/>
      <c r="C130"/>
      <c r="D130"/>
      <c r="E130"/>
      <c r="F130"/>
      <c r="G130"/>
      <c r="H130"/>
      <c r="I130"/>
      <c r="J130"/>
      <c r="O130" s="2" t="e">
        <f t="shared" si="15"/>
        <v>#VALUE!</v>
      </c>
      <c r="P130" s="6" t="e">
        <f t="shared" si="16"/>
        <v>#VALUE!</v>
      </c>
      <c r="Q130" s="6" t="e">
        <f t="shared" si="17"/>
        <v>#VALUE!</v>
      </c>
      <c r="R130" s="6" t="e">
        <f t="shared" si="18"/>
        <v>#VALUE!</v>
      </c>
      <c r="S130" s="6" t="e">
        <f t="shared" si="19"/>
        <v>#VALUE!</v>
      </c>
      <c r="T130" s="6" t="e">
        <f t="shared" si="20"/>
        <v>#VALUE!</v>
      </c>
      <c r="U130" s="2" t="e">
        <f t="shared" si="21"/>
        <v>#VALUE!</v>
      </c>
    </row>
    <row r="131" spans="2:21" x14ac:dyDescent="0.3">
      <c r="B131"/>
      <c r="C131"/>
      <c r="D131"/>
      <c r="E131"/>
      <c r="F131"/>
      <c r="G131"/>
      <c r="H131"/>
      <c r="I131"/>
      <c r="J131"/>
      <c r="K131" s="1"/>
      <c r="L131" s="1"/>
      <c r="M131" s="1"/>
      <c r="O131" s="2" t="e">
        <f t="shared" si="15"/>
        <v>#VALUE!</v>
      </c>
      <c r="P131" s="6" t="e">
        <f t="shared" si="16"/>
        <v>#VALUE!</v>
      </c>
      <c r="Q131" s="6" t="e">
        <f t="shared" si="17"/>
        <v>#VALUE!</v>
      </c>
      <c r="R131" s="6" t="e">
        <f t="shared" si="18"/>
        <v>#VALUE!</v>
      </c>
      <c r="S131" s="6" t="e">
        <f t="shared" si="19"/>
        <v>#VALUE!</v>
      </c>
      <c r="T131" s="6" t="e">
        <f t="shared" si="20"/>
        <v>#VALUE!</v>
      </c>
      <c r="U131" s="2" t="e">
        <f t="shared" si="21"/>
        <v>#VALUE!</v>
      </c>
    </row>
    <row r="132" spans="2:21" x14ac:dyDescent="0.3">
      <c r="B132"/>
      <c r="C132"/>
      <c r="D132"/>
      <c r="E132"/>
      <c r="F132"/>
      <c r="G132"/>
      <c r="H132"/>
      <c r="I132"/>
      <c r="J132"/>
      <c r="K132" s="1"/>
      <c r="L132" s="1"/>
      <c r="M132" s="1"/>
      <c r="O132" s="2" t="e">
        <f t="shared" si="15"/>
        <v>#VALUE!</v>
      </c>
      <c r="P132" s="6" t="e">
        <f t="shared" si="16"/>
        <v>#VALUE!</v>
      </c>
      <c r="Q132" s="6" t="e">
        <f t="shared" si="17"/>
        <v>#VALUE!</v>
      </c>
      <c r="R132" s="6" t="e">
        <f t="shared" si="18"/>
        <v>#VALUE!</v>
      </c>
      <c r="S132" s="6" t="e">
        <f t="shared" si="19"/>
        <v>#VALUE!</v>
      </c>
      <c r="T132" s="6" t="e">
        <f t="shared" si="20"/>
        <v>#VALUE!</v>
      </c>
      <c r="U132" s="2" t="e">
        <f t="shared" si="21"/>
        <v>#VALUE!</v>
      </c>
    </row>
    <row r="133" spans="2:21" x14ac:dyDescent="0.3">
      <c r="B133"/>
      <c r="C133"/>
      <c r="D133"/>
      <c r="E133"/>
      <c r="F133"/>
      <c r="G133"/>
      <c r="H133"/>
      <c r="I133"/>
      <c r="J133"/>
      <c r="O133" s="2" t="e">
        <f t="shared" si="15"/>
        <v>#VALUE!</v>
      </c>
      <c r="P133" s="6" t="e">
        <f t="shared" si="16"/>
        <v>#VALUE!</v>
      </c>
      <c r="Q133" s="6" t="e">
        <f t="shared" si="17"/>
        <v>#VALUE!</v>
      </c>
      <c r="R133" s="6" t="e">
        <f t="shared" si="18"/>
        <v>#VALUE!</v>
      </c>
      <c r="S133" s="6" t="e">
        <f t="shared" si="19"/>
        <v>#VALUE!</v>
      </c>
      <c r="T133" s="6" t="e">
        <f t="shared" si="20"/>
        <v>#VALUE!</v>
      </c>
      <c r="U133" s="2" t="e">
        <f t="shared" si="21"/>
        <v>#VALUE!</v>
      </c>
    </row>
    <row r="134" spans="2:21" x14ac:dyDescent="0.3">
      <c r="B134"/>
      <c r="C134"/>
      <c r="D134"/>
      <c r="E134"/>
      <c r="F134"/>
      <c r="G134"/>
      <c r="H134"/>
      <c r="I134"/>
      <c r="J134"/>
      <c r="O134" s="2" t="e">
        <f t="shared" si="15"/>
        <v>#VALUE!</v>
      </c>
      <c r="P134" s="6" t="e">
        <f t="shared" si="16"/>
        <v>#VALUE!</v>
      </c>
      <c r="Q134" s="6" t="e">
        <f t="shared" si="17"/>
        <v>#VALUE!</v>
      </c>
      <c r="R134" s="6" t="e">
        <f t="shared" si="18"/>
        <v>#VALUE!</v>
      </c>
      <c r="S134" s="6" t="e">
        <f t="shared" si="19"/>
        <v>#VALUE!</v>
      </c>
      <c r="T134" s="6" t="e">
        <f t="shared" si="20"/>
        <v>#VALUE!</v>
      </c>
      <c r="U134" s="2" t="e">
        <f t="shared" si="21"/>
        <v>#VALUE!</v>
      </c>
    </row>
    <row r="135" spans="2:21" x14ac:dyDescent="0.3">
      <c r="B135"/>
      <c r="C135"/>
      <c r="D135"/>
      <c r="E135"/>
      <c r="F135"/>
      <c r="G135"/>
      <c r="H135"/>
      <c r="I135"/>
      <c r="J135"/>
      <c r="O135" s="2" t="e">
        <f t="shared" si="15"/>
        <v>#VALUE!</v>
      </c>
      <c r="P135" s="6" t="e">
        <f t="shared" si="16"/>
        <v>#VALUE!</v>
      </c>
      <c r="Q135" s="6" t="e">
        <f t="shared" si="17"/>
        <v>#VALUE!</v>
      </c>
      <c r="R135" s="6" t="e">
        <f t="shared" si="18"/>
        <v>#VALUE!</v>
      </c>
      <c r="S135" s="6" t="e">
        <f t="shared" si="19"/>
        <v>#VALUE!</v>
      </c>
      <c r="T135" s="6" t="e">
        <f t="shared" si="20"/>
        <v>#VALUE!</v>
      </c>
      <c r="U135" s="2" t="e">
        <f t="shared" si="21"/>
        <v>#VALUE!</v>
      </c>
    </row>
    <row r="136" spans="2:21" x14ac:dyDescent="0.3">
      <c r="B136"/>
      <c r="C136"/>
      <c r="D136"/>
      <c r="E136"/>
      <c r="F136"/>
      <c r="G136"/>
      <c r="H136"/>
      <c r="I136"/>
      <c r="J136"/>
      <c r="O136" s="2" t="e">
        <f t="shared" si="15"/>
        <v>#VALUE!</v>
      </c>
      <c r="P136" s="6" t="e">
        <f t="shared" si="16"/>
        <v>#VALUE!</v>
      </c>
      <c r="Q136" s="6" t="e">
        <f t="shared" si="17"/>
        <v>#VALUE!</v>
      </c>
      <c r="R136" s="6" t="e">
        <f t="shared" si="18"/>
        <v>#VALUE!</v>
      </c>
      <c r="S136" s="6" t="e">
        <f t="shared" si="19"/>
        <v>#VALUE!</v>
      </c>
      <c r="T136" s="6" t="e">
        <f t="shared" si="20"/>
        <v>#VALUE!</v>
      </c>
      <c r="U136" s="2" t="e">
        <f t="shared" si="21"/>
        <v>#VALUE!</v>
      </c>
    </row>
    <row r="137" spans="2:21" x14ac:dyDescent="0.3">
      <c r="B137"/>
      <c r="C137"/>
      <c r="D137"/>
      <c r="E137"/>
      <c r="F137"/>
      <c r="G137"/>
      <c r="H137"/>
      <c r="I137"/>
      <c r="J137"/>
      <c r="O137" s="2" t="e">
        <f t="shared" si="15"/>
        <v>#VALUE!</v>
      </c>
      <c r="P137" s="6" t="e">
        <f t="shared" si="16"/>
        <v>#VALUE!</v>
      </c>
      <c r="Q137" s="6" t="e">
        <f t="shared" si="17"/>
        <v>#VALUE!</v>
      </c>
      <c r="R137" s="6" t="e">
        <f t="shared" si="18"/>
        <v>#VALUE!</v>
      </c>
      <c r="S137" s="6" t="e">
        <f t="shared" si="19"/>
        <v>#VALUE!</v>
      </c>
      <c r="T137" s="6" t="e">
        <f t="shared" si="20"/>
        <v>#VALUE!</v>
      </c>
      <c r="U137" s="2" t="e">
        <f t="shared" si="21"/>
        <v>#VALUE!</v>
      </c>
    </row>
    <row r="138" spans="2:21" x14ac:dyDescent="0.3">
      <c r="B138"/>
      <c r="C138"/>
      <c r="D138"/>
      <c r="E138"/>
      <c r="F138"/>
      <c r="G138"/>
      <c r="H138"/>
      <c r="I138"/>
      <c r="J138"/>
      <c r="O138" s="2" t="e">
        <f t="shared" si="15"/>
        <v>#VALUE!</v>
      </c>
      <c r="P138" s="6" t="e">
        <f t="shared" si="16"/>
        <v>#VALUE!</v>
      </c>
      <c r="Q138" s="6" t="e">
        <f t="shared" si="17"/>
        <v>#VALUE!</v>
      </c>
      <c r="R138" s="6" t="e">
        <f t="shared" si="18"/>
        <v>#VALUE!</v>
      </c>
      <c r="S138" s="6" t="e">
        <f t="shared" si="19"/>
        <v>#VALUE!</v>
      </c>
      <c r="T138" s="6" t="e">
        <f t="shared" si="20"/>
        <v>#VALUE!</v>
      </c>
      <c r="U138" s="2" t="e">
        <f t="shared" si="21"/>
        <v>#VALUE!</v>
      </c>
    </row>
    <row r="139" spans="2:21" x14ac:dyDescent="0.3">
      <c r="B139"/>
      <c r="C139"/>
      <c r="D139"/>
      <c r="E139"/>
      <c r="F139"/>
      <c r="G139"/>
      <c r="H139"/>
      <c r="I139"/>
      <c r="J139"/>
      <c r="O139" s="2" t="e">
        <f t="shared" si="15"/>
        <v>#VALUE!</v>
      </c>
      <c r="P139" s="6" t="e">
        <f t="shared" si="16"/>
        <v>#VALUE!</v>
      </c>
      <c r="Q139" s="6" t="e">
        <f t="shared" si="17"/>
        <v>#VALUE!</v>
      </c>
      <c r="R139" s="6" t="e">
        <f t="shared" si="18"/>
        <v>#VALUE!</v>
      </c>
      <c r="S139" s="6" t="e">
        <f t="shared" si="19"/>
        <v>#VALUE!</v>
      </c>
      <c r="T139" s="6" t="e">
        <f t="shared" si="20"/>
        <v>#VALUE!</v>
      </c>
      <c r="U139" s="2" t="e">
        <f t="shared" si="21"/>
        <v>#VALUE!</v>
      </c>
    </row>
    <row r="140" spans="2:21" x14ac:dyDescent="0.3">
      <c r="B140"/>
      <c r="C140"/>
      <c r="D140"/>
      <c r="E140"/>
      <c r="F140"/>
      <c r="G140"/>
      <c r="H140"/>
      <c r="I140"/>
      <c r="J140"/>
      <c r="O140" s="2" t="e">
        <f t="shared" si="15"/>
        <v>#VALUE!</v>
      </c>
      <c r="P140" s="6" t="e">
        <f t="shared" si="16"/>
        <v>#VALUE!</v>
      </c>
      <c r="Q140" s="6" t="e">
        <f t="shared" si="17"/>
        <v>#VALUE!</v>
      </c>
      <c r="R140" s="6" t="e">
        <f t="shared" si="18"/>
        <v>#VALUE!</v>
      </c>
      <c r="S140" s="6" t="e">
        <f t="shared" si="19"/>
        <v>#VALUE!</v>
      </c>
      <c r="T140" s="6" t="e">
        <f t="shared" si="20"/>
        <v>#VALUE!</v>
      </c>
      <c r="U140" s="2" t="e">
        <f t="shared" si="21"/>
        <v>#VALUE!</v>
      </c>
    </row>
    <row r="141" spans="2:21" x14ac:dyDescent="0.3">
      <c r="B141"/>
      <c r="C141"/>
      <c r="D141"/>
      <c r="E141"/>
      <c r="F141"/>
      <c r="G141"/>
      <c r="H141"/>
      <c r="I141"/>
      <c r="J141"/>
      <c r="O141" s="2" t="e">
        <f t="shared" si="15"/>
        <v>#VALUE!</v>
      </c>
      <c r="P141" s="6" t="e">
        <f t="shared" si="16"/>
        <v>#VALUE!</v>
      </c>
      <c r="Q141" s="6" t="e">
        <f t="shared" si="17"/>
        <v>#VALUE!</v>
      </c>
      <c r="R141" s="6" t="e">
        <f t="shared" si="18"/>
        <v>#VALUE!</v>
      </c>
      <c r="S141" s="6" t="e">
        <f t="shared" si="19"/>
        <v>#VALUE!</v>
      </c>
      <c r="T141" s="6" t="e">
        <f t="shared" si="20"/>
        <v>#VALUE!</v>
      </c>
      <c r="U141" s="2" t="e">
        <f t="shared" si="21"/>
        <v>#VALUE!</v>
      </c>
    </row>
    <row r="142" spans="2:21" x14ac:dyDescent="0.3">
      <c r="B142"/>
      <c r="C142"/>
      <c r="D142"/>
      <c r="E142" s="4"/>
      <c r="F142"/>
      <c r="G142"/>
      <c r="H142"/>
      <c r="I142"/>
      <c r="J142"/>
      <c r="K142" s="7"/>
      <c r="L142" s="7"/>
      <c r="M142" s="7"/>
      <c r="O142" s="2" t="e">
        <f t="shared" si="15"/>
        <v>#VALUE!</v>
      </c>
      <c r="P142" s="6" t="e">
        <f t="shared" si="16"/>
        <v>#VALUE!</v>
      </c>
      <c r="Q142" s="6" t="e">
        <f t="shared" si="17"/>
        <v>#VALUE!</v>
      </c>
      <c r="R142" s="6" t="e">
        <f t="shared" si="18"/>
        <v>#VALUE!</v>
      </c>
      <c r="S142" s="6" t="e">
        <f t="shared" si="19"/>
        <v>#VALUE!</v>
      </c>
      <c r="T142" s="6" t="e">
        <f t="shared" si="20"/>
        <v>#VALUE!</v>
      </c>
      <c r="U142" s="2" t="e">
        <f t="shared" si="21"/>
        <v>#VALUE!</v>
      </c>
    </row>
    <row r="143" spans="2:21" x14ac:dyDescent="0.3">
      <c r="B143" s="4"/>
      <c r="C143" s="4"/>
      <c r="D143" s="4"/>
      <c r="E143" s="4"/>
      <c r="F143"/>
      <c r="G143"/>
      <c r="H143"/>
      <c r="I143"/>
      <c r="J143"/>
      <c r="O143" s="2" t="e">
        <f t="shared" si="15"/>
        <v>#VALUE!</v>
      </c>
      <c r="P143" s="6" t="e">
        <f t="shared" si="16"/>
        <v>#VALUE!</v>
      </c>
      <c r="Q143" s="6" t="e">
        <f t="shared" si="17"/>
        <v>#VALUE!</v>
      </c>
      <c r="R143" s="6" t="e">
        <f t="shared" si="18"/>
        <v>#VALUE!</v>
      </c>
      <c r="S143" s="6" t="e">
        <f t="shared" si="19"/>
        <v>#VALUE!</v>
      </c>
      <c r="T143" s="6" t="e">
        <f t="shared" si="20"/>
        <v>#VALUE!</v>
      </c>
      <c r="U143" s="2" t="e">
        <f t="shared" si="21"/>
        <v>#VALUE!</v>
      </c>
    </row>
    <row r="144" spans="2:21" x14ac:dyDescent="0.3">
      <c r="B144"/>
      <c r="C144"/>
      <c r="D144"/>
      <c r="E144"/>
      <c r="F144"/>
      <c r="G144"/>
      <c r="H144"/>
      <c r="I144"/>
      <c r="J144"/>
      <c r="O144" s="2" t="e">
        <f t="shared" si="15"/>
        <v>#VALUE!</v>
      </c>
      <c r="P144" s="6" t="e">
        <f t="shared" si="16"/>
        <v>#VALUE!</v>
      </c>
      <c r="Q144" s="6" t="e">
        <f t="shared" si="17"/>
        <v>#VALUE!</v>
      </c>
      <c r="R144" s="6" t="e">
        <f t="shared" si="18"/>
        <v>#VALUE!</v>
      </c>
      <c r="S144" s="6" t="e">
        <f t="shared" si="19"/>
        <v>#VALUE!</v>
      </c>
      <c r="T144" s="6" t="e">
        <f t="shared" si="20"/>
        <v>#VALUE!</v>
      </c>
      <c r="U144" s="2" t="e">
        <f t="shared" si="21"/>
        <v>#VALUE!</v>
      </c>
    </row>
    <row r="145" spans="2:21" x14ac:dyDescent="0.3">
      <c r="B145"/>
      <c r="C145"/>
      <c r="D145"/>
      <c r="E145" s="4"/>
      <c r="F145"/>
      <c r="G145"/>
      <c r="H145"/>
      <c r="I145"/>
      <c r="J145"/>
      <c r="O145" s="2" t="e">
        <f t="shared" si="15"/>
        <v>#VALUE!</v>
      </c>
      <c r="P145" s="6" t="e">
        <f t="shared" si="16"/>
        <v>#VALUE!</v>
      </c>
      <c r="Q145" s="6" t="e">
        <f t="shared" si="17"/>
        <v>#VALUE!</v>
      </c>
      <c r="R145" s="6" t="e">
        <f t="shared" si="18"/>
        <v>#VALUE!</v>
      </c>
      <c r="S145" s="6" t="e">
        <f t="shared" si="19"/>
        <v>#VALUE!</v>
      </c>
      <c r="T145" s="6" t="e">
        <f t="shared" si="20"/>
        <v>#VALUE!</v>
      </c>
      <c r="U145" s="2" t="e">
        <f t="shared" si="21"/>
        <v>#VALUE!</v>
      </c>
    </row>
    <row r="146" spans="2:21" x14ac:dyDescent="0.3">
      <c r="B146"/>
      <c r="C146"/>
      <c r="D146"/>
      <c r="E146"/>
      <c r="F146"/>
      <c r="G146"/>
      <c r="H146"/>
      <c r="I146"/>
      <c r="J146"/>
      <c r="O146" s="2" t="e">
        <f t="shared" si="15"/>
        <v>#VALUE!</v>
      </c>
      <c r="P146" s="6" t="e">
        <f t="shared" si="16"/>
        <v>#VALUE!</v>
      </c>
      <c r="Q146" s="6" t="e">
        <f t="shared" si="17"/>
        <v>#VALUE!</v>
      </c>
      <c r="R146" s="6" t="e">
        <f t="shared" si="18"/>
        <v>#VALUE!</v>
      </c>
      <c r="S146" s="6" t="e">
        <f t="shared" si="19"/>
        <v>#VALUE!</v>
      </c>
      <c r="T146" s="6" t="e">
        <f t="shared" si="20"/>
        <v>#VALUE!</v>
      </c>
      <c r="U146" s="2" t="e">
        <f t="shared" si="21"/>
        <v>#VALUE!</v>
      </c>
    </row>
    <row r="147" spans="2:21" x14ac:dyDescent="0.3">
      <c r="B147"/>
      <c r="C147"/>
      <c r="D147"/>
      <c r="E147" s="4"/>
      <c r="F147"/>
      <c r="G147"/>
      <c r="H147"/>
      <c r="I147"/>
      <c r="J147"/>
      <c r="O147" s="2" t="e">
        <f t="shared" si="15"/>
        <v>#VALUE!</v>
      </c>
      <c r="P147" s="6" t="e">
        <f t="shared" si="16"/>
        <v>#VALUE!</v>
      </c>
      <c r="Q147" s="6" t="e">
        <f t="shared" si="17"/>
        <v>#VALUE!</v>
      </c>
      <c r="R147" s="6" t="e">
        <f t="shared" si="18"/>
        <v>#VALUE!</v>
      </c>
      <c r="S147" s="6" t="e">
        <f t="shared" si="19"/>
        <v>#VALUE!</v>
      </c>
      <c r="T147" s="6" t="e">
        <f t="shared" si="20"/>
        <v>#VALUE!</v>
      </c>
      <c r="U147" s="2" t="e">
        <f t="shared" si="21"/>
        <v>#VALUE!</v>
      </c>
    </row>
    <row r="148" spans="2:21" x14ac:dyDescent="0.3">
      <c r="B148"/>
      <c r="C148"/>
      <c r="D148"/>
      <c r="E148" s="4"/>
      <c r="F148"/>
      <c r="G148"/>
      <c r="H148"/>
      <c r="I148"/>
      <c r="J148"/>
      <c r="O148" s="2" t="e">
        <f t="shared" si="15"/>
        <v>#VALUE!</v>
      </c>
      <c r="P148" s="6" t="e">
        <f t="shared" si="16"/>
        <v>#VALUE!</v>
      </c>
      <c r="Q148" s="6" t="e">
        <f t="shared" si="17"/>
        <v>#VALUE!</v>
      </c>
      <c r="R148" s="6" t="e">
        <f t="shared" si="18"/>
        <v>#VALUE!</v>
      </c>
      <c r="S148" s="6" t="e">
        <f t="shared" si="19"/>
        <v>#VALUE!</v>
      </c>
      <c r="T148" s="6" t="e">
        <f t="shared" si="20"/>
        <v>#VALUE!</v>
      </c>
      <c r="U148" s="2" t="e">
        <f t="shared" si="21"/>
        <v>#VALUE!</v>
      </c>
    </row>
    <row r="149" spans="2:21" x14ac:dyDescent="0.3">
      <c r="B149"/>
      <c r="C149"/>
      <c r="D149"/>
      <c r="E149"/>
      <c r="F149"/>
      <c r="G149"/>
      <c r="H149"/>
      <c r="I149"/>
      <c r="J149"/>
      <c r="O149" s="2" t="e">
        <f t="shared" si="15"/>
        <v>#VALUE!</v>
      </c>
      <c r="P149" s="6" t="e">
        <f t="shared" si="16"/>
        <v>#VALUE!</v>
      </c>
      <c r="Q149" s="6" t="e">
        <f t="shared" si="17"/>
        <v>#VALUE!</v>
      </c>
      <c r="R149" s="6" t="e">
        <f t="shared" si="18"/>
        <v>#VALUE!</v>
      </c>
      <c r="S149" s="6" t="e">
        <f t="shared" si="19"/>
        <v>#VALUE!</v>
      </c>
      <c r="T149" s="6" t="e">
        <f t="shared" si="20"/>
        <v>#VALUE!</v>
      </c>
      <c r="U149" s="2" t="e">
        <f t="shared" si="21"/>
        <v>#VALUE!</v>
      </c>
    </row>
    <row r="150" spans="2:21" x14ac:dyDescent="0.3">
      <c r="B150"/>
      <c r="C150"/>
      <c r="D150"/>
      <c r="E150"/>
      <c r="F150"/>
      <c r="G150"/>
      <c r="H150"/>
      <c r="I150"/>
      <c r="J150"/>
      <c r="O150" s="2" t="e">
        <f t="shared" si="15"/>
        <v>#VALUE!</v>
      </c>
      <c r="P150" s="6" t="e">
        <f t="shared" si="16"/>
        <v>#VALUE!</v>
      </c>
      <c r="Q150" s="6" t="e">
        <f t="shared" si="17"/>
        <v>#VALUE!</v>
      </c>
      <c r="R150" s="6" t="e">
        <f t="shared" si="18"/>
        <v>#VALUE!</v>
      </c>
      <c r="S150" s="6" t="e">
        <f t="shared" si="19"/>
        <v>#VALUE!</v>
      </c>
      <c r="T150" s="6" t="e">
        <f t="shared" si="20"/>
        <v>#VALUE!</v>
      </c>
      <c r="U150" s="2" t="e">
        <f t="shared" si="21"/>
        <v>#VALUE!</v>
      </c>
    </row>
    <row r="151" spans="2:21" x14ac:dyDescent="0.3">
      <c r="B151"/>
      <c r="C151"/>
      <c r="D151"/>
      <c r="E151"/>
      <c r="F151"/>
      <c r="G151"/>
      <c r="H151"/>
      <c r="I151"/>
      <c r="J151"/>
      <c r="O151" s="2" t="e">
        <f t="shared" si="15"/>
        <v>#VALUE!</v>
      </c>
      <c r="P151" s="6" t="e">
        <f t="shared" si="16"/>
        <v>#VALUE!</v>
      </c>
      <c r="Q151" s="6" t="e">
        <f t="shared" si="17"/>
        <v>#VALUE!</v>
      </c>
      <c r="R151" s="6" t="e">
        <f t="shared" si="18"/>
        <v>#VALUE!</v>
      </c>
      <c r="S151" s="6" t="e">
        <f t="shared" si="19"/>
        <v>#VALUE!</v>
      </c>
      <c r="T151" s="6" t="e">
        <f t="shared" si="20"/>
        <v>#VALUE!</v>
      </c>
      <c r="U151" s="2" t="e">
        <f t="shared" si="21"/>
        <v>#VALUE!</v>
      </c>
    </row>
    <row r="152" spans="2:21" x14ac:dyDescent="0.3">
      <c r="B152"/>
      <c r="C152"/>
      <c r="D152"/>
      <c r="E152"/>
      <c r="F152"/>
      <c r="G152"/>
      <c r="H152"/>
      <c r="I152"/>
      <c r="J152"/>
      <c r="O152" s="2" t="e">
        <f t="shared" si="15"/>
        <v>#VALUE!</v>
      </c>
      <c r="P152" s="6" t="e">
        <f t="shared" si="16"/>
        <v>#VALUE!</v>
      </c>
      <c r="Q152" s="6" t="e">
        <f t="shared" si="17"/>
        <v>#VALUE!</v>
      </c>
      <c r="R152" s="6" t="e">
        <f t="shared" si="18"/>
        <v>#VALUE!</v>
      </c>
      <c r="S152" s="6" t="e">
        <f t="shared" si="19"/>
        <v>#VALUE!</v>
      </c>
      <c r="T152" s="6" t="e">
        <f t="shared" si="20"/>
        <v>#VALUE!</v>
      </c>
      <c r="U152" s="2" t="e">
        <f t="shared" si="21"/>
        <v>#VALUE!</v>
      </c>
    </row>
    <row r="153" spans="2:21" x14ac:dyDescent="0.3">
      <c r="B153"/>
      <c r="C153"/>
      <c r="D153"/>
      <c r="E153" s="4"/>
      <c r="F153"/>
      <c r="G153"/>
      <c r="H153"/>
      <c r="I153"/>
      <c r="J153"/>
      <c r="O153" s="2" t="e">
        <f t="shared" si="15"/>
        <v>#VALUE!</v>
      </c>
      <c r="P153" s="6" t="e">
        <f t="shared" si="16"/>
        <v>#VALUE!</v>
      </c>
      <c r="Q153" s="6" t="e">
        <f t="shared" si="17"/>
        <v>#VALUE!</v>
      </c>
      <c r="R153" s="6" t="e">
        <f t="shared" si="18"/>
        <v>#VALUE!</v>
      </c>
      <c r="S153" s="6" t="e">
        <f t="shared" si="19"/>
        <v>#VALUE!</v>
      </c>
      <c r="T153" s="6" t="e">
        <f t="shared" si="20"/>
        <v>#VALUE!</v>
      </c>
      <c r="U153" s="2" t="e">
        <f t="shared" si="21"/>
        <v>#VALUE!</v>
      </c>
    </row>
    <row r="154" spans="2:21" x14ac:dyDescent="0.3">
      <c r="B154"/>
      <c r="C154"/>
      <c r="D154"/>
      <c r="E154"/>
      <c r="F154"/>
      <c r="G154"/>
      <c r="H154"/>
      <c r="I154"/>
      <c r="J154"/>
      <c r="O154" s="2" t="e">
        <f t="shared" si="15"/>
        <v>#VALUE!</v>
      </c>
      <c r="P154" s="6" t="e">
        <f t="shared" si="16"/>
        <v>#VALUE!</v>
      </c>
      <c r="Q154" s="6" t="e">
        <f t="shared" si="17"/>
        <v>#VALUE!</v>
      </c>
      <c r="R154" s="6" t="e">
        <f t="shared" si="18"/>
        <v>#VALUE!</v>
      </c>
      <c r="S154" s="6" t="e">
        <f t="shared" si="19"/>
        <v>#VALUE!</v>
      </c>
      <c r="T154" s="6" t="e">
        <f t="shared" si="20"/>
        <v>#VALUE!</v>
      </c>
      <c r="U154" s="2" t="e">
        <f t="shared" si="21"/>
        <v>#VALUE!</v>
      </c>
    </row>
    <row r="155" spans="2:21" x14ac:dyDescent="0.3">
      <c r="B155"/>
      <c r="C155"/>
      <c r="D155"/>
      <c r="E155"/>
      <c r="F155"/>
      <c r="G155"/>
      <c r="H155"/>
      <c r="I155"/>
      <c r="J155"/>
      <c r="O155" s="2" t="e">
        <f t="shared" si="15"/>
        <v>#VALUE!</v>
      </c>
      <c r="P155" s="6" t="e">
        <f t="shared" si="16"/>
        <v>#VALUE!</v>
      </c>
      <c r="Q155" s="6" t="e">
        <f t="shared" si="17"/>
        <v>#VALUE!</v>
      </c>
      <c r="R155" s="6" t="e">
        <f t="shared" si="18"/>
        <v>#VALUE!</v>
      </c>
      <c r="S155" s="6" t="e">
        <f t="shared" si="19"/>
        <v>#VALUE!</v>
      </c>
      <c r="T155" s="6" t="e">
        <f t="shared" si="20"/>
        <v>#VALUE!</v>
      </c>
      <c r="U155" s="2" t="e">
        <f t="shared" si="21"/>
        <v>#VALUE!</v>
      </c>
    </row>
    <row r="156" spans="2:21" x14ac:dyDescent="0.3">
      <c r="B156"/>
      <c r="C156"/>
      <c r="D156"/>
      <c r="E156" s="4"/>
      <c r="F156"/>
      <c r="G156"/>
      <c r="H156"/>
      <c r="I156"/>
      <c r="J156"/>
      <c r="O156" s="2" t="e">
        <f t="shared" si="15"/>
        <v>#VALUE!</v>
      </c>
      <c r="P156" s="6" t="e">
        <f t="shared" si="16"/>
        <v>#VALUE!</v>
      </c>
      <c r="Q156" s="6" t="e">
        <f t="shared" si="17"/>
        <v>#VALUE!</v>
      </c>
      <c r="R156" s="6" t="e">
        <f t="shared" si="18"/>
        <v>#VALUE!</v>
      </c>
      <c r="S156" s="6" t="e">
        <f t="shared" si="19"/>
        <v>#VALUE!</v>
      </c>
      <c r="T156" s="6" t="e">
        <f t="shared" si="20"/>
        <v>#VALUE!</v>
      </c>
      <c r="U156" s="2" t="e">
        <f t="shared" si="21"/>
        <v>#VALUE!</v>
      </c>
    </row>
    <row r="157" spans="2:21" x14ac:dyDescent="0.3">
      <c r="B157"/>
      <c r="C157"/>
      <c r="D157"/>
      <c r="E157" s="4"/>
      <c r="F157"/>
      <c r="G157"/>
      <c r="H157"/>
      <c r="I157"/>
      <c r="J157"/>
      <c r="O157" s="2" t="e">
        <f t="shared" si="15"/>
        <v>#VALUE!</v>
      </c>
      <c r="P157" s="6" t="e">
        <f t="shared" si="16"/>
        <v>#VALUE!</v>
      </c>
      <c r="Q157" s="6" t="e">
        <f t="shared" si="17"/>
        <v>#VALUE!</v>
      </c>
      <c r="R157" s="6" t="e">
        <f t="shared" si="18"/>
        <v>#VALUE!</v>
      </c>
      <c r="S157" s="6" t="e">
        <f t="shared" si="19"/>
        <v>#VALUE!</v>
      </c>
      <c r="T157" s="6" t="e">
        <f t="shared" si="20"/>
        <v>#VALUE!</v>
      </c>
      <c r="U157" s="2" t="e">
        <f t="shared" si="21"/>
        <v>#VALUE!</v>
      </c>
    </row>
    <row r="158" spans="2:21" x14ac:dyDescent="0.3">
      <c r="B158"/>
      <c r="C158"/>
      <c r="D158"/>
      <c r="E158" s="4"/>
      <c r="F158"/>
      <c r="G158"/>
      <c r="H158"/>
      <c r="I158"/>
      <c r="J158"/>
      <c r="O158" s="2" t="e">
        <f t="shared" si="15"/>
        <v>#VALUE!</v>
      </c>
      <c r="P158" s="6" t="e">
        <f t="shared" si="16"/>
        <v>#VALUE!</v>
      </c>
      <c r="Q158" s="6" t="e">
        <f t="shared" si="17"/>
        <v>#VALUE!</v>
      </c>
      <c r="R158" s="6" t="e">
        <f t="shared" si="18"/>
        <v>#VALUE!</v>
      </c>
      <c r="S158" s="6" t="e">
        <f t="shared" si="19"/>
        <v>#VALUE!</v>
      </c>
      <c r="T158" s="6" t="e">
        <f t="shared" si="20"/>
        <v>#VALUE!</v>
      </c>
      <c r="U158" s="2" t="e">
        <f t="shared" si="21"/>
        <v>#VALUE!</v>
      </c>
    </row>
    <row r="159" spans="2:21" x14ac:dyDescent="0.3">
      <c r="B159"/>
      <c r="C159"/>
      <c r="D159"/>
      <c r="E159"/>
      <c r="F159"/>
      <c r="G159"/>
      <c r="H159"/>
      <c r="I159"/>
      <c r="J159"/>
      <c r="O159" s="2" t="e">
        <f t="shared" si="15"/>
        <v>#VALUE!</v>
      </c>
      <c r="P159" s="6" t="e">
        <f t="shared" si="16"/>
        <v>#VALUE!</v>
      </c>
      <c r="Q159" s="6" t="e">
        <f t="shared" si="17"/>
        <v>#VALUE!</v>
      </c>
      <c r="R159" s="6" t="e">
        <f t="shared" si="18"/>
        <v>#VALUE!</v>
      </c>
      <c r="S159" s="6" t="e">
        <f t="shared" si="19"/>
        <v>#VALUE!</v>
      </c>
      <c r="T159" s="6" t="e">
        <f t="shared" si="20"/>
        <v>#VALUE!</v>
      </c>
      <c r="U159" s="2" t="e">
        <f t="shared" si="21"/>
        <v>#VALUE!</v>
      </c>
    </row>
    <row r="160" spans="2:21" x14ac:dyDescent="0.3">
      <c r="B160"/>
      <c r="C160"/>
      <c r="D160"/>
      <c r="E160" s="4"/>
      <c r="F160"/>
      <c r="G160"/>
      <c r="H160"/>
      <c r="I160"/>
      <c r="J160"/>
      <c r="K160" s="1"/>
      <c r="L160" s="1"/>
      <c r="M160" s="1"/>
      <c r="O160" s="2" t="e">
        <f t="shared" si="15"/>
        <v>#VALUE!</v>
      </c>
      <c r="P160" s="6" t="e">
        <f t="shared" si="16"/>
        <v>#VALUE!</v>
      </c>
      <c r="Q160" s="6" t="e">
        <f t="shared" si="17"/>
        <v>#VALUE!</v>
      </c>
      <c r="R160" s="6" t="e">
        <f t="shared" si="18"/>
        <v>#VALUE!</v>
      </c>
      <c r="S160" s="6" t="e">
        <f t="shared" si="19"/>
        <v>#VALUE!</v>
      </c>
      <c r="T160" s="6" t="e">
        <f t="shared" si="20"/>
        <v>#VALUE!</v>
      </c>
      <c r="U160" s="2" t="e">
        <f t="shared" si="21"/>
        <v>#VALUE!</v>
      </c>
    </row>
    <row r="161" spans="2:21" x14ac:dyDescent="0.3">
      <c r="B161"/>
      <c r="C161"/>
      <c r="D161"/>
      <c r="E161"/>
      <c r="F161"/>
      <c r="G161"/>
      <c r="H161"/>
      <c r="I161"/>
      <c r="J161"/>
      <c r="O161" s="2" t="e">
        <f t="shared" si="15"/>
        <v>#VALUE!</v>
      </c>
      <c r="P161" s="6" t="e">
        <f t="shared" si="16"/>
        <v>#VALUE!</v>
      </c>
      <c r="Q161" s="6" t="e">
        <f t="shared" si="17"/>
        <v>#VALUE!</v>
      </c>
      <c r="R161" s="6" t="e">
        <f t="shared" si="18"/>
        <v>#VALUE!</v>
      </c>
      <c r="S161" s="6" t="e">
        <f t="shared" si="19"/>
        <v>#VALUE!</v>
      </c>
      <c r="T161" s="6" t="e">
        <f t="shared" si="20"/>
        <v>#VALUE!</v>
      </c>
      <c r="U161" s="2" t="e">
        <f t="shared" si="21"/>
        <v>#VALUE!</v>
      </c>
    </row>
    <row r="162" spans="2:21" x14ac:dyDescent="0.3">
      <c r="B162"/>
      <c r="C162"/>
      <c r="D162"/>
      <c r="E162"/>
      <c r="F162"/>
      <c r="G162"/>
      <c r="H162"/>
      <c r="I162"/>
      <c r="J162"/>
      <c r="O162" s="2" t="e">
        <f t="shared" si="15"/>
        <v>#VALUE!</v>
      </c>
      <c r="P162" s="6" t="e">
        <f t="shared" si="16"/>
        <v>#VALUE!</v>
      </c>
      <c r="Q162" s="6" t="e">
        <f t="shared" si="17"/>
        <v>#VALUE!</v>
      </c>
      <c r="R162" s="6" t="e">
        <f t="shared" si="18"/>
        <v>#VALUE!</v>
      </c>
      <c r="S162" s="6" t="e">
        <f t="shared" si="19"/>
        <v>#VALUE!</v>
      </c>
      <c r="T162" s="6" t="e">
        <f t="shared" si="20"/>
        <v>#VALUE!</v>
      </c>
      <c r="U162" s="2" t="e">
        <f t="shared" si="21"/>
        <v>#VALUE!</v>
      </c>
    </row>
    <row r="163" spans="2:21" x14ac:dyDescent="0.3">
      <c r="B163"/>
      <c r="C163"/>
      <c r="D163"/>
      <c r="E163" s="4"/>
      <c r="F163"/>
      <c r="G163"/>
      <c r="H163"/>
      <c r="I163"/>
      <c r="J163"/>
      <c r="O163" s="2" t="e">
        <f t="shared" si="15"/>
        <v>#VALUE!</v>
      </c>
      <c r="P163" s="6" t="e">
        <f t="shared" si="16"/>
        <v>#VALUE!</v>
      </c>
      <c r="Q163" s="6" t="e">
        <f t="shared" si="17"/>
        <v>#VALUE!</v>
      </c>
      <c r="R163" s="6" t="e">
        <f t="shared" si="18"/>
        <v>#VALUE!</v>
      </c>
      <c r="S163" s="6" t="e">
        <f t="shared" si="19"/>
        <v>#VALUE!</v>
      </c>
      <c r="T163" s="6" t="e">
        <f t="shared" si="20"/>
        <v>#VALUE!</v>
      </c>
      <c r="U163" s="2" t="e">
        <f t="shared" si="21"/>
        <v>#VALUE!</v>
      </c>
    </row>
    <row r="164" spans="2:21" x14ac:dyDescent="0.3">
      <c r="B164"/>
      <c r="C164"/>
      <c r="D164"/>
      <c r="E164" s="4"/>
      <c r="F164"/>
      <c r="G164"/>
      <c r="H164"/>
      <c r="I164"/>
      <c r="J164"/>
      <c r="O164" s="2" t="e">
        <f t="shared" si="15"/>
        <v>#VALUE!</v>
      </c>
      <c r="P164" s="6" t="e">
        <f t="shared" si="16"/>
        <v>#VALUE!</v>
      </c>
      <c r="Q164" s="6" t="e">
        <f t="shared" si="17"/>
        <v>#VALUE!</v>
      </c>
      <c r="R164" s="6" t="e">
        <f t="shared" si="18"/>
        <v>#VALUE!</v>
      </c>
      <c r="S164" s="6" t="e">
        <f t="shared" si="19"/>
        <v>#VALUE!</v>
      </c>
      <c r="T164" s="6" t="e">
        <f t="shared" si="20"/>
        <v>#VALUE!</v>
      </c>
      <c r="U164" s="2" t="e">
        <f t="shared" si="21"/>
        <v>#VALUE!</v>
      </c>
    </row>
    <row r="165" spans="2:21" x14ac:dyDescent="0.3">
      <c r="B165"/>
      <c r="C165"/>
      <c r="D165"/>
      <c r="E165"/>
      <c r="F165"/>
      <c r="G165"/>
      <c r="H165"/>
      <c r="I165"/>
      <c r="J165"/>
      <c r="O165" s="2" t="e">
        <f t="shared" si="15"/>
        <v>#VALUE!</v>
      </c>
      <c r="P165" s="6" t="e">
        <f t="shared" si="16"/>
        <v>#VALUE!</v>
      </c>
      <c r="Q165" s="6" t="e">
        <f t="shared" si="17"/>
        <v>#VALUE!</v>
      </c>
      <c r="R165" s="6" t="e">
        <f t="shared" si="18"/>
        <v>#VALUE!</v>
      </c>
      <c r="S165" s="6" t="e">
        <f t="shared" si="19"/>
        <v>#VALUE!</v>
      </c>
      <c r="T165" s="6" t="e">
        <f t="shared" si="20"/>
        <v>#VALUE!</v>
      </c>
      <c r="U165" s="2" t="e">
        <f t="shared" si="21"/>
        <v>#VALUE!</v>
      </c>
    </row>
    <row r="166" spans="2:21" x14ac:dyDescent="0.3">
      <c r="B166"/>
      <c r="C166"/>
      <c r="D166"/>
      <c r="E166"/>
      <c r="F166"/>
      <c r="G166"/>
      <c r="H166"/>
      <c r="I166"/>
      <c r="J166"/>
      <c r="O166" s="2" t="e">
        <f t="shared" si="15"/>
        <v>#VALUE!</v>
      </c>
      <c r="P166" s="6" t="e">
        <f t="shared" si="16"/>
        <v>#VALUE!</v>
      </c>
      <c r="Q166" s="6" t="e">
        <f t="shared" si="17"/>
        <v>#VALUE!</v>
      </c>
      <c r="R166" s="6" t="e">
        <f t="shared" si="18"/>
        <v>#VALUE!</v>
      </c>
      <c r="S166" s="6" t="e">
        <f t="shared" si="19"/>
        <v>#VALUE!</v>
      </c>
      <c r="T166" s="6" t="e">
        <f t="shared" si="20"/>
        <v>#VALUE!</v>
      </c>
      <c r="U166" s="2" t="e">
        <f t="shared" si="21"/>
        <v>#VALUE!</v>
      </c>
    </row>
    <row r="167" spans="2:21" x14ac:dyDescent="0.3">
      <c r="B167"/>
      <c r="C167"/>
      <c r="D167"/>
      <c r="E167" s="4"/>
      <c r="F167"/>
      <c r="G167"/>
      <c r="H167"/>
      <c r="I167"/>
      <c r="J167"/>
      <c r="K167" s="7"/>
      <c r="L167" s="7"/>
      <c r="M167" s="7"/>
      <c r="O167" s="2" t="e">
        <f t="shared" si="15"/>
        <v>#VALUE!</v>
      </c>
      <c r="P167" s="6" t="e">
        <f t="shared" si="16"/>
        <v>#VALUE!</v>
      </c>
      <c r="Q167" s="6" t="e">
        <f t="shared" si="17"/>
        <v>#VALUE!</v>
      </c>
      <c r="R167" s="6" t="e">
        <f t="shared" si="18"/>
        <v>#VALUE!</v>
      </c>
      <c r="S167" s="6" t="e">
        <f t="shared" si="19"/>
        <v>#VALUE!</v>
      </c>
      <c r="T167" s="6" t="e">
        <f t="shared" si="20"/>
        <v>#VALUE!</v>
      </c>
      <c r="U167" s="2" t="e">
        <f t="shared" si="21"/>
        <v>#VALUE!</v>
      </c>
    </row>
    <row r="168" spans="2:21" x14ac:dyDescent="0.3">
      <c r="B168"/>
      <c r="C168"/>
      <c r="D168"/>
      <c r="E168" s="4"/>
      <c r="F168"/>
      <c r="G168"/>
      <c r="H168"/>
      <c r="I168"/>
      <c r="J168"/>
      <c r="O168" s="2" t="e">
        <f t="shared" si="15"/>
        <v>#VALUE!</v>
      </c>
      <c r="P168" s="6" t="e">
        <f t="shared" si="16"/>
        <v>#VALUE!</v>
      </c>
      <c r="Q168" s="6" t="e">
        <f t="shared" si="17"/>
        <v>#VALUE!</v>
      </c>
      <c r="R168" s="6" t="e">
        <f t="shared" si="18"/>
        <v>#VALUE!</v>
      </c>
      <c r="S168" s="6" t="e">
        <f t="shared" si="19"/>
        <v>#VALUE!</v>
      </c>
      <c r="T168" s="6" t="e">
        <f t="shared" si="20"/>
        <v>#VALUE!</v>
      </c>
      <c r="U168" s="2" t="e">
        <f t="shared" si="21"/>
        <v>#VALUE!</v>
      </c>
    </row>
    <row r="169" spans="2:21" x14ac:dyDescent="0.3">
      <c r="B169"/>
      <c r="C169"/>
      <c r="D169"/>
      <c r="E169" s="4"/>
      <c r="F169"/>
      <c r="G169"/>
      <c r="H169"/>
      <c r="I169"/>
      <c r="J169"/>
      <c r="K169" s="7"/>
      <c r="L169" s="7"/>
      <c r="M169" s="7"/>
      <c r="O169" s="2" t="e">
        <f t="shared" si="15"/>
        <v>#VALUE!</v>
      </c>
      <c r="P169" s="6" t="e">
        <f t="shared" si="16"/>
        <v>#VALUE!</v>
      </c>
      <c r="Q169" s="6" t="e">
        <f t="shared" si="17"/>
        <v>#VALUE!</v>
      </c>
      <c r="R169" s="6" t="e">
        <f t="shared" si="18"/>
        <v>#VALUE!</v>
      </c>
      <c r="S169" s="6" t="e">
        <f t="shared" si="19"/>
        <v>#VALUE!</v>
      </c>
      <c r="T169" s="6" t="e">
        <f t="shared" si="20"/>
        <v>#VALUE!</v>
      </c>
      <c r="U169" s="2" t="e">
        <f t="shared" si="21"/>
        <v>#VALUE!</v>
      </c>
    </row>
    <row r="170" spans="2:21" x14ac:dyDescent="0.3">
      <c r="B170"/>
      <c r="C170"/>
      <c r="D170"/>
      <c r="E170" s="4"/>
      <c r="F170"/>
      <c r="G170"/>
      <c r="H170"/>
      <c r="I170"/>
      <c r="J170"/>
      <c r="K170" s="7"/>
      <c r="L170" s="7"/>
      <c r="M170" s="7"/>
      <c r="O170" s="2" t="e">
        <f t="shared" si="15"/>
        <v>#VALUE!</v>
      </c>
      <c r="P170" s="6" t="e">
        <f t="shared" si="16"/>
        <v>#VALUE!</v>
      </c>
      <c r="Q170" s="6" t="e">
        <f t="shared" si="17"/>
        <v>#VALUE!</v>
      </c>
      <c r="R170" s="6" t="e">
        <f t="shared" si="18"/>
        <v>#VALUE!</v>
      </c>
      <c r="S170" s="6" t="e">
        <f t="shared" si="19"/>
        <v>#VALUE!</v>
      </c>
      <c r="T170" s="6" t="e">
        <f t="shared" si="20"/>
        <v>#VALUE!</v>
      </c>
      <c r="U170" s="2" t="e">
        <f t="shared" si="21"/>
        <v>#VALUE!</v>
      </c>
    </row>
    <row r="171" spans="2:21" x14ac:dyDescent="0.3">
      <c r="B171"/>
      <c r="C171"/>
      <c r="D171"/>
      <c r="E171"/>
      <c r="F171"/>
      <c r="G171"/>
      <c r="H171"/>
      <c r="I171"/>
      <c r="J171"/>
      <c r="O171" s="2" t="e">
        <f t="shared" si="15"/>
        <v>#VALUE!</v>
      </c>
      <c r="P171" s="6" t="e">
        <f t="shared" si="16"/>
        <v>#VALUE!</v>
      </c>
      <c r="Q171" s="6" t="e">
        <f t="shared" si="17"/>
        <v>#VALUE!</v>
      </c>
      <c r="R171" s="6" t="e">
        <f t="shared" si="18"/>
        <v>#VALUE!</v>
      </c>
      <c r="S171" s="6" t="e">
        <f t="shared" si="19"/>
        <v>#VALUE!</v>
      </c>
      <c r="T171" s="6" t="e">
        <f t="shared" si="20"/>
        <v>#VALUE!</v>
      </c>
      <c r="U171" s="2" t="e">
        <f t="shared" si="21"/>
        <v>#VALUE!</v>
      </c>
    </row>
    <row r="172" spans="2:21" x14ac:dyDescent="0.3">
      <c r="B172"/>
      <c r="C172"/>
      <c r="D172"/>
      <c r="E172"/>
      <c r="F172"/>
      <c r="G172"/>
      <c r="H172"/>
      <c r="I172"/>
      <c r="J172"/>
      <c r="O172" s="2" t="e">
        <f t="shared" si="15"/>
        <v>#VALUE!</v>
      </c>
      <c r="P172" s="6" t="e">
        <f t="shared" si="16"/>
        <v>#VALUE!</v>
      </c>
      <c r="Q172" s="6" t="e">
        <f t="shared" si="17"/>
        <v>#VALUE!</v>
      </c>
      <c r="R172" s="6" t="e">
        <f t="shared" si="18"/>
        <v>#VALUE!</v>
      </c>
      <c r="S172" s="6" t="e">
        <f t="shared" si="19"/>
        <v>#VALUE!</v>
      </c>
      <c r="T172" s="6" t="e">
        <f t="shared" si="20"/>
        <v>#VALUE!</v>
      </c>
      <c r="U172" s="2" t="e">
        <f t="shared" si="21"/>
        <v>#VALUE!</v>
      </c>
    </row>
    <row r="173" spans="2:21" x14ac:dyDescent="0.3">
      <c r="B173"/>
      <c r="C173"/>
      <c r="D173"/>
      <c r="E173" s="4"/>
      <c r="F173"/>
      <c r="G173"/>
      <c r="H173"/>
      <c r="I173"/>
      <c r="J173"/>
      <c r="O173" s="2" t="e">
        <f t="shared" si="15"/>
        <v>#VALUE!</v>
      </c>
      <c r="P173" s="6" t="e">
        <f t="shared" si="16"/>
        <v>#VALUE!</v>
      </c>
      <c r="Q173" s="6" t="e">
        <f t="shared" si="17"/>
        <v>#VALUE!</v>
      </c>
      <c r="R173" s="6" t="e">
        <f t="shared" si="18"/>
        <v>#VALUE!</v>
      </c>
      <c r="S173" s="6" t="e">
        <f t="shared" si="19"/>
        <v>#VALUE!</v>
      </c>
      <c r="T173" s="6" t="e">
        <f t="shared" si="20"/>
        <v>#VALUE!</v>
      </c>
      <c r="U173" s="2" t="e">
        <f t="shared" si="21"/>
        <v>#VALUE!</v>
      </c>
    </row>
    <row r="174" spans="2:21" x14ac:dyDescent="0.3">
      <c r="B174"/>
      <c r="C174"/>
      <c r="D174"/>
      <c r="E174" s="4"/>
      <c r="F174"/>
      <c r="G174"/>
      <c r="H174"/>
      <c r="I174"/>
      <c r="J174"/>
      <c r="O174" s="2" t="e">
        <f t="shared" si="15"/>
        <v>#VALUE!</v>
      </c>
      <c r="P174" s="6" t="e">
        <f t="shared" si="16"/>
        <v>#VALUE!</v>
      </c>
      <c r="Q174" s="6" t="e">
        <f t="shared" si="17"/>
        <v>#VALUE!</v>
      </c>
      <c r="R174" s="6" t="e">
        <f t="shared" si="18"/>
        <v>#VALUE!</v>
      </c>
      <c r="S174" s="6" t="e">
        <f t="shared" si="19"/>
        <v>#VALUE!</v>
      </c>
      <c r="T174" s="6" t="e">
        <f t="shared" si="20"/>
        <v>#VALUE!</v>
      </c>
      <c r="U174" s="2" t="e">
        <f t="shared" si="21"/>
        <v>#VALUE!</v>
      </c>
    </row>
    <row r="175" spans="2:21" x14ac:dyDescent="0.3">
      <c r="B175"/>
      <c r="C175"/>
      <c r="D175"/>
      <c r="E175" s="4"/>
      <c r="F175"/>
      <c r="G175"/>
      <c r="H175"/>
      <c r="I175"/>
      <c r="J175"/>
      <c r="O175" s="2" t="e">
        <f t="shared" si="15"/>
        <v>#VALUE!</v>
      </c>
      <c r="P175" s="6" t="e">
        <f t="shared" si="16"/>
        <v>#VALUE!</v>
      </c>
      <c r="Q175" s="6" t="e">
        <f t="shared" si="17"/>
        <v>#VALUE!</v>
      </c>
      <c r="R175" s="6" t="e">
        <f t="shared" si="18"/>
        <v>#VALUE!</v>
      </c>
      <c r="S175" s="6" t="e">
        <f t="shared" si="19"/>
        <v>#VALUE!</v>
      </c>
      <c r="T175" s="6" t="e">
        <f t="shared" si="20"/>
        <v>#VALUE!</v>
      </c>
      <c r="U175" s="2" t="e">
        <f t="shared" si="21"/>
        <v>#VALUE!</v>
      </c>
    </row>
    <row r="176" spans="2:21" x14ac:dyDescent="0.3">
      <c r="B176"/>
      <c r="C176"/>
      <c r="D176"/>
      <c r="E176"/>
      <c r="F176"/>
      <c r="G176"/>
      <c r="H176"/>
      <c r="I176"/>
      <c r="J176"/>
      <c r="O176" s="2" t="e">
        <f t="shared" si="15"/>
        <v>#VALUE!</v>
      </c>
      <c r="P176" s="6" t="e">
        <f t="shared" si="16"/>
        <v>#VALUE!</v>
      </c>
      <c r="Q176" s="6" t="e">
        <f t="shared" si="17"/>
        <v>#VALUE!</v>
      </c>
      <c r="R176" s="6" t="e">
        <f t="shared" si="18"/>
        <v>#VALUE!</v>
      </c>
      <c r="S176" s="6" t="e">
        <f t="shared" si="19"/>
        <v>#VALUE!</v>
      </c>
      <c r="T176" s="6" t="e">
        <f t="shared" si="20"/>
        <v>#VALUE!</v>
      </c>
      <c r="U176" s="2" t="e">
        <f t="shared" si="21"/>
        <v>#VALUE!</v>
      </c>
    </row>
    <row r="177" spans="2:21" x14ac:dyDescent="0.3">
      <c r="B177"/>
      <c r="C177"/>
      <c r="D177"/>
      <c r="E177"/>
      <c r="F177"/>
      <c r="G177"/>
      <c r="H177"/>
      <c r="I177"/>
      <c r="J177"/>
      <c r="O177" s="2" t="e">
        <f t="shared" si="15"/>
        <v>#VALUE!</v>
      </c>
      <c r="P177" s="6" t="e">
        <f t="shared" si="16"/>
        <v>#VALUE!</v>
      </c>
      <c r="Q177" s="6" t="e">
        <f t="shared" si="17"/>
        <v>#VALUE!</v>
      </c>
      <c r="R177" s="6" t="e">
        <f t="shared" si="18"/>
        <v>#VALUE!</v>
      </c>
      <c r="S177" s="6" t="e">
        <f t="shared" si="19"/>
        <v>#VALUE!</v>
      </c>
      <c r="T177" s="6" t="e">
        <f t="shared" si="20"/>
        <v>#VALUE!</v>
      </c>
      <c r="U177" s="2" t="e">
        <f t="shared" si="21"/>
        <v>#VALUE!</v>
      </c>
    </row>
    <row r="178" spans="2:21" x14ac:dyDescent="0.3">
      <c r="B178"/>
      <c r="C178"/>
      <c r="D178"/>
      <c r="E178" s="4"/>
      <c r="F178"/>
      <c r="G178"/>
      <c r="H178"/>
      <c r="I178"/>
      <c r="J178"/>
      <c r="K178" s="7"/>
      <c r="L178" s="7"/>
      <c r="M178" s="7"/>
      <c r="O178" s="2" t="e">
        <f t="shared" si="15"/>
        <v>#VALUE!</v>
      </c>
      <c r="P178" s="6" t="e">
        <f t="shared" si="16"/>
        <v>#VALUE!</v>
      </c>
      <c r="Q178" s="6" t="e">
        <f t="shared" si="17"/>
        <v>#VALUE!</v>
      </c>
      <c r="R178" s="6" t="e">
        <f t="shared" si="18"/>
        <v>#VALUE!</v>
      </c>
      <c r="S178" s="6" t="e">
        <f t="shared" si="19"/>
        <v>#VALUE!</v>
      </c>
      <c r="T178" s="6" t="e">
        <f t="shared" si="20"/>
        <v>#VALUE!</v>
      </c>
      <c r="U178" s="2" t="e">
        <f t="shared" si="21"/>
        <v>#VALUE!</v>
      </c>
    </row>
    <row r="179" spans="2:21" x14ac:dyDescent="0.3">
      <c r="B179"/>
      <c r="C179"/>
      <c r="D179"/>
      <c r="E179"/>
      <c r="F179"/>
      <c r="G179"/>
      <c r="H179"/>
      <c r="I179"/>
      <c r="J179"/>
      <c r="O179" s="2" t="e">
        <f t="shared" si="15"/>
        <v>#VALUE!</v>
      </c>
      <c r="P179" s="6" t="e">
        <f t="shared" si="16"/>
        <v>#VALUE!</v>
      </c>
      <c r="Q179" s="6" t="e">
        <f t="shared" si="17"/>
        <v>#VALUE!</v>
      </c>
      <c r="R179" s="6" t="e">
        <f t="shared" si="18"/>
        <v>#VALUE!</v>
      </c>
      <c r="S179" s="6" t="e">
        <f t="shared" si="19"/>
        <v>#VALUE!</v>
      </c>
      <c r="T179" s="6" t="e">
        <f t="shared" si="20"/>
        <v>#VALUE!</v>
      </c>
      <c r="U179" s="2" t="e">
        <f t="shared" si="21"/>
        <v>#VALUE!</v>
      </c>
    </row>
    <row r="180" spans="2:21" x14ac:dyDescent="0.3">
      <c r="B180"/>
      <c r="C180"/>
      <c r="D180"/>
      <c r="E180" s="4"/>
      <c r="F180"/>
      <c r="G180"/>
      <c r="H180"/>
      <c r="I180"/>
      <c r="J180"/>
      <c r="O180" s="2" t="e">
        <f t="shared" si="15"/>
        <v>#VALUE!</v>
      </c>
      <c r="P180" s="6" t="e">
        <f t="shared" si="16"/>
        <v>#VALUE!</v>
      </c>
      <c r="Q180" s="6" t="e">
        <f t="shared" si="17"/>
        <v>#VALUE!</v>
      </c>
      <c r="R180" s="6" t="e">
        <f t="shared" si="18"/>
        <v>#VALUE!</v>
      </c>
      <c r="S180" s="6" t="e">
        <f t="shared" si="19"/>
        <v>#VALUE!</v>
      </c>
      <c r="T180" s="6" t="e">
        <f t="shared" si="20"/>
        <v>#VALUE!</v>
      </c>
      <c r="U180" s="2" t="e">
        <f t="shared" si="21"/>
        <v>#VALUE!</v>
      </c>
    </row>
    <row r="181" spans="2:21" x14ac:dyDescent="0.3">
      <c r="B181"/>
      <c r="C181"/>
      <c r="D181"/>
      <c r="E181"/>
      <c r="F181"/>
      <c r="G181"/>
      <c r="H181"/>
      <c r="I181"/>
      <c r="J181"/>
      <c r="O181" s="2" t="e">
        <f t="shared" si="15"/>
        <v>#VALUE!</v>
      </c>
      <c r="P181" s="6" t="e">
        <f t="shared" si="16"/>
        <v>#VALUE!</v>
      </c>
      <c r="Q181" s="6" t="e">
        <f t="shared" si="17"/>
        <v>#VALUE!</v>
      </c>
      <c r="R181" s="6" t="e">
        <f t="shared" si="18"/>
        <v>#VALUE!</v>
      </c>
      <c r="S181" s="6" t="e">
        <f t="shared" si="19"/>
        <v>#VALUE!</v>
      </c>
      <c r="T181" s="6" t="e">
        <f t="shared" si="20"/>
        <v>#VALUE!</v>
      </c>
      <c r="U181" s="2" t="e">
        <f t="shared" si="21"/>
        <v>#VALUE!</v>
      </c>
    </row>
    <row r="182" spans="2:21" x14ac:dyDescent="0.3">
      <c r="B182"/>
      <c r="C182"/>
      <c r="D182"/>
      <c r="E182"/>
      <c r="F182"/>
      <c r="G182"/>
      <c r="H182"/>
      <c r="I182"/>
      <c r="J182"/>
      <c r="O182" s="2" t="e">
        <f t="shared" si="15"/>
        <v>#VALUE!</v>
      </c>
      <c r="P182" s="6" t="e">
        <f t="shared" si="16"/>
        <v>#VALUE!</v>
      </c>
      <c r="Q182" s="6" t="e">
        <f t="shared" si="17"/>
        <v>#VALUE!</v>
      </c>
      <c r="R182" s="6" t="e">
        <f t="shared" si="18"/>
        <v>#VALUE!</v>
      </c>
      <c r="S182" s="6" t="e">
        <f t="shared" si="19"/>
        <v>#VALUE!</v>
      </c>
      <c r="T182" s="6" t="e">
        <f t="shared" si="20"/>
        <v>#VALUE!</v>
      </c>
      <c r="U182" s="2" t="e">
        <f t="shared" si="21"/>
        <v>#VALUE!</v>
      </c>
    </row>
    <row r="183" spans="2:21" x14ac:dyDescent="0.3">
      <c r="B183"/>
      <c r="C183"/>
      <c r="D183"/>
      <c r="E183" s="4"/>
      <c r="F183"/>
      <c r="G183"/>
      <c r="H183"/>
      <c r="I183"/>
      <c r="J183"/>
      <c r="K183" s="7"/>
      <c r="L183" s="7"/>
      <c r="M183" s="7"/>
      <c r="O183" s="2" t="e">
        <f t="shared" si="15"/>
        <v>#VALUE!</v>
      </c>
      <c r="P183" s="6" t="e">
        <f t="shared" si="16"/>
        <v>#VALUE!</v>
      </c>
      <c r="Q183" s="6" t="e">
        <f t="shared" si="17"/>
        <v>#VALUE!</v>
      </c>
      <c r="R183" s="6" t="e">
        <f t="shared" si="18"/>
        <v>#VALUE!</v>
      </c>
      <c r="S183" s="6" t="e">
        <f t="shared" si="19"/>
        <v>#VALUE!</v>
      </c>
      <c r="T183" s="6" t="e">
        <f t="shared" si="20"/>
        <v>#VALUE!</v>
      </c>
      <c r="U183" s="2" t="e">
        <f t="shared" si="21"/>
        <v>#VALUE!</v>
      </c>
    </row>
    <row r="184" spans="2:21" x14ac:dyDescent="0.3">
      <c r="B184"/>
      <c r="C184"/>
      <c r="D184"/>
      <c r="E184"/>
      <c r="F184"/>
      <c r="G184"/>
      <c r="H184"/>
      <c r="I184"/>
      <c r="J184"/>
      <c r="O184" s="2" t="e">
        <f t="shared" si="15"/>
        <v>#VALUE!</v>
      </c>
      <c r="P184" s="6" t="e">
        <f t="shared" si="16"/>
        <v>#VALUE!</v>
      </c>
      <c r="Q184" s="6" t="e">
        <f t="shared" si="17"/>
        <v>#VALUE!</v>
      </c>
      <c r="R184" s="6" t="e">
        <f t="shared" si="18"/>
        <v>#VALUE!</v>
      </c>
      <c r="S184" s="6" t="e">
        <f t="shared" si="19"/>
        <v>#VALUE!</v>
      </c>
      <c r="T184" s="6" t="e">
        <f t="shared" si="20"/>
        <v>#VALUE!</v>
      </c>
      <c r="U184" s="2" t="e">
        <f t="shared" si="21"/>
        <v>#VALUE!</v>
      </c>
    </row>
    <row r="185" spans="2:21" x14ac:dyDescent="0.3">
      <c r="B185" s="4"/>
      <c r="C185" s="4"/>
      <c r="D185" s="4"/>
      <c r="E185" s="4"/>
      <c r="F185"/>
      <c r="G185"/>
      <c r="H185"/>
      <c r="I185"/>
      <c r="J185"/>
      <c r="O185" s="2" t="e">
        <f t="shared" si="15"/>
        <v>#VALUE!</v>
      </c>
      <c r="P185" s="6" t="e">
        <f t="shared" si="16"/>
        <v>#VALUE!</v>
      </c>
      <c r="Q185" s="6" t="e">
        <f t="shared" si="17"/>
        <v>#VALUE!</v>
      </c>
      <c r="R185" s="6" t="e">
        <f t="shared" si="18"/>
        <v>#VALUE!</v>
      </c>
      <c r="S185" s="6" t="e">
        <f t="shared" si="19"/>
        <v>#VALUE!</v>
      </c>
      <c r="T185" s="6" t="e">
        <f t="shared" si="20"/>
        <v>#VALUE!</v>
      </c>
      <c r="U185" s="2" t="e">
        <f t="shared" si="21"/>
        <v>#VALUE!</v>
      </c>
    </row>
    <row r="186" spans="2:21" x14ac:dyDescent="0.3">
      <c r="B186"/>
      <c r="C186"/>
      <c r="D186"/>
      <c r="E186"/>
      <c r="F186"/>
      <c r="G186"/>
      <c r="H186"/>
      <c r="I186"/>
      <c r="J186"/>
      <c r="O186" s="2" t="e">
        <f t="shared" si="15"/>
        <v>#VALUE!</v>
      </c>
      <c r="P186" s="6" t="e">
        <f t="shared" si="16"/>
        <v>#VALUE!</v>
      </c>
      <c r="Q186" s="6" t="e">
        <f t="shared" si="17"/>
        <v>#VALUE!</v>
      </c>
      <c r="R186" s="6" t="e">
        <f t="shared" si="18"/>
        <v>#VALUE!</v>
      </c>
      <c r="S186" s="6" t="e">
        <f t="shared" si="19"/>
        <v>#VALUE!</v>
      </c>
      <c r="T186" s="6" t="e">
        <f t="shared" si="20"/>
        <v>#VALUE!</v>
      </c>
      <c r="U186" s="2" t="e">
        <f t="shared" si="21"/>
        <v>#VALUE!</v>
      </c>
    </row>
    <row r="187" spans="2:21" x14ac:dyDescent="0.3">
      <c r="B187" s="4"/>
      <c r="C187" s="4"/>
      <c r="D187" s="4"/>
      <c r="E187" s="4"/>
      <c r="F187"/>
      <c r="G187"/>
      <c r="H187"/>
      <c r="I187"/>
      <c r="J187"/>
      <c r="K187" s="1"/>
      <c r="L187" s="1"/>
      <c r="M187" s="1"/>
      <c r="O187" s="2" t="e">
        <f t="shared" si="15"/>
        <v>#VALUE!</v>
      </c>
      <c r="P187" s="6" t="e">
        <f t="shared" si="16"/>
        <v>#VALUE!</v>
      </c>
      <c r="Q187" s="6" t="e">
        <f t="shared" si="17"/>
        <v>#VALUE!</v>
      </c>
      <c r="R187" s="6" t="e">
        <f t="shared" si="18"/>
        <v>#VALUE!</v>
      </c>
      <c r="S187" s="6" t="e">
        <f t="shared" si="19"/>
        <v>#VALUE!</v>
      </c>
      <c r="T187" s="6" t="e">
        <f t="shared" si="20"/>
        <v>#VALUE!</v>
      </c>
      <c r="U187" s="2" t="e">
        <f t="shared" si="21"/>
        <v>#VALUE!</v>
      </c>
    </row>
    <row r="188" spans="2:21" x14ac:dyDescent="0.3">
      <c r="B188"/>
      <c r="C188"/>
      <c r="D188"/>
      <c r="E188"/>
      <c r="F188"/>
      <c r="G188"/>
      <c r="H188"/>
      <c r="I188"/>
      <c r="J188"/>
      <c r="O188" s="2" t="e">
        <f t="shared" si="15"/>
        <v>#VALUE!</v>
      </c>
      <c r="P188" s="6" t="e">
        <f t="shared" si="16"/>
        <v>#VALUE!</v>
      </c>
      <c r="Q188" s="6" t="e">
        <f t="shared" si="17"/>
        <v>#VALUE!</v>
      </c>
      <c r="R188" s="6" t="e">
        <f t="shared" si="18"/>
        <v>#VALUE!</v>
      </c>
      <c r="S188" s="6" t="e">
        <f t="shared" si="19"/>
        <v>#VALUE!</v>
      </c>
      <c r="T188" s="6" t="e">
        <f t="shared" si="20"/>
        <v>#VALUE!</v>
      </c>
      <c r="U188" s="2" t="e">
        <f t="shared" si="21"/>
        <v>#VALUE!</v>
      </c>
    </row>
    <row r="189" spans="2:21" x14ac:dyDescent="0.3">
      <c r="B189"/>
      <c r="C189"/>
      <c r="D189"/>
      <c r="E189"/>
      <c r="F189"/>
      <c r="G189"/>
      <c r="H189"/>
      <c r="I189"/>
      <c r="J189"/>
      <c r="O189" s="2" t="e">
        <f t="shared" si="15"/>
        <v>#VALUE!</v>
      </c>
      <c r="P189" s="6" t="e">
        <f t="shared" si="16"/>
        <v>#VALUE!</v>
      </c>
      <c r="Q189" s="6" t="e">
        <f t="shared" si="17"/>
        <v>#VALUE!</v>
      </c>
      <c r="R189" s="6" t="e">
        <f t="shared" si="18"/>
        <v>#VALUE!</v>
      </c>
      <c r="S189" s="6" t="e">
        <f t="shared" si="19"/>
        <v>#VALUE!</v>
      </c>
      <c r="T189" s="6" t="e">
        <f t="shared" si="20"/>
        <v>#VALUE!</v>
      </c>
      <c r="U189" s="2" t="e">
        <f t="shared" si="21"/>
        <v>#VALUE!</v>
      </c>
    </row>
    <row r="190" spans="2:21" x14ac:dyDescent="0.3">
      <c r="B190"/>
      <c r="C190"/>
      <c r="D190"/>
      <c r="E190"/>
      <c r="F190"/>
      <c r="G190"/>
      <c r="H190"/>
      <c r="I190"/>
      <c r="J190"/>
      <c r="O190" s="2" t="e">
        <f t="shared" si="15"/>
        <v>#VALUE!</v>
      </c>
      <c r="P190" s="6" t="e">
        <f t="shared" si="16"/>
        <v>#VALUE!</v>
      </c>
      <c r="Q190" s="6" t="e">
        <f t="shared" si="17"/>
        <v>#VALUE!</v>
      </c>
      <c r="R190" s="6" t="e">
        <f t="shared" si="18"/>
        <v>#VALUE!</v>
      </c>
      <c r="S190" s="6" t="e">
        <f t="shared" si="19"/>
        <v>#VALUE!</v>
      </c>
      <c r="T190" s="6" t="e">
        <f t="shared" si="20"/>
        <v>#VALUE!</v>
      </c>
      <c r="U190" s="2" t="e">
        <f t="shared" si="21"/>
        <v>#VALUE!</v>
      </c>
    </row>
    <row r="191" spans="2:21" x14ac:dyDescent="0.3">
      <c r="B191" s="4"/>
      <c r="C191" s="4"/>
      <c r="D191" s="4"/>
      <c r="E191" s="4"/>
      <c r="F191"/>
      <c r="G191"/>
      <c r="H191"/>
      <c r="I191"/>
      <c r="J191"/>
      <c r="O191" s="2" t="e">
        <f t="shared" si="15"/>
        <v>#VALUE!</v>
      </c>
      <c r="P191" s="6" t="e">
        <f t="shared" si="16"/>
        <v>#VALUE!</v>
      </c>
      <c r="Q191" s="6" t="e">
        <f t="shared" si="17"/>
        <v>#VALUE!</v>
      </c>
      <c r="R191" s="6" t="e">
        <f t="shared" si="18"/>
        <v>#VALUE!</v>
      </c>
      <c r="S191" s="6" t="e">
        <f t="shared" si="19"/>
        <v>#VALUE!</v>
      </c>
      <c r="T191" s="6" t="e">
        <f t="shared" si="20"/>
        <v>#VALUE!</v>
      </c>
      <c r="U191" s="2" t="e">
        <f t="shared" si="21"/>
        <v>#VALUE!</v>
      </c>
    </row>
    <row r="192" spans="2:21" x14ac:dyDescent="0.3">
      <c r="B192" s="4"/>
      <c r="C192" s="4"/>
      <c r="D192" s="4"/>
      <c r="E192" s="4"/>
      <c r="F192"/>
      <c r="G192"/>
      <c r="H192"/>
      <c r="I192"/>
      <c r="J192"/>
      <c r="O192" s="2" t="e">
        <f t="shared" si="15"/>
        <v>#VALUE!</v>
      </c>
      <c r="P192" s="6" t="e">
        <f t="shared" si="16"/>
        <v>#VALUE!</v>
      </c>
      <c r="Q192" s="6" t="e">
        <f t="shared" si="17"/>
        <v>#VALUE!</v>
      </c>
      <c r="R192" s="6" t="e">
        <f t="shared" si="18"/>
        <v>#VALUE!</v>
      </c>
      <c r="S192" s="6" t="e">
        <f t="shared" si="19"/>
        <v>#VALUE!</v>
      </c>
      <c r="T192" s="6" t="e">
        <f t="shared" si="20"/>
        <v>#VALUE!</v>
      </c>
      <c r="U192" s="2" t="e">
        <f t="shared" si="21"/>
        <v>#VALUE!</v>
      </c>
    </row>
    <row r="193" spans="2:21" x14ac:dyDescent="0.3">
      <c r="B193"/>
      <c r="C193"/>
      <c r="D193"/>
      <c r="E193"/>
      <c r="F193"/>
      <c r="G193"/>
      <c r="H193"/>
      <c r="I193"/>
      <c r="J193"/>
      <c r="O193" s="2" t="e">
        <f t="shared" ref="O193:O256" si="22">SUBSTITUTE(MID(A193,53,FIND("GBHS",A193)-54), ".", ",")</f>
        <v>#VALUE!</v>
      </c>
      <c r="P193" s="6" t="e">
        <f t="shared" ref="P193:P256" si="23">MID(O193,1,4)</f>
        <v>#VALUE!</v>
      </c>
      <c r="Q193" s="6" t="e">
        <f t="shared" ref="Q193:Q256" si="24">MID(O193,6,4)</f>
        <v>#VALUE!</v>
      </c>
      <c r="R193" s="6" t="e">
        <f t="shared" ref="R193:R256" si="25">MID(O193,11,4)</f>
        <v>#VALUE!</v>
      </c>
      <c r="S193" s="6" t="e">
        <f t="shared" ref="S193:S256" si="26">MID(O193,16,4)</f>
        <v>#VALUE!</v>
      </c>
      <c r="T193" s="6" t="e">
        <f t="shared" ref="T193:T256" si="27">MID(O193,21,4)</f>
        <v>#VALUE!</v>
      </c>
      <c r="U193" s="2" t="e">
        <f t="shared" ref="U193:U256" si="28">SUBSTITUTE(CONCATENATE("&lt;Parametros&gt;","&lt;Alfa&gt;",P193,"&lt;/Alfa&gt;","&lt;Beta&gt;",Q193,"&lt;/Beta&gt;","&lt;Gamma&gt;",R193,"&lt;/Gamma&gt;","&lt;Delta&gt;",S193,"&lt;/Delta&gt;","&lt;Ro&gt;",T193,"&lt;/Ro&gt;","&lt;/Parametros&gt;"),",",".")</f>
        <v>#VALUE!</v>
      </c>
    </row>
    <row r="194" spans="2:21" x14ac:dyDescent="0.3">
      <c r="B194"/>
      <c r="C194"/>
      <c r="D194"/>
      <c r="E194"/>
      <c r="F194"/>
      <c r="G194"/>
      <c r="H194"/>
      <c r="I194"/>
      <c r="J194"/>
      <c r="O194" s="2" t="e">
        <f t="shared" si="22"/>
        <v>#VALUE!</v>
      </c>
      <c r="P194" s="6" t="e">
        <f t="shared" si="23"/>
        <v>#VALUE!</v>
      </c>
      <c r="Q194" s="6" t="e">
        <f t="shared" si="24"/>
        <v>#VALUE!</v>
      </c>
      <c r="R194" s="6" t="e">
        <f t="shared" si="25"/>
        <v>#VALUE!</v>
      </c>
      <c r="S194" s="6" t="e">
        <f t="shared" si="26"/>
        <v>#VALUE!</v>
      </c>
      <c r="T194" s="6" t="e">
        <f t="shared" si="27"/>
        <v>#VALUE!</v>
      </c>
      <c r="U194" s="2" t="e">
        <f t="shared" si="28"/>
        <v>#VALUE!</v>
      </c>
    </row>
    <row r="195" spans="2:21" x14ac:dyDescent="0.3">
      <c r="B195"/>
      <c r="C195"/>
      <c r="D195"/>
      <c r="E195"/>
      <c r="F195"/>
      <c r="G195"/>
      <c r="H195"/>
      <c r="I195"/>
      <c r="J195"/>
      <c r="O195" s="2" t="e">
        <f t="shared" si="22"/>
        <v>#VALUE!</v>
      </c>
      <c r="P195" s="6" t="e">
        <f t="shared" si="23"/>
        <v>#VALUE!</v>
      </c>
      <c r="Q195" s="6" t="e">
        <f t="shared" si="24"/>
        <v>#VALUE!</v>
      </c>
      <c r="R195" s="6" t="e">
        <f t="shared" si="25"/>
        <v>#VALUE!</v>
      </c>
      <c r="S195" s="6" t="e">
        <f t="shared" si="26"/>
        <v>#VALUE!</v>
      </c>
      <c r="T195" s="6" t="e">
        <f t="shared" si="27"/>
        <v>#VALUE!</v>
      </c>
      <c r="U195" s="2" t="e">
        <f t="shared" si="28"/>
        <v>#VALUE!</v>
      </c>
    </row>
    <row r="196" spans="2:21" x14ac:dyDescent="0.3">
      <c r="B196"/>
      <c r="C196"/>
      <c r="D196"/>
      <c r="E196"/>
      <c r="F196"/>
      <c r="G196"/>
      <c r="H196"/>
      <c r="I196"/>
      <c r="J196"/>
      <c r="O196" s="2" t="e">
        <f t="shared" si="22"/>
        <v>#VALUE!</v>
      </c>
      <c r="P196" s="6" t="e">
        <f t="shared" si="23"/>
        <v>#VALUE!</v>
      </c>
      <c r="Q196" s="6" t="e">
        <f t="shared" si="24"/>
        <v>#VALUE!</v>
      </c>
      <c r="R196" s="6" t="e">
        <f t="shared" si="25"/>
        <v>#VALUE!</v>
      </c>
      <c r="S196" s="6" t="e">
        <f t="shared" si="26"/>
        <v>#VALUE!</v>
      </c>
      <c r="T196" s="6" t="e">
        <f t="shared" si="27"/>
        <v>#VALUE!</v>
      </c>
      <c r="U196" s="2" t="e">
        <f t="shared" si="28"/>
        <v>#VALUE!</v>
      </c>
    </row>
    <row r="197" spans="2:21" x14ac:dyDescent="0.3">
      <c r="B197"/>
      <c r="C197"/>
      <c r="D197"/>
      <c r="E197"/>
      <c r="F197"/>
      <c r="G197"/>
      <c r="H197"/>
      <c r="I197"/>
      <c r="J197"/>
      <c r="O197" s="2" t="e">
        <f t="shared" si="22"/>
        <v>#VALUE!</v>
      </c>
      <c r="P197" s="6" t="e">
        <f t="shared" si="23"/>
        <v>#VALUE!</v>
      </c>
      <c r="Q197" s="6" t="e">
        <f t="shared" si="24"/>
        <v>#VALUE!</v>
      </c>
      <c r="R197" s="6" t="e">
        <f t="shared" si="25"/>
        <v>#VALUE!</v>
      </c>
      <c r="S197" s="6" t="e">
        <f t="shared" si="26"/>
        <v>#VALUE!</v>
      </c>
      <c r="T197" s="6" t="e">
        <f t="shared" si="27"/>
        <v>#VALUE!</v>
      </c>
      <c r="U197" s="2" t="e">
        <f t="shared" si="28"/>
        <v>#VALUE!</v>
      </c>
    </row>
    <row r="198" spans="2:21" x14ac:dyDescent="0.3">
      <c r="B198"/>
      <c r="C198"/>
      <c r="D198"/>
      <c r="E198" s="4"/>
      <c r="F198"/>
      <c r="G198"/>
      <c r="H198"/>
      <c r="I198"/>
      <c r="J198"/>
      <c r="O198" s="2" t="e">
        <f t="shared" si="22"/>
        <v>#VALUE!</v>
      </c>
      <c r="P198" s="6" t="e">
        <f t="shared" si="23"/>
        <v>#VALUE!</v>
      </c>
      <c r="Q198" s="6" t="e">
        <f t="shared" si="24"/>
        <v>#VALUE!</v>
      </c>
      <c r="R198" s="6" t="e">
        <f t="shared" si="25"/>
        <v>#VALUE!</v>
      </c>
      <c r="S198" s="6" t="e">
        <f t="shared" si="26"/>
        <v>#VALUE!</v>
      </c>
      <c r="T198" s="6" t="e">
        <f t="shared" si="27"/>
        <v>#VALUE!</v>
      </c>
      <c r="U198" s="2" t="e">
        <f t="shared" si="28"/>
        <v>#VALUE!</v>
      </c>
    </row>
    <row r="199" spans="2:21" x14ac:dyDescent="0.3">
      <c r="B199" s="4"/>
      <c r="C199" s="4"/>
      <c r="D199" s="4"/>
      <c r="E199" s="4"/>
      <c r="F199"/>
      <c r="G199"/>
      <c r="H199"/>
      <c r="I199"/>
      <c r="J199"/>
      <c r="O199" s="2" t="e">
        <f t="shared" si="22"/>
        <v>#VALUE!</v>
      </c>
      <c r="P199" s="6" t="e">
        <f t="shared" si="23"/>
        <v>#VALUE!</v>
      </c>
      <c r="Q199" s="6" t="e">
        <f t="shared" si="24"/>
        <v>#VALUE!</v>
      </c>
      <c r="R199" s="6" t="e">
        <f t="shared" si="25"/>
        <v>#VALUE!</v>
      </c>
      <c r="S199" s="6" t="e">
        <f t="shared" si="26"/>
        <v>#VALUE!</v>
      </c>
      <c r="T199" s="6" t="e">
        <f t="shared" si="27"/>
        <v>#VALUE!</v>
      </c>
      <c r="U199" s="2" t="e">
        <f t="shared" si="28"/>
        <v>#VALUE!</v>
      </c>
    </row>
    <row r="200" spans="2:21" x14ac:dyDescent="0.3">
      <c r="B200"/>
      <c r="C200"/>
      <c r="D200"/>
      <c r="E200"/>
      <c r="F200"/>
      <c r="G200"/>
      <c r="H200"/>
      <c r="I200"/>
      <c r="J200"/>
      <c r="O200" s="2" t="e">
        <f t="shared" si="22"/>
        <v>#VALUE!</v>
      </c>
      <c r="P200" s="6" t="e">
        <f t="shared" si="23"/>
        <v>#VALUE!</v>
      </c>
      <c r="Q200" s="6" t="e">
        <f t="shared" si="24"/>
        <v>#VALUE!</v>
      </c>
      <c r="R200" s="6" t="e">
        <f t="shared" si="25"/>
        <v>#VALUE!</v>
      </c>
      <c r="S200" s="6" t="e">
        <f t="shared" si="26"/>
        <v>#VALUE!</v>
      </c>
      <c r="T200" s="6" t="e">
        <f t="shared" si="27"/>
        <v>#VALUE!</v>
      </c>
      <c r="U200" s="2" t="e">
        <f t="shared" si="28"/>
        <v>#VALUE!</v>
      </c>
    </row>
    <row r="201" spans="2:21" x14ac:dyDescent="0.3">
      <c r="B201"/>
      <c r="C201"/>
      <c r="D201"/>
      <c r="E201"/>
      <c r="F201"/>
      <c r="G201"/>
      <c r="H201"/>
      <c r="I201"/>
      <c r="J201"/>
      <c r="O201" s="2" t="e">
        <f t="shared" si="22"/>
        <v>#VALUE!</v>
      </c>
      <c r="P201" s="6" t="e">
        <f t="shared" si="23"/>
        <v>#VALUE!</v>
      </c>
      <c r="Q201" s="6" t="e">
        <f t="shared" si="24"/>
        <v>#VALUE!</v>
      </c>
      <c r="R201" s="6" t="e">
        <f t="shared" si="25"/>
        <v>#VALUE!</v>
      </c>
      <c r="S201" s="6" t="e">
        <f t="shared" si="26"/>
        <v>#VALUE!</v>
      </c>
      <c r="T201" s="6" t="e">
        <f t="shared" si="27"/>
        <v>#VALUE!</v>
      </c>
      <c r="U201" s="2" t="e">
        <f t="shared" si="28"/>
        <v>#VALUE!</v>
      </c>
    </row>
    <row r="202" spans="2:21" x14ac:dyDescent="0.3">
      <c r="B202"/>
      <c r="C202"/>
      <c r="D202"/>
      <c r="E202" s="4"/>
      <c r="F202"/>
      <c r="G202"/>
      <c r="H202"/>
      <c r="I202"/>
      <c r="J202"/>
      <c r="K202" s="7"/>
      <c r="L202" s="7"/>
      <c r="M202" s="7"/>
      <c r="O202" s="2" t="e">
        <f t="shared" si="22"/>
        <v>#VALUE!</v>
      </c>
      <c r="P202" s="6" t="e">
        <f t="shared" si="23"/>
        <v>#VALUE!</v>
      </c>
      <c r="Q202" s="6" t="e">
        <f t="shared" si="24"/>
        <v>#VALUE!</v>
      </c>
      <c r="R202" s="6" t="e">
        <f t="shared" si="25"/>
        <v>#VALUE!</v>
      </c>
      <c r="S202" s="6" t="e">
        <f t="shared" si="26"/>
        <v>#VALUE!</v>
      </c>
      <c r="T202" s="6" t="e">
        <f t="shared" si="27"/>
        <v>#VALUE!</v>
      </c>
      <c r="U202" s="2" t="e">
        <f t="shared" si="28"/>
        <v>#VALUE!</v>
      </c>
    </row>
    <row r="203" spans="2:21" x14ac:dyDescent="0.3">
      <c r="B203" s="4"/>
      <c r="C203" s="4"/>
      <c r="D203" s="4"/>
      <c r="E203" s="4"/>
      <c r="F203"/>
      <c r="G203"/>
      <c r="H203"/>
      <c r="I203"/>
      <c r="J203"/>
      <c r="O203" s="2" t="e">
        <f t="shared" si="22"/>
        <v>#VALUE!</v>
      </c>
      <c r="P203" s="6" t="e">
        <f t="shared" si="23"/>
        <v>#VALUE!</v>
      </c>
      <c r="Q203" s="6" t="e">
        <f t="shared" si="24"/>
        <v>#VALUE!</v>
      </c>
      <c r="R203" s="6" t="e">
        <f t="shared" si="25"/>
        <v>#VALUE!</v>
      </c>
      <c r="S203" s="6" t="e">
        <f t="shared" si="26"/>
        <v>#VALUE!</v>
      </c>
      <c r="T203" s="6" t="e">
        <f t="shared" si="27"/>
        <v>#VALUE!</v>
      </c>
      <c r="U203" s="2" t="e">
        <f t="shared" si="28"/>
        <v>#VALUE!</v>
      </c>
    </row>
    <row r="204" spans="2:21" x14ac:dyDescent="0.3">
      <c r="B204"/>
      <c r="C204"/>
      <c r="D204"/>
      <c r="E204" s="4"/>
      <c r="F204"/>
      <c r="G204"/>
      <c r="H204"/>
      <c r="I204"/>
      <c r="J204"/>
      <c r="O204" s="2" t="e">
        <f t="shared" si="22"/>
        <v>#VALUE!</v>
      </c>
      <c r="P204" s="6" t="e">
        <f t="shared" si="23"/>
        <v>#VALUE!</v>
      </c>
      <c r="Q204" s="6" t="e">
        <f t="shared" si="24"/>
        <v>#VALUE!</v>
      </c>
      <c r="R204" s="6" t="e">
        <f t="shared" si="25"/>
        <v>#VALUE!</v>
      </c>
      <c r="S204" s="6" t="e">
        <f t="shared" si="26"/>
        <v>#VALUE!</v>
      </c>
      <c r="T204" s="6" t="e">
        <f t="shared" si="27"/>
        <v>#VALUE!</v>
      </c>
      <c r="U204" s="2" t="e">
        <f t="shared" si="28"/>
        <v>#VALUE!</v>
      </c>
    </row>
    <row r="205" spans="2:21" x14ac:dyDescent="0.3">
      <c r="B205"/>
      <c r="C205"/>
      <c r="D205"/>
      <c r="E205"/>
      <c r="F205"/>
      <c r="G205"/>
      <c r="H205"/>
      <c r="I205"/>
      <c r="J205"/>
      <c r="O205" s="2" t="e">
        <f t="shared" si="22"/>
        <v>#VALUE!</v>
      </c>
      <c r="P205" s="6" t="e">
        <f t="shared" si="23"/>
        <v>#VALUE!</v>
      </c>
      <c r="Q205" s="6" t="e">
        <f t="shared" si="24"/>
        <v>#VALUE!</v>
      </c>
      <c r="R205" s="6" t="e">
        <f t="shared" si="25"/>
        <v>#VALUE!</v>
      </c>
      <c r="S205" s="6" t="e">
        <f t="shared" si="26"/>
        <v>#VALUE!</v>
      </c>
      <c r="T205" s="6" t="e">
        <f t="shared" si="27"/>
        <v>#VALUE!</v>
      </c>
      <c r="U205" s="2" t="e">
        <f t="shared" si="28"/>
        <v>#VALUE!</v>
      </c>
    </row>
    <row r="206" spans="2:21" x14ac:dyDescent="0.3">
      <c r="B206"/>
      <c r="C206"/>
      <c r="D206"/>
      <c r="E206" s="4"/>
      <c r="F206"/>
      <c r="G206"/>
      <c r="H206"/>
      <c r="I206"/>
      <c r="J206"/>
      <c r="O206" s="2" t="e">
        <f t="shared" si="22"/>
        <v>#VALUE!</v>
      </c>
      <c r="P206" s="6" t="e">
        <f t="shared" si="23"/>
        <v>#VALUE!</v>
      </c>
      <c r="Q206" s="6" t="e">
        <f t="shared" si="24"/>
        <v>#VALUE!</v>
      </c>
      <c r="R206" s="6" t="e">
        <f t="shared" si="25"/>
        <v>#VALUE!</v>
      </c>
      <c r="S206" s="6" t="e">
        <f t="shared" si="26"/>
        <v>#VALUE!</v>
      </c>
      <c r="T206" s="6" t="e">
        <f t="shared" si="27"/>
        <v>#VALUE!</v>
      </c>
      <c r="U206" s="2" t="e">
        <f t="shared" si="28"/>
        <v>#VALUE!</v>
      </c>
    </row>
    <row r="207" spans="2:21" x14ac:dyDescent="0.3">
      <c r="B207" s="4"/>
      <c r="C207" s="4"/>
      <c r="D207" s="4"/>
      <c r="E207" s="4"/>
      <c r="F207"/>
      <c r="G207"/>
      <c r="H207"/>
      <c r="I207"/>
      <c r="J207"/>
      <c r="O207" s="2" t="e">
        <f t="shared" si="22"/>
        <v>#VALUE!</v>
      </c>
      <c r="P207" s="6" t="e">
        <f t="shared" si="23"/>
        <v>#VALUE!</v>
      </c>
      <c r="Q207" s="6" t="e">
        <f t="shared" si="24"/>
        <v>#VALUE!</v>
      </c>
      <c r="R207" s="6" t="e">
        <f t="shared" si="25"/>
        <v>#VALUE!</v>
      </c>
      <c r="S207" s="6" t="e">
        <f t="shared" si="26"/>
        <v>#VALUE!</v>
      </c>
      <c r="T207" s="6" t="e">
        <f t="shared" si="27"/>
        <v>#VALUE!</v>
      </c>
      <c r="U207" s="2" t="e">
        <f t="shared" si="28"/>
        <v>#VALUE!</v>
      </c>
    </row>
    <row r="208" spans="2:21" x14ac:dyDescent="0.3">
      <c r="B208" s="4"/>
      <c r="C208" s="4"/>
      <c r="D208" s="4"/>
      <c r="E208" s="4"/>
      <c r="F208"/>
      <c r="G208"/>
      <c r="H208"/>
      <c r="I208"/>
      <c r="J208"/>
      <c r="O208" s="2" t="e">
        <f t="shared" si="22"/>
        <v>#VALUE!</v>
      </c>
      <c r="P208" s="6" t="e">
        <f t="shared" si="23"/>
        <v>#VALUE!</v>
      </c>
      <c r="Q208" s="6" t="e">
        <f t="shared" si="24"/>
        <v>#VALUE!</v>
      </c>
      <c r="R208" s="6" t="e">
        <f t="shared" si="25"/>
        <v>#VALUE!</v>
      </c>
      <c r="S208" s="6" t="e">
        <f t="shared" si="26"/>
        <v>#VALUE!</v>
      </c>
      <c r="T208" s="6" t="e">
        <f t="shared" si="27"/>
        <v>#VALUE!</v>
      </c>
      <c r="U208" s="2" t="e">
        <f t="shared" si="28"/>
        <v>#VALUE!</v>
      </c>
    </row>
    <row r="209" spans="2:21" x14ac:dyDescent="0.3">
      <c r="B209"/>
      <c r="C209"/>
      <c r="D209"/>
      <c r="E209" s="4"/>
      <c r="F209"/>
      <c r="G209"/>
      <c r="H209"/>
      <c r="I209"/>
      <c r="J209"/>
      <c r="O209" s="2" t="e">
        <f t="shared" si="22"/>
        <v>#VALUE!</v>
      </c>
      <c r="P209" s="6" t="e">
        <f t="shared" si="23"/>
        <v>#VALUE!</v>
      </c>
      <c r="Q209" s="6" t="e">
        <f t="shared" si="24"/>
        <v>#VALUE!</v>
      </c>
      <c r="R209" s="6" t="e">
        <f t="shared" si="25"/>
        <v>#VALUE!</v>
      </c>
      <c r="S209" s="6" t="e">
        <f t="shared" si="26"/>
        <v>#VALUE!</v>
      </c>
      <c r="T209" s="6" t="e">
        <f t="shared" si="27"/>
        <v>#VALUE!</v>
      </c>
      <c r="U209" s="2" t="e">
        <f t="shared" si="28"/>
        <v>#VALUE!</v>
      </c>
    </row>
    <row r="210" spans="2:21" x14ac:dyDescent="0.3">
      <c r="B210"/>
      <c r="C210"/>
      <c r="D210"/>
      <c r="E210"/>
      <c r="F210"/>
      <c r="G210"/>
      <c r="H210"/>
      <c r="I210"/>
      <c r="J210"/>
      <c r="O210" s="2" t="e">
        <f t="shared" si="22"/>
        <v>#VALUE!</v>
      </c>
      <c r="P210" s="6" t="e">
        <f t="shared" si="23"/>
        <v>#VALUE!</v>
      </c>
      <c r="Q210" s="6" t="e">
        <f t="shared" si="24"/>
        <v>#VALUE!</v>
      </c>
      <c r="R210" s="6" t="e">
        <f t="shared" si="25"/>
        <v>#VALUE!</v>
      </c>
      <c r="S210" s="6" t="e">
        <f t="shared" si="26"/>
        <v>#VALUE!</v>
      </c>
      <c r="T210" s="6" t="e">
        <f t="shared" si="27"/>
        <v>#VALUE!</v>
      </c>
      <c r="U210" s="2" t="e">
        <f t="shared" si="28"/>
        <v>#VALUE!</v>
      </c>
    </row>
    <row r="211" spans="2:21" x14ac:dyDescent="0.3">
      <c r="B211" s="4"/>
      <c r="C211" s="4"/>
      <c r="D211" s="4"/>
      <c r="E211" s="4"/>
      <c r="F211"/>
      <c r="G211"/>
      <c r="H211"/>
      <c r="I211"/>
      <c r="J211"/>
      <c r="O211" s="2" t="e">
        <f t="shared" si="22"/>
        <v>#VALUE!</v>
      </c>
      <c r="P211" s="6" t="e">
        <f t="shared" si="23"/>
        <v>#VALUE!</v>
      </c>
      <c r="Q211" s="6" t="e">
        <f t="shared" si="24"/>
        <v>#VALUE!</v>
      </c>
      <c r="R211" s="6" t="e">
        <f t="shared" si="25"/>
        <v>#VALUE!</v>
      </c>
      <c r="S211" s="6" t="e">
        <f t="shared" si="26"/>
        <v>#VALUE!</v>
      </c>
      <c r="T211" s="6" t="e">
        <f t="shared" si="27"/>
        <v>#VALUE!</v>
      </c>
      <c r="U211" s="2" t="e">
        <f t="shared" si="28"/>
        <v>#VALUE!</v>
      </c>
    </row>
    <row r="212" spans="2:21" x14ac:dyDescent="0.3">
      <c r="B212"/>
      <c r="C212"/>
      <c r="D212"/>
      <c r="E212" s="4"/>
      <c r="F212"/>
      <c r="G212"/>
      <c r="H212"/>
      <c r="I212"/>
      <c r="J212"/>
      <c r="O212" s="2" t="e">
        <f t="shared" si="22"/>
        <v>#VALUE!</v>
      </c>
      <c r="P212" s="6" t="e">
        <f t="shared" si="23"/>
        <v>#VALUE!</v>
      </c>
      <c r="Q212" s="6" t="e">
        <f t="shared" si="24"/>
        <v>#VALUE!</v>
      </c>
      <c r="R212" s="6" t="e">
        <f t="shared" si="25"/>
        <v>#VALUE!</v>
      </c>
      <c r="S212" s="6" t="e">
        <f t="shared" si="26"/>
        <v>#VALUE!</v>
      </c>
      <c r="T212" s="6" t="e">
        <f t="shared" si="27"/>
        <v>#VALUE!</v>
      </c>
      <c r="U212" s="2" t="e">
        <f t="shared" si="28"/>
        <v>#VALUE!</v>
      </c>
    </row>
    <row r="213" spans="2:21" x14ac:dyDescent="0.3">
      <c r="B213"/>
      <c r="C213"/>
      <c r="D213"/>
      <c r="E213" s="4"/>
      <c r="F213"/>
      <c r="G213"/>
      <c r="H213"/>
      <c r="I213"/>
      <c r="J213"/>
      <c r="K213" s="7"/>
      <c r="L213" s="7"/>
      <c r="M213" s="7"/>
      <c r="O213" s="2" t="e">
        <f t="shared" si="22"/>
        <v>#VALUE!</v>
      </c>
      <c r="P213" s="6" t="e">
        <f t="shared" si="23"/>
        <v>#VALUE!</v>
      </c>
      <c r="Q213" s="6" t="e">
        <f t="shared" si="24"/>
        <v>#VALUE!</v>
      </c>
      <c r="R213" s="6" t="e">
        <f t="shared" si="25"/>
        <v>#VALUE!</v>
      </c>
      <c r="S213" s="6" t="e">
        <f t="shared" si="26"/>
        <v>#VALUE!</v>
      </c>
      <c r="T213" s="6" t="e">
        <f t="shared" si="27"/>
        <v>#VALUE!</v>
      </c>
      <c r="U213" s="2" t="e">
        <f t="shared" si="28"/>
        <v>#VALUE!</v>
      </c>
    </row>
    <row r="214" spans="2:21" x14ac:dyDescent="0.3">
      <c r="B214"/>
      <c r="C214"/>
      <c r="D214"/>
      <c r="E214" s="4"/>
      <c r="F214"/>
      <c r="G214"/>
      <c r="H214"/>
      <c r="I214"/>
      <c r="J214"/>
      <c r="O214" s="2" t="e">
        <f t="shared" si="22"/>
        <v>#VALUE!</v>
      </c>
      <c r="P214" s="6" t="e">
        <f t="shared" si="23"/>
        <v>#VALUE!</v>
      </c>
      <c r="Q214" s="6" t="e">
        <f t="shared" si="24"/>
        <v>#VALUE!</v>
      </c>
      <c r="R214" s="6" t="e">
        <f t="shared" si="25"/>
        <v>#VALUE!</v>
      </c>
      <c r="S214" s="6" t="e">
        <f t="shared" si="26"/>
        <v>#VALUE!</v>
      </c>
      <c r="T214" s="6" t="e">
        <f t="shared" si="27"/>
        <v>#VALUE!</v>
      </c>
      <c r="U214" s="2" t="e">
        <f t="shared" si="28"/>
        <v>#VALUE!</v>
      </c>
    </row>
    <row r="215" spans="2:21" x14ac:dyDescent="0.3">
      <c r="B215"/>
      <c r="C215"/>
      <c r="D215"/>
      <c r="E215" s="4"/>
      <c r="F215"/>
      <c r="G215"/>
      <c r="H215"/>
      <c r="I215"/>
      <c r="J215"/>
      <c r="O215" s="2" t="e">
        <f t="shared" si="22"/>
        <v>#VALUE!</v>
      </c>
      <c r="P215" s="6" t="e">
        <f t="shared" si="23"/>
        <v>#VALUE!</v>
      </c>
      <c r="Q215" s="6" t="e">
        <f t="shared" si="24"/>
        <v>#VALUE!</v>
      </c>
      <c r="R215" s="6" t="e">
        <f t="shared" si="25"/>
        <v>#VALUE!</v>
      </c>
      <c r="S215" s="6" t="e">
        <f t="shared" si="26"/>
        <v>#VALUE!</v>
      </c>
      <c r="T215" s="6" t="e">
        <f t="shared" si="27"/>
        <v>#VALUE!</v>
      </c>
      <c r="U215" s="2" t="e">
        <f t="shared" si="28"/>
        <v>#VALUE!</v>
      </c>
    </row>
    <row r="216" spans="2:21" x14ac:dyDescent="0.3">
      <c r="B216"/>
      <c r="C216"/>
      <c r="D216"/>
      <c r="E216"/>
      <c r="F216"/>
      <c r="G216"/>
      <c r="H216"/>
      <c r="I216"/>
      <c r="J216"/>
      <c r="O216" s="2" t="e">
        <f t="shared" si="22"/>
        <v>#VALUE!</v>
      </c>
      <c r="P216" s="6" t="e">
        <f t="shared" si="23"/>
        <v>#VALUE!</v>
      </c>
      <c r="Q216" s="6" t="e">
        <f t="shared" si="24"/>
        <v>#VALUE!</v>
      </c>
      <c r="R216" s="6" t="e">
        <f t="shared" si="25"/>
        <v>#VALUE!</v>
      </c>
      <c r="S216" s="6" t="e">
        <f t="shared" si="26"/>
        <v>#VALUE!</v>
      </c>
      <c r="T216" s="6" t="e">
        <f t="shared" si="27"/>
        <v>#VALUE!</v>
      </c>
      <c r="U216" s="2" t="e">
        <f t="shared" si="28"/>
        <v>#VALUE!</v>
      </c>
    </row>
    <row r="217" spans="2:21" x14ac:dyDescent="0.3">
      <c r="B217"/>
      <c r="C217"/>
      <c r="D217"/>
      <c r="E217"/>
      <c r="F217"/>
      <c r="G217"/>
      <c r="H217"/>
      <c r="I217"/>
      <c r="J217"/>
      <c r="O217" s="2" t="e">
        <f t="shared" si="22"/>
        <v>#VALUE!</v>
      </c>
      <c r="P217" s="6" t="e">
        <f t="shared" si="23"/>
        <v>#VALUE!</v>
      </c>
      <c r="Q217" s="6" t="e">
        <f t="shared" si="24"/>
        <v>#VALUE!</v>
      </c>
      <c r="R217" s="6" t="e">
        <f t="shared" si="25"/>
        <v>#VALUE!</v>
      </c>
      <c r="S217" s="6" t="e">
        <f t="shared" si="26"/>
        <v>#VALUE!</v>
      </c>
      <c r="T217" s="6" t="e">
        <f t="shared" si="27"/>
        <v>#VALUE!</v>
      </c>
      <c r="U217" s="2" t="e">
        <f t="shared" si="28"/>
        <v>#VALUE!</v>
      </c>
    </row>
    <row r="218" spans="2:21" x14ac:dyDescent="0.3">
      <c r="B218"/>
      <c r="C218"/>
      <c r="D218"/>
      <c r="E218"/>
      <c r="F218"/>
      <c r="G218"/>
      <c r="H218"/>
      <c r="I218"/>
      <c r="J218"/>
      <c r="O218" s="2" t="e">
        <f t="shared" si="22"/>
        <v>#VALUE!</v>
      </c>
      <c r="P218" s="6" t="e">
        <f t="shared" si="23"/>
        <v>#VALUE!</v>
      </c>
      <c r="Q218" s="6" t="e">
        <f t="shared" si="24"/>
        <v>#VALUE!</v>
      </c>
      <c r="R218" s="6" t="e">
        <f t="shared" si="25"/>
        <v>#VALUE!</v>
      </c>
      <c r="S218" s="6" t="e">
        <f t="shared" si="26"/>
        <v>#VALUE!</v>
      </c>
      <c r="T218" s="6" t="e">
        <f t="shared" si="27"/>
        <v>#VALUE!</v>
      </c>
      <c r="U218" s="2" t="e">
        <f t="shared" si="28"/>
        <v>#VALUE!</v>
      </c>
    </row>
    <row r="219" spans="2:21" x14ac:dyDescent="0.3">
      <c r="B219"/>
      <c r="C219"/>
      <c r="D219"/>
      <c r="E219"/>
      <c r="F219"/>
      <c r="G219"/>
      <c r="H219"/>
      <c r="I219"/>
      <c r="J219"/>
      <c r="O219" s="2" t="e">
        <f t="shared" si="22"/>
        <v>#VALUE!</v>
      </c>
      <c r="P219" s="6" t="e">
        <f t="shared" si="23"/>
        <v>#VALUE!</v>
      </c>
      <c r="Q219" s="6" t="e">
        <f t="shared" si="24"/>
        <v>#VALUE!</v>
      </c>
      <c r="R219" s="6" t="e">
        <f t="shared" si="25"/>
        <v>#VALUE!</v>
      </c>
      <c r="S219" s="6" t="e">
        <f t="shared" si="26"/>
        <v>#VALUE!</v>
      </c>
      <c r="T219" s="6" t="e">
        <f t="shared" si="27"/>
        <v>#VALUE!</v>
      </c>
      <c r="U219" s="2" t="e">
        <f t="shared" si="28"/>
        <v>#VALUE!</v>
      </c>
    </row>
    <row r="220" spans="2:21" x14ac:dyDescent="0.3">
      <c r="B220" s="4"/>
      <c r="C220" s="4"/>
      <c r="D220" s="4"/>
      <c r="E220" s="4"/>
      <c r="F220"/>
      <c r="G220"/>
      <c r="H220"/>
      <c r="I220"/>
      <c r="J220"/>
      <c r="O220" s="2" t="e">
        <f t="shared" si="22"/>
        <v>#VALUE!</v>
      </c>
      <c r="P220" s="6" t="e">
        <f t="shared" si="23"/>
        <v>#VALUE!</v>
      </c>
      <c r="Q220" s="6" t="e">
        <f t="shared" si="24"/>
        <v>#VALUE!</v>
      </c>
      <c r="R220" s="6" t="e">
        <f t="shared" si="25"/>
        <v>#VALUE!</v>
      </c>
      <c r="S220" s="6" t="e">
        <f t="shared" si="26"/>
        <v>#VALUE!</v>
      </c>
      <c r="T220" s="6" t="e">
        <f t="shared" si="27"/>
        <v>#VALUE!</v>
      </c>
      <c r="U220" s="2" t="e">
        <f t="shared" si="28"/>
        <v>#VALUE!</v>
      </c>
    </row>
    <row r="221" spans="2:21" x14ac:dyDescent="0.3">
      <c r="B221"/>
      <c r="C221"/>
      <c r="D221"/>
      <c r="E221"/>
      <c r="F221"/>
      <c r="G221"/>
      <c r="H221"/>
      <c r="I221"/>
      <c r="J221"/>
      <c r="O221" s="2" t="e">
        <f t="shared" si="22"/>
        <v>#VALUE!</v>
      </c>
      <c r="P221" s="6" t="e">
        <f t="shared" si="23"/>
        <v>#VALUE!</v>
      </c>
      <c r="Q221" s="6" t="e">
        <f t="shared" si="24"/>
        <v>#VALUE!</v>
      </c>
      <c r="R221" s="6" t="e">
        <f t="shared" si="25"/>
        <v>#VALUE!</v>
      </c>
      <c r="S221" s="6" t="e">
        <f t="shared" si="26"/>
        <v>#VALUE!</v>
      </c>
      <c r="T221" s="6" t="e">
        <f t="shared" si="27"/>
        <v>#VALUE!</v>
      </c>
      <c r="U221" s="2" t="e">
        <f t="shared" si="28"/>
        <v>#VALUE!</v>
      </c>
    </row>
    <row r="222" spans="2:21" x14ac:dyDescent="0.3">
      <c r="B222"/>
      <c r="C222"/>
      <c r="D222"/>
      <c r="E222" s="4"/>
      <c r="F222"/>
      <c r="G222"/>
      <c r="H222"/>
      <c r="I222"/>
      <c r="J222"/>
      <c r="O222" s="2" t="e">
        <f t="shared" si="22"/>
        <v>#VALUE!</v>
      </c>
      <c r="P222" s="6" t="e">
        <f t="shared" si="23"/>
        <v>#VALUE!</v>
      </c>
      <c r="Q222" s="6" t="e">
        <f t="shared" si="24"/>
        <v>#VALUE!</v>
      </c>
      <c r="R222" s="6" t="e">
        <f t="shared" si="25"/>
        <v>#VALUE!</v>
      </c>
      <c r="S222" s="6" t="e">
        <f t="shared" si="26"/>
        <v>#VALUE!</v>
      </c>
      <c r="T222" s="6" t="e">
        <f t="shared" si="27"/>
        <v>#VALUE!</v>
      </c>
      <c r="U222" s="2" t="e">
        <f t="shared" si="28"/>
        <v>#VALUE!</v>
      </c>
    </row>
    <row r="223" spans="2:21" x14ac:dyDescent="0.3">
      <c r="B223" s="4"/>
      <c r="C223" s="4"/>
      <c r="D223" s="4"/>
      <c r="E223" s="4"/>
      <c r="F223"/>
      <c r="G223"/>
      <c r="H223"/>
      <c r="I223"/>
      <c r="J223"/>
      <c r="O223" s="2" t="e">
        <f t="shared" si="22"/>
        <v>#VALUE!</v>
      </c>
      <c r="P223" s="6" t="e">
        <f t="shared" si="23"/>
        <v>#VALUE!</v>
      </c>
      <c r="Q223" s="6" t="e">
        <f t="shared" si="24"/>
        <v>#VALUE!</v>
      </c>
      <c r="R223" s="6" t="e">
        <f t="shared" si="25"/>
        <v>#VALUE!</v>
      </c>
      <c r="S223" s="6" t="e">
        <f t="shared" si="26"/>
        <v>#VALUE!</v>
      </c>
      <c r="T223" s="6" t="e">
        <f t="shared" si="27"/>
        <v>#VALUE!</v>
      </c>
      <c r="U223" s="2" t="e">
        <f t="shared" si="28"/>
        <v>#VALUE!</v>
      </c>
    </row>
    <row r="224" spans="2:21" x14ac:dyDescent="0.3">
      <c r="B224" s="4"/>
      <c r="C224" s="4"/>
      <c r="D224" s="4"/>
      <c r="E224" s="4"/>
      <c r="F224"/>
      <c r="G224"/>
      <c r="H224"/>
      <c r="I224"/>
      <c r="J224"/>
      <c r="O224" s="2" t="e">
        <f t="shared" si="22"/>
        <v>#VALUE!</v>
      </c>
      <c r="P224" s="6" t="e">
        <f t="shared" si="23"/>
        <v>#VALUE!</v>
      </c>
      <c r="Q224" s="6" t="e">
        <f t="shared" si="24"/>
        <v>#VALUE!</v>
      </c>
      <c r="R224" s="6" t="e">
        <f t="shared" si="25"/>
        <v>#VALUE!</v>
      </c>
      <c r="S224" s="6" t="e">
        <f t="shared" si="26"/>
        <v>#VALUE!</v>
      </c>
      <c r="T224" s="6" t="e">
        <f t="shared" si="27"/>
        <v>#VALUE!</v>
      </c>
      <c r="U224" s="2" t="e">
        <f t="shared" si="28"/>
        <v>#VALUE!</v>
      </c>
    </row>
    <row r="225" spans="2:21" x14ac:dyDescent="0.3">
      <c r="B225"/>
      <c r="C225"/>
      <c r="D225"/>
      <c r="E225" s="4"/>
      <c r="F225"/>
      <c r="G225"/>
      <c r="H225"/>
      <c r="I225"/>
      <c r="J225"/>
      <c r="O225" s="2" t="e">
        <f t="shared" si="22"/>
        <v>#VALUE!</v>
      </c>
      <c r="P225" s="6" t="e">
        <f t="shared" si="23"/>
        <v>#VALUE!</v>
      </c>
      <c r="Q225" s="6" t="e">
        <f t="shared" si="24"/>
        <v>#VALUE!</v>
      </c>
      <c r="R225" s="6" t="e">
        <f t="shared" si="25"/>
        <v>#VALUE!</v>
      </c>
      <c r="S225" s="6" t="e">
        <f t="shared" si="26"/>
        <v>#VALUE!</v>
      </c>
      <c r="T225" s="6" t="e">
        <f t="shared" si="27"/>
        <v>#VALUE!</v>
      </c>
      <c r="U225" s="2" t="e">
        <f t="shared" si="28"/>
        <v>#VALUE!</v>
      </c>
    </row>
    <row r="226" spans="2:21" x14ac:dyDescent="0.3">
      <c r="B226" s="4"/>
      <c r="C226" s="4"/>
      <c r="D226" s="4"/>
      <c r="E226" s="4"/>
      <c r="F226"/>
      <c r="G226"/>
      <c r="H226"/>
      <c r="I226"/>
      <c r="J226"/>
      <c r="O226" s="2" t="e">
        <f t="shared" si="22"/>
        <v>#VALUE!</v>
      </c>
      <c r="P226" s="6" t="e">
        <f t="shared" si="23"/>
        <v>#VALUE!</v>
      </c>
      <c r="Q226" s="6" t="e">
        <f t="shared" si="24"/>
        <v>#VALUE!</v>
      </c>
      <c r="R226" s="6" t="e">
        <f t="shared" si="25"/>
        <v>#VALUE!</v>
      </c>
      <c r="S226" s="6" t="e">
        <f t="shared" si="26"/>
        <v>#VALUE!</v>
      </c>
      <c r="T226" s="6" t="e">
        <f t="shared" si="27"/>
        <v>#VALUE!</v>
      </c>
      <c r="U226" s="2" t="e">
        <f t="shared" si="28"/>
        <v>#VALUE!</v>
      </c>
    </row>
    <row r="227" spans="2:21" x14ac:dyDescent="0.3">
      <c r="B227"/>
      <c r="C227"/>
      <c r="D227"/>
      <c r="E227"/>
      <c r="F227"/>
      <c r="G227"/>
      <c r="H227"/>
      <c r="I227"/>
      <c r="J227"/>
      <c r="O227" s="2" t="e">
        <f t="shared" si="22"/>
        <v>#VALUE!</v>
      </c>
      <c r="P227" s="6" t="e">
        <f t="shared" si="23"/>
        <v>#VALUE!</v>
      </c>
      <c r="Q227" s="6" t="e">
        <f t="shared" si="24"/>
        <v>#VALUE!</v>
      </c>
      <c r="R227" s="6" t="e">
        <f t="shared" si="25"/>
        <v>#VALUE!</v>
      </c>
      <c r="S227" s="6" t="e">
        <f t="shared" si="26"/>
        <v>#VALUE!</v>
      </c>
      <c r="T227" s="6" t="e">
        <f t="shared" si="27"/>
        <v>#VALUE!</v>
      </c>
      <c r="U227" s="2" t="e">
        <f t="shared" si="28"/>
        <v>#VALUE!</v>
      </c>
    </row>
    <row r="228" spans="2:21" x14ac:dyDescent="0.3">
      <c r="B228"/>
      <c r="C228"/>
      <c r="D228"/>
      <c r="E228" s="4"/>
      <c r="F228"/>
      <c r="G228"/>
      <c r="H228"/>
      <c r="I228"/>
      <c r="J228"/>
      <c r="O228" s="2" t="e">
        <f t="shared" si="22"/>
        <v>#VALUE!</v>
      </c>
      <c r="P228" s="6" t="e">
        <f t="shared" si="23"/>
        <v>#VALUE!</v>
      </c>
      <c r="Q228" s="6" t="e">
        <f t="shared" si="24"/>
        <v>#VALUE!</v>
      </c>
      <c r="R228" s="6" t="e">
        <f t="shared" si="25"/>
        <v>#VALUE!</v>
      </c>
      <c r="S228" s="6" t="e">
        <f t="shared" si="26"/>
        <v>#VALUE!</v>
      </c>
      <c r="T228" s="6" t="e">
        <f t="shared" si="27"/>
        <v>#VALUE!</v>
      </c>
      <c r="U228" s="2" t="e">
        <f t="shared" si="28"/>
        <v>#VALUE!</v>
      </c>
    </row>
    <row r="229" spans="2:21" x14ac:dyDescent="0.3">
      <c r="B229"/>
      <c r="C229"/>
      <c r="D229"/>
      <c r="E229"/>
      <c r="F229"/>
      <c r="G229"/>
      <c r="H229"/>
      <c r="I229"/>
      <c r="J229"/>
      <c r="O229" s="2" t="e">
        <f t="shared" si="22"/>
        <v>#VALUE!</v>
      </c>
      <c r="P229" s="6" t="e">
        <f t="shared" si="23"/>
        <v>#VALUE!</v>
      </c>
      <c r="Q229" s="6" t="e">
        <f t="shared" si="24"/>
        <v>#VALUE!</v>
      </c>
      <c r="R229" s="6" t="e">
        <f t="shared" si="25"/>
        <v>#VALUE!</v>
      </c>
      <c r="S229" s="6" t="e">
        <f t="shared" si="26"/>
        <v>#VALUE!</v>
      </c>
      <c r="T229" s="6" t="e">
        <f t="shared" si="27"/>
        <v>#VALUE!</v>
      </c>
      <c r="U229" s="2" t="e">
        <f t="shared" si="28"/>
        <v>#VALUE!</v>
      </c>
    </row>
    <row r="230" spans="2:21" x14ac:dyDescent="0.3">
      <c r="B230"/>
      <c r="C230"/>
      <c r="D230"/>
      <c r="E230" s="4"/>
      <c r="F230"/>
      <c r="G230"/>
      <c r="H230"/>
      <c r="I230"/>
      <c r="J230"/>
      <c r="O230" s="2" t="e">
        <f t="shared" si="22"/>
        <v>#VALUE!</v>
      </c>
      <c r="P230" s="6" t="e">
        <f t="shared" si="23"/>
        <v>#VALUE!</v>
      </c>
      <c r="Q230" s="6" t="e">
        <f t="shared" si="24"/>
        <v>#VALUE!</v>
      </c>
      <c r="R230" s="6" t="e">
        <f t="shared" si="25"/>
        <v>#VALUE!</v>
      </c>
      <c r="S230" s="6" t="e">
        <f t="shared" si="26"/>
        <v>#VALUE!</v>
      </c>
      <c r="T230" s="6" t="e">
        <f t="shared" si="27"/>
        <v>#VALUE!</v>
      </c>
      <c r="U230" s="2" t="e">
        <f t="shared" si="28"/>
        <v>#VALUE!</v>
      </c>
    </row>
    <row r="231" spans="2:21" x14ac:dyDescent="0.3">
      <c r="B231"/>
      <c r="C231"/>
      <c r="D231"/>
      <c r="E231"/>
      <c r="F231"/>
      <c r="G231"/>
      <c r="H231"/>
      <c r="I231"/>
      <c r="J231"/>
      <c r="O231" s="2" t="e">
        <f t="shared" si="22"/>
        <v>#VALUE!</v>
      </c>
      <c r="P231" s="6" t="e">
        <f t="shared" si="23"/>
        <v>#VALUE!</v>
      </c>
      <c r="Q231" s="6" t="e">
        <f t="shared" si="24"/>
        <v>#VALUE!</v>
      </c>
      <c r="R231" s="6" t="e">
        <f t="shared" si="25"/>
        <v>#VALUE!</v>
      </c>
      <c r="S231" s="6" t="e">
        <f t="shared" si="26"/>
        <v>#VALUE!</v>
      </c>
      <c r="T231" s="6" t="e">
        <f t="shared" si="27"/>
        <v>#VALUE!</v>
      </c>
      <c r="U231" s="2" t="e">
        <f t="shared" si="28"/>
        <v>#VALUE!</v>
      </c>
    </row>
    <row r="232" spans="2:21" x14ac:dyDescent="0.3">
      <c r="B232" s="4"/>
      <c r="C232" s="4"/>
      <c r="D232" s="4"/>
      <c r="E232" s="4"/>
      <c r="F232"/>
      <c r="G232"/>
      <c r="H232"/>
      <c r="I232"/>
      <c r="J232"/>
      <c r="O232" s="2" t="e">
        <f t="shared" si="22"/>
        <v>#VALUE!</v>
      </c>
      <c r="P232" s="6" t="e">
        <f t="shared" si="23"/>
        <v>#VALUE!</v>
      </c>
      <c r="Q232" s="6" t="e">
        <f t="shared" si="24"/>
        <v>#VALUE!</v>
      </c>
      <c r="R232" s="6" t="e">
        <f t="shared" si="25"/>
        <v>#VALUE!</v>
      </c>
      <c r="S232" s="6" t="e">
        <f t="shared" si="26"/>
        <v>#VALUE!</v>
      </c>
      <c r="T232" s="6" t="e">
        <f t="shared" si="27"/>
        <v>#VALUE!</v>
      </c>
      <c r="U232" s="2" t="e">
        <f t="shared" si="28"/>
        <v>#VALUE!</v>
      </c>
    </row>
    <row r="233" spans="2:21" x14ac:dyDescent="0.3">
      <c r="B233"/>
      <c r="C233"/>
      <c r="D233"/>
      <c r="E233" s="4"/>
      <c r="F233"/>
      <c r="G233"/>
      <c r="H233"/>
      <c r="I233"/>
      <c r="J233"/>
      <c r="O233" s="2" t="e">
        <f t="shared" si="22"/>
        <v>#VALUE!</v>
      </c>
      <c r="P233" s="6" t="e">
        <f t="shared" si="23"/>
        <v>#VALUE!</v>
      </c>
      <c r="Q233" s="6" t="e">
        <f t="shared" si="24"/>
        <v>#VALUE!</v>
      </c>
      <c r="R233" s="6" t="e">
        <f t="shared" si="25"/>
        <v>#VALUE!</v>
      </c>
      <c r="S233" s="6" t="e">
        <f t="shared" si="26"/>
        <v>#VALUE!</v>
      </c>
      <c r="T233" s="6" t="e">
        <f t="shared" si="27"/>
        <v>#VALUE!</v>
      </c>
      <c r="U233" s="2" t="e">
        <f t="shared" si="28"/>
        <v>#VALUE!</v>
      </c>
    </row>
    <row r="234" spans="2:21" x14ac:dyDescent="0.3">
      <c r="B234"/>
      <c r="C234"/>
      <c r="D234"/>
      <c r="E234"/>
      <c r="F234"/>
      <c r="G234"/>
      <c r="H234"/>
      <c r="I234"/>
      <c r="J234"/>
      <c r="O234" s="2" t="e">
        <f t="shared" si="22"/>
        <v>#VALUE!</v>
      </c>
      <c r="P234" s="6" t="e">
        <f t="shared" si="23"/>
        <v>#VALUE!</v>
      </c>
      <c r="Q234" s="6" t="e">
        <f t="shared" si="24"/>
        <v>#VALUE!</v>
      </c>
      <c r="R234" s="6" t="e">
        <f t="shared" si="25"/>
        <v>#VALUE!</v>
      </c>
      <c r="S234" s="6" t="e">
        <f t="shared" si="26"/>
        <v>#VALUE!</v>
      </c>
      <c r="T234" s="6" t="e">
        <f t="shared" si="27"/>
        <v>#VALUE!</v>
      </c>
      <c r="U234" s="2" t="e">
        <f t="shared" si="28"/>
        <v>#VALUE!</v>
      </c>
    </row>
    <row r="235" spans="2:21" x14ac:dyDescent="0.3">
      <c r="B235"/>
      <c r="C235"/>
      <c r="D235"/>
      <c r="E235"/>
      <c r="F235"/>
      <c r="G235"/>
      <c r="H235"/>
      <c r="I235"/>
      <c r="J235"/>
      <c r="O235" s="2" t="e">
        <f t="shared" si="22"/>
        <v>#VALUE!</v>
      </c>
      <c r="P235" s="6" t="e">
        <f t="shared" si="23"/>
        <v>#VALUE!</v>
      </c>
      <c r="Q235" s="6" t="e">
        <f t="shared" si="24"/>
        <v>#VALUE!</v>
      </c>
      <c r="R235" s="6" t="e">
        <f t="shared" si="25"/>
        <v>#VALUE!</v>
      </c>
      <c r="S235" s="6" t="e">
        <f t="shared" si="26"/>
        <v>#VALUE!</v>
      </c>
      <c r="T235" s="6" t="e">
        <f t="shared" si="27"/>
        <v>#VALUE!</v>
      </c>
      <c r="U235" s="2" t="e">
        <f t="shared" si="28"/>
        <v>#VALUE!</v>
      </c>
    </row>
    <row r="236" spans="2:21" x14ac:dyDescent="0.3">
      <c r="B236" s="4"/>
      <c r="C236" s="4"/>
      <c r="D236" s="4"/>
      <c r="E236" s="4"/>
      <c r="F236"/>
      <c r="G236"/>
      <c r="H236"/>
      <c r="I236"/>
      <c r="J236"/>
      <c r="O236" s="2" t="e">
        <f t="shared" si="22"/>
        <v>#VALUE!</v>
      </c>
      <c r="P236" s="6" t="e">
        <f t="shared" si="23"/>
        <v>#VALUE!</v>
      </c>
      <c r="Q236" s="6" t="e">
        <f t="shared" si="24"/>
        <v>#VALUE!</v>
      </c>
      <c r="R236" s="6" t="e">
        <f t="shared" si="25"/>
        <v>#VALUE!</v>
      </c>
      <c r="S236" s="6" t="e">
        <f t="shared" si="26"/>
        <v>#VALUE!</v>
      </c>
      <c r="T236" s="6" t="e">
        <f t="shared" si="27"/>
        <v>#VALUE!</v>
      </c>
      <c r="U236" s="2" t="e">
        <f t="shared" si="28"/>
        <v>#VALUE!</v>
      </c>
    </row>
    <row r="237" spans="2:21" x14ac:dyDescent="0.3">
      <c r="B237" s="4"/>
      <c r="C237" s="4"/>
      <c r="D237" s="4"/>
      <c r="E237" s="4"/>
      <c r="F237"/>
      <c r="G237"/>
      <c r="H237"/>
      <c r="I237"/>
      <c r="J237"/>
      <c r="K237" s="7"/>
      <c r="L237" s="7"/>
      <c r="M237" s="7"/>
      <c r="O237" s="2" t="e">
        <f t="shared" si="22"/>
        <v>#VALUE!</v>
      </c>
      <c r="P237" s="6" t="e">
        <f t="shared" si="23"/>
        <v>#VALUE!</v>
      </c>
      <c r="Q237" s="6" t="e">
        <f t="shared" si="24"/>
        <v>#VALUE!</v>
      </c>
      <c r="R237" s="6" t="e">
        <f t="shared" si="25"/>
        <v>#VALUE!</v>
      </c>
      <c r="S237" s="6" t="e">
        <f t="shared" si="26"/>
        <v>#VALUE!</v>
      </c>
      <c r="T237" s="6" t="e">
        <f t="shared" si="27"/>
        <v>#VALUE!</v>
      </c>
      <c r="U237" s="2" t="e">
        <f t="shared" si="28"/>
        <v>#VALUE!</v>
      </c>
    </row>
    <row r="238" spans="2:21" x14ac:dyDescent="0.3">
      <c r="B238"/>
      <c r="C238"/>
      <c r="D238"/>
      <c r="E238" s="4"/>
      <c r="F238"/>
      <c r="G238"/>
      <c r="H238"/>
      <c r="I238"/>
      <c r="J238"/>
      <c r="O238" s="2" t="e">
        <f t="shared" si="22"/>
        <v>#VALUE!</v>
      </c>
      <c r="P238" s="6" t="e">
        <f t="shared" si="23"/>
        <v>#VALUE!</v>
      </c>
      <c r="Q238" s="6" t="e">
        <f t="shared" si="24"/>
        <v>#VALUE!</v>
      </c>
      <c r="R238" s="6" t="e">
        <f t="shared" si="25"/>
        <v>#VALUE!</v>
      </c>
      <c r="S238" s="6" t="e">
        <f t="shared" si="26"/>
        <v>#VALUE!</v>
      </c>
      <c r="T238" s="6" t="e">
        <f t="shared" si="27"/>
        <v>#VALUE!</v>
      </c>
      <c r="U238" s="2" t="e">
        <f t="shared" si="28"/>
        <v>#VALUE!</v>
      </c>
    </row>
    <row r="239" spans="2:21" x14ac:dyDescent="0.3">
      <c r="B239"/>
      <c r="C239"/>
      <c r="D239"/>
      <c r="E239" s="4"/>
      <c r="F239"/>
      <c r="G239"/>
      <c r="H239"/>
      <c r="I239"/>
      <c r="J239"/>
      <c r="K239" s="7"/>
      <c r="L239" s="7"/>
      <c r="M239" s="7"/>
      <c r="O239" s="2" t="e">
        <f t="shared" si="22"/>
        <v>#VALUE!</v>
      </c>
      <c r="P239" s="6" t="e">
        <f t="shared" si="23"/>
        <v>#VALUE!</v>
      </c>
      <c r="Q239" s="6" t="e">
        <f t="shared" si="24"/>
        <v>#VALUE!</v>
      </c>
      <c r="R239" s="6" t="e">
        <f t="shared" si="25"/>
        <v>#VALUE!</v>
      </c>
      <c r="S239" s="6" t="e">
        <f t="shared" si="26"/>
        <v>#VALUE!</v>
      </c>
      <c r="T239" s="6" t="e">
        <f t="shared" si="27"/>
        <v>#VALUE!</v>
      </c>
      <c r="U239" s="2" t="e">
        <f t="shared" si="28"/>
        <v>#VALUE!</v>
      </c>
    </row>
    <row r="240" spans="2:21" x14ac:dyDescent="0.3">
      <c r="B240"/>
      <c r="C240"/>
      <c r="D240"/>
      <c r="E240" s="4"/>
      <c r="F240"/>
      <c r="G240"/>
      <c r="H240"/>
      <c r="I240"/>
      <c r="J240"/>
      <c r="O240" s="2" t="e">
        <f t="shared" si="22"/>
        <v>#VALUE!</v>
      </c>
      <c r="P240" s="6" t="e">
        <f t="shared" si="23"/>
        <v>#VALUE!</v>
      </c>
      <c r="Q240" s="6" t="e">
        <f t="shared" si="24"/>
        <v>#VALUE!</v>
      </c>
      <c r="R240" s="6" t="e">
        <f t="shared" si="25"/>
        <v>#VALUE!</v>
      </c>
      <c r="S240" s="6" t="e">
        <f t="shared" si="26"/>
        <v>#VALUE!</v>
      </c>
      <c r="T240" s="6" t="e">
        <f t="shared" si="27"/>
        <v>#VALUE!</v>
      </c>
      <c r="U240" s="2" t="e">
        <f t="shared" si="28"/>
        <v>#VALUE!</v>
      </c>
    </row>
    <row r="241" spans="2:21" x14ac:dyDescent="0.3">
      <c r="B241"/>
      <c r="C241"/>
      <c r="D241"/>
      <c r="E241" s="4"/>
      <c r="F241"/>
      <c r="G241"/>
      <c r="H241"/>
      <c r="I241"/>
      <c r="J241"/>
      <c r="O241" s="2" t="e">
        <f t="shared" si="22"/>
        <v>#VALUE!</v>
      </c>
      <c r="P241" s="6" t="e">
        <f t="shared" si="23"/>
        <v>#VALUE!</v>
      </c>
      <c r="Q241" s="6" t="e">
        <f t="shared" si="24"/>
        <v>#VALUE!</v>
      </c>
      <c r="R241" s="6" t="e">
        <f t="shared" si="25"/>
        <v>#VALUE!</v>
      </c>
      <c r="S241" s="6" t="e">
        <f t="shared" si="26"/>
        <v>#VALUE!</v>
      </c>
      <c r="T241" s="6" t="e">
        <f t="shared" si="27"/>
        <v>#VALUE!</v>
      </c>
      <c r="U241" s="2" t="e">
        <f t="shared" si="28"/>
        <v>#VALUE!</v>
      </c>
    </row>
    <row r="242" spans="2:21" x14ac:dyDescent="0.3">
      <c r="B242"/>
      <c r="C242"/>
      <c r="D242"/>
      <c r="E242"/>
      <c r="F242"/>
      <c r="G242"/>
      <c r="H242"/>
      <c r="I242"/>
      <c r="J242"/>
      <c r="O242" s="2" t="e">
        <f t="shared" si="22"/>
        <v>#VALUE!</v>
      </c>
      <c r="P242" s="6" t="e">
        <f t="shared" si="23"/>
        <v>#VALUE!</v>
      </c>
      <c r="Q242" s="6" t="e">
        <f t="shared" si="24"/>
        <v>#VALUE!</v>
      </c>
      <c r="R242" s="6" t="e">
        <f t="shared" si="25"/>
        <v>#VALUE!</v>
      </c>
      <c r="S242" s="6" t="e">
        <f t="shared" si="26"/>
        <v>#VALUE!</v>
      </c>
      <c r="T242" s="6" t="e">
        <f t="shared" si="27"/>
        <v>#VALUE!</v>
      </c>
      <c r="U242" s="2" t="e">
        <f t="shared" si="28"/>
        <v>#VALUE!</v>
      </c>
    </row>
    <row r="243" spans="2:21" x14ac:dyDescent="0.3">
      <c r="B243"/>
      <c r="C243"/>
      <c r="D243"/>
      <c r="E243" s="4"/>
      <c r="F243"/>
      <c r="G243"/>
      <c r="H243"/>
      <c r="I243"/>
      <c r="J243"/>
      <c r="K243" s="7"/>
      <c r="L243" s="7"/>
      <c r="M243" s="7"/>
      <c r="O243" s="2" t="e">
        <f t="shared" si="22"/>
        <v>#VALUE!</v>
      </c>
      <c r="P243" s="6" t="e">
        <f t="shared" si="23"/>
        <v>#VALUE!</v>
      </c>
      <c r="Q243" s="6" t="e">
        <f t="shared" si="24"/>
        <v>#VALUE!</v>
      </c>
      <c r="R243" s="6" t="e">
        <f t="shared" si="25"/>
        <v>#VALUE!</v>
      </c>
      <c r="S243" s="6" t="e">
        <f t="shared" si="26"/>
        <v>#VALUE!</v>
      </c>
      <c r="T243" s="6" t="e">
        <f t="shared" si="27"/>
        <v>#VALUE!</v>
      </c>
      <c r="U243" s="2" t="e">
        <f t="shared" si="28"/>
        <v>#VALUE!</v>
      </c>
    </row>
    <row r="244" spans="2:21" x14ac:dyDescent="0.3">
      <c r="B244" s="4"/>
      <c r="C244" s="4"/>
      <c r="D244" s="4"/>
      <c r="E244" s="4"/>
      <c r="F244"/>
      <c r="G244"/>
      <c r="H244"/>
      <c r="I244"/>
      <c r="J244"/>
      <c r="K244" s="7"/>
      <c r="L244" s="7"/>
      <c r="M244" s="7"/>
      <c r="O244" s="2" t="e">
        <f t="shared" si="22"/>
        <v>#VALUE!</v>
      </c>
      <c r="P244" s="6" t="e">
        <f t="shared" si="23"/>
        <v>#VALUE!</v>
      </c>
      <c r="Q244" s="6" t="e">
        <f t="shared" si="24"/>
        <v>#VALUE!</v>
      </c>
      <c r="R244" s="6" t="e">
        <f t="shared" si="25"/>
        <v>#VALUE!</v>
      </c>
      <c r="S244" s="6" t="e">
        <f t="shared" si="26"/>
        <v>#VALUE!</v>
      </c>
      <c r="T244" s="6" t="e">
        <f t="shared" si="27"/>
        <v>#VALUE!</v>
      </c>
      <c r="U244" s="2" t="e">
        <f t="shared" si="28"/>
        <v>#VALUE!</v>
      </c>
    </row>
    <row r="245" spans="2:21" x14ac:dyDescent="0.3">
      <c r="B245"/>
      <c r="C245"/>
      <c r="D245"/>
      <c r="E245"/>
      <c r="F245"/>
      <c r="G245"/>
      <c r="H245"/>
      <c r="I245"/>
      <c r="J245"/>
      <c r="O245" s="2" t="e">
        <f t="shared" si="22"/>
        <v>#VALUE!</v>
      </c>
      <c r="P245" s="6" t="e">
        <f t="shared" si="23"/>
        <v>#VALUE!</v>
      </c>
      <c r="Q245" s="6" t="e">
        <f t="shared" si="24"/>
        <v>#VALUE!</v>
      </c>
      <c r="R245" s="6" t="e">
        <f t="shared" si="25"/>
        <v>#VALUE!</v>
      </c>
      <c r="S245" s="6" t="e">
        <f t="shared" si="26"/>
        <v>#VALUE!</v>
      </c>
      <c r="T245" s="6" t="e">
        <f t="shared" si="27"/>
        <v>#VALUE!</v>
      </c>
      <c r="U245" s="2" t="e">
        <f t="shared" si="28"/>
        <v>#VALUE!</v>
      </c>
    </row>
    <row r="246" spans="2:21" x14ac:dyDescent="0.3">
      <c r="B246"/>
      <c r="C246"/>
      <c r="D246"/>
      <c r="E246" s="4"/>
      <c r="F246"/>
      <c r="G246"/>
      <c r="H246"/>
      <c r="I246"/>
      <c r="J246"/>
      <c r="O246" s="2" t="e">
        <f t="shared" si="22"/>
        <v>#VALUE!</v>
      </c>
      <c r="P246" s="6" t="e">
        <f t="shared" si="23"/>
        <v>#VALUE!</v>
      </c>
      <c r="Q246" s="6" t="e">
        <f t="shared" si="24"/>
        <v>#VALUE!</v>
      </c>
      <c r="R246" s="6" t="e">
        <f t="shared" si="25"/>
        <v>#VALUE!</v>
      </c>
      <c r="S246" s="6" t="e">
        <f t="shared" si="26"/>
        <v>#VALUE!</v>
      </c>
      <c r="T246" s="6" t="e">
        <f t="shared" si="27"/>
        <v>#VALUE!</v>
      </c>
      <c r="U246" s="2" t="e">
        <f t="shared" si="28"/>
        <v>#VALUE!</v>
      </c>
    </row>
    <row r="247" spans="2:21" x14ac:dyDescent="0.3">
      <c r="B247"/>
      <c r="C247"/>
      <c r="D247"/>
      <c r="E247"/>
      <c r="F247"/>
      <c r="G247"/>
      <c r="H247"/>
      <c r="I247"/>
      <c r="J247"/>
      <c r="O247" s="2" t="e">
        <f t="shared" si="22"/>
        <v>#VALUE!</v>
      </c>
      <c r="P247" s="6" t="e">
        <f t="shared" si="23"/>
        <v>#VALUE!</v>
      </c>
      <c r="Q247" s="6" t="e">
        <f t="shared" si="24"/>
        <v>#VALUE!</v>
      </c>
      <c r="R247" s="6" t="e">
        <f t="shared" si="25"/>
        <v>#VALUE!</v>
      </c>
      <c r="S247" s="6" t="e">
        <f t="shared" si="26"/>
        <v>#VALUE!</v>
      </c>
      <c r="T247" s="6" t="e">
        <f t="shared" si="27"/>
        <v>#VALUE!</v>
      </c>
      <c r="U247" s="2" t="e">
        <f t="shared" si="28"/>
        <v>#VALUE!</v>
      </c>
    </row>
    <row r="248" spans="2:21" x14ac:dyDescent="0.3">
      <c r="B248"/>
      <c r="C248"/>
      <c r="D248"/>
      <c r="E248"/>
      <c r="F248"/>
      <c r="G248"/>
      <c r="H248"/>
      <c r="I248"/>
      <c r="J248"/>
      <c r="O248" s="2" t="e">
        <f t="shared" si="22"/>
        <v>#VALUE!</v>
      </c>
      <c r="P248" s="6" t="e">
        <f t="shared" si="23"/>
        <v>#VALUE!</v>
      </c>
      <c r="Q248" s="6" t="e">
        <f t="shared" si="24"/>
        <v>#VALUE!</v>
      </c>
      <c r="R248" s="6" t="e">
        <f t="shared" si="25"/>
        <v>#VALUE!</v>
      </c>
      <c r="S248" s="6" t="e">
        <f t="shared" si="26"/>
        <v>#VALUE!</v>
      </c>
      <c r="T248" s="6" t="e">
        <f t="shared" si="27"/>
        <v>#VALUE!</v>
      </c>
      <c r="U248" s="2" t="e">
        <f t="shared" si="28"/>
        <v>#VALUE!</v>
      </c>
    </row>
    <row r="249" spans="2:21" x14ac:dyDescent="0.3">
      <c r="B249"/>
      <c r="C249"/>
      <c r="D249"/>
      <c r="E249" s="4"/>
      <c r="F249"/>
      <c r="G249"/>
      <c r="H249"/>
      <c r="I249"/>
      <c r="J249"/>
      <c r="O249" s="2" t="e">
        <f t="shared" si="22"/>
        <v>#VALUE!</v>
      </c>
      <c r="P249" s="6" t="e">
        <f t="shared" si="23"/>
        <v>#VALUE!</v>
      </c>
      <c r="Q249" s="6" t="e">
        <f t="shared" si="24"/>
        <v>#VALUE!</v>
      </c>
      <c r="R249" s="6" t="e">
        <f t="shared" si="25"/>
        <v>#VALUE!</v>
      </c>
      <c r="S249" s="6" t="e">
        <f t="shared" si="26"/>
        <v>#VALUE!</v>
      </c>
      <c r="T249" s="6" t="e">
        <f t="shared" si="27"/>
        <v>#VALUE!</v>
      </c>
      <c r="U249" s="2" t="e">
        <f t="shared" si="28"/>
        <v>#VALUE!</v>
      </c>
    </row>
    <row r="250" spans="2:21" x14ac:dyDescent="0.3">
      <c r="B250"/>
      <c r="C250"/>
      <c r="D250"/>
      <c r="E250"/>
      <c r="F250"/>
      <c r="G250"/>
      <c r="H250"/>
      <c r="I250"/>
      <c r="J250"/>
      <c r="O250" s="2" t="e">
        <f t="shared" si="22"/>
        <v>#VALUE!</v>
      </c>
      <c r="P250" s="6" t="e">
        <f t="shared" si="23"/>
        <v>#VALUE!</v>
      </c>
      <c r="Q250" s="6" t="e">
        <f t="shared" si="24"/>
        <v>#VALUE!</v>
      </c>
      <c r="R250" s="6" t="e">
        <f t="shared" si="25"/>
        <v>#VALUE!</v>
      </c>
      <c r="S250" s="6" t="e">
        <f t="shared" si="26"/>
        <v>#VALUE!</v>
      </c>
      <c r="T250" s="6" t="e">
        <f t="shared" si="27"/>
        <v>#VALUE!</v>
      </c>
      <c r="U250" s="2" t="e">
        <f t="shared" si="28"/>
        <v>#VALUE!</v>
      </c>
    </row>
    <row r="251" spans="2:21" x14ac:dyDescent="0.3">
      <c r="B251"/>
      <c r="C251"/>
      <c r="D251"/>
      <c r="E251" s="4"/>
      <c r="F251"/>
      <c r="G251"/>
      <c r="H251"/>
      <c r="I251"/>
      <c r="J251"/>
      <c r="K251" s="7"/>
      <c r="L251" s="7"/>
      <c r="M251" s="7"/>
      <c r="O251" s="2" t="e">
        <f t="shared" si="22"/>
        <v>#VALUE!</v>
      </c>
      <c r="P251" s="6" t="e">
        <f t="shared" si="23"/>
        <v>#VALUE!</v>
      </c>
      <c r="Q251" s="6" t="e">
        <f t="shared" si="24"/>
        <v>#VALUE!</v>
      </c>
      <c r="R251" s="6" t="e">
        <f t="shared" si="25"/>
        <v>#VALUE!</v>
      </c>
      <c r="S251" s="6" t="e">
        <f t="shared" si="26"/>
        <v>#VALUE!</v>
      </c>
      <c r="T251" s="6" t="e">
        <f t="shared" si="27"/>
        <v>#VALUE!</v>
      </c>
      <c r="U251" s="2" t="e">
        <f t="shared" si="28"/>
        <v>#VALUE!</v>
      </c>
    </row>
    <row r="252" spans="2:21" x14ac:dyDescent="0.3">
      <c r="B252"/>
      <c r="C252"/>
      <c r="D252"/>
      <c r="E252"/>
      <c r="F252"/>
      <c r="G252"/>
      <c r="H252"/>
      <c r="I252"/>
      <c r="J252"/>
      <c r="O252" s="2" t="e">
        <f t="shared" si="22"/>
        <v>#VALUE!</v>
      </c>
      <c r="P252" s="6" t="e">
        <f t="shared" si="23"/>
        <v>#VALUE!</v>
      </c>
      <c r="Q252" s="6" t="e">
        <f t="shared" si="24"/>
        <v>#VALUE!</v>
      </c>
      <c r="R252" s="6" t="e">
        <f t="shared" si="25"/>
        <v>#VALUE!</v>
      </c>
      <c r="S252" s="6" t="e">
        <f t="shared" si="26"/>
        <v>#VALUE!</v>
      </c>
      <c r="T252" s="6" t="e">
        <f t="shared" si="27"/>
        <v>#VALUE!</v>
      </c>
      <c r="U252" s="2" t="e">
        <f t="shared" si="28"/>
        <v>#VALUE!</v>
      </c>
    </row>
    <row r="253" spans="2:21" x14ac:dyDescent="0.3">
      <c r="B253"/>
      <c r="C253"/>
      <c r="D253"/>
      <c r="E253"/>
      <c r="F253"/>
      <c r="G253"/>
      <c r="H253"/>
      <c r="I253"/>
      <c r="J253"/>
      <c r="O253" s="2" t="e">
        <f t="shared" si="22"/>
        <v>#VALUE!</v>
      </c>
      <c r="P253" s="6" t="e">
        <f t="shared" si="23"/>
        <v>#VALUE!</v>
      </c>
      <c r="Q253" s="6" t="e">
        <f t="shared" si="24"/>
        <v>#VALUE!</v>
      </c>
      <c r="R253" s="6" t="e">
        <f t="shared" si="25"/>
        <v>#VALUE!</v>
      </c>
      <c r="S253" s="6" t="e">
        <f t="shared" si="26"/>
        <v>#VALUE!</v>
      </c>
      <c r="T253" s="6" t="e">
        <f t="shared" si="27"/>
        <v>#VALUE!</v>
      </c>
      <c r="U253" s="2" t="e">
        <f t="shared" si="28"/>
        <v>#VALUE!</v>
      </c>
    </row>
    <row r="254" spans="2:21" x14ac:dyDescent="0.3">
      <c r="B254" s="4"/>
      <c r="C254" s="4"/>
      <c r="D254" s="4"/>
      <c r="E254" s="4"/>
      <c r="F254"/>
      <c r="G254"/>
      <c r="H254"/>
      <c r="I254"/>
      <c r="J254"/>
      <c r="O254" s="2" t="e">
        <f t="shared" si="22"/>
        <v>#VALUE!</v>
      </c>
      <c r="P254" s="6" t="e">
        <f t="shared" si="23"/>
        <v>#VALUE!</v>
      </c>
      <c r="Q254" s="6" t="e">
        <f t="shared" si="24"/>
        <v>#VALUE!</v>
      </c>
      <c r="R254" s="6" t="e">
        <f t="shared" si="25"/>
        <v>#VALUE!</v>
      </c>
      <c r="S254" s="6" t="e">
        <f t="shared" si="26"/>
        <v>#VALUE!</v>
      </c>
      <c r="T254" s="6" t="e">
        <f t="shared" si="27"/>
        <v>#VALUE!</v>
      </c>
      <c r="U254" s="2" t="e">
        <f t="shared" si="28"/>
        <v>#VALUE!</v>
      </c>
    </row>
    <row r="255" spans="2:21" x14ac:dyDescent="0.3">
      <c r="B255"/>
      <c r="C255"/>
      <c r="D255"/>
      <c r="E255"/>
      <c r="F255"/>
      <c r="G255"/>
      <c r="H255"/>
      <c r="I255"/>
      <c r="J255"/>
      <c r="O255" s="2" t="e">
        <f t="shared" si="22"/>
        <v>#VALUE!</v>
      </c>
      <c r="P255" s="6" t="e">
        <f t="shared" si="23"/>
        <v>#VALUE!</v>
      </c>
      <c r="Q255" s="6" t="e">
        <f t="shared" si="24"/>
        <v>#VALUE!</v>
      </c>
      <c r="R255" s="6" t="e">
        <f t="shared" si="25"/>
        <v>#VALUE!</v>
      </c>
      <c r="S255" s="6" t="e">
        <f t="shared" si="26"/>
        <v>#VALUE!</v>
      </c>
      <c r="T255" s="6" t="e">
        <f t="shared" si="27"/>
        <v>#VALUE!</v>
      </c>
      <c r="U255" s="2" t="e">
        <f t="shared" si="28"/>
        <v>#VALUE!</v>
      </c>
    </row>
    <row r="256" spans="2:21" x14ac:dyDescent="0.3">
      <c r="B256"/>
      <c r="C256"/>
      <c r="D256"/>
      <c r="E256" s="4"/>
      <c r="F256"/>
      <c r="G256"/>
      <c r="H256"/>
      <c r="I256"/>
      <c r="J256"/>
      <c r="O256" s="2" t="e">
        <f t="shared" si="22"/>
        <v>#VALUE!</v>
      </c>
      <c r="P256" s="6" t="e">
        <f t="shared" si="23"/>
        <v>#VALUE!</v>
      </c>
      <c r="Q256" s="6" t="e">
        <f t="shared" si="24"/>
        <v>#VALUE!</v>
      </c>
      <c r="R256" s="6" t="e">
        <f t="shared" si="25"/>
        <v>#VALUE!</v>
      </c>
      <c r="S256" s="6" t="e">
        <f t="shared" si="26"/>
        <v>#VALUE!</v>
      </c>
      <c r="T256" s="6" t="e">
        <f t="shared" si="27"/>
        <v>#VALUE!</v>
      </c>
      <c r="U256" s="2" t="e">
        <f t="shared" si="28"/>
        <v>#VALUE!</v>
      </c>
    </row>
    <row r="257" spans="1:21" x14ac:dyDescent="0.3">
      <c r="B257"/>
      <c r="C257"/>
      <c r="D257"/>
      <c r="E257"/>
      <c r="F257"/>
      <c r="G257"/>
      <c r="H257"/>
      <c r="I257"/>
      <c r="J257"/>
      <c r="O257" s="2" t="e">
        <f t="shared" ref="O257:O290" si="29">SUBSTITUTE(MID(A257,53,FIND("GBHS",A257)-54), ".", ",")</f>
        <v>#VALUE!</v>
      </c>
      <c r="P257" s="6" t="e">
        <f t="shared" ref="P257:P290" si="30">MID(O257,1,4)</f>
        <v>#VALUE!</v>
      </c>
      <c r="Q257" s="6" t="e">
        <f t="shared" ref="Q257:Q290" si="31">MID(O257,6,4)</f>
        <v>#VALUE!</v>
      </c>
      <c r="R257" s="6" t="e">
        <f t="shared" ref="R257:R290" si="32">MID(O257,11,4)</f>
        <v>#VALUE!</v>
      </c>
      <c r="S257" s="6" t="e">
        <f t="shared" ref="S257:S290" si="33">MID(O257,16,4)</f>
        <v>#VALUE!</v>
      </c>
      <c r="T257" s="6" t="e">
        <f t="shared" ref="T257:T290" si="34">MID(O257,21,4)</f>
        <v>#VALUE!</v>
      </c>
      <c r="U257" s="2" t="e">
        <f t="shared" ref="U257:U320" si="35">SUBSTITUTE(CONCATENATE("&lt;Parametros&gt;","&lt;Alfa&gt;",P257,"&lt;/Alfa&gt;","&lt;Beta&gt;",Q257,"&lt;/Beta&gt;","&lt;Gamma&gt;",R257,"&lt;/Gamma&gt;","&lt;Delta&gt;",S257,"&lt;/Delta&gt;","&lt;Ro&gt;",T257,"&lt;/Ro&gt;","&lt;/Parametros&gt;"),",",".")</f>
        <v>#VALUE!</v>
      </c>
    </row>
    <row r="258" spans="1:21" x14ac:dyDescent="0.3">
      <c r="B258"/>
      <c r="C258"/>
      <c r="D258"/>
      <c r="E258" s="4"/>
      <c r="F258"/>
      <c r="G258"/>
      <c r="H258"/>
      <c r="I258"/>
      <c r="J258"/>
      <c r="O258" s="2" t="e">
        <f t="shared" si="29"/>
        <v>#VALUE!</v>
      </c>
      <c r="P258" s="6" t="e">
        <f t="shared" si="30"/>
        <v>#VALUE!</v>
      </c>
      <c r="Q258" s="6" t="e">
        <f t="shared" si="31"/>
        <v>#VALUE!</v>
      </c>
      <c r="R258" s="6" t="e">
        <f t="shared" si="32"/>
        <v>#VALUE!</v>
      </c>
      <c r="S258" s="6" t="e">
        <f t="shared" si="33"/>
        <v>#VALUE!</v>
      </c>
      <c r="T258" s="6" t="e">
        <f t="shared" si="34"/>
        <v>#VALUE!</v>
      </c>
      <c r="U258" s="2" t="e">
        <f t="shared" si="35"/>
        <v>#VALUE!</v>
      </c>
    </row>
    <row r="259" spans="1:21" x14ac:dyDescent="0.3">
      <c r="B259"/>
      <c r="C259"/>
      <c r="D259"/>
      <c r="E259"/>
      <c r="F259"/>
      <c r="G259"/>
      <c r="H259"/>
      <c r="I259"/>
      <c r="J259"/>
      <c r="O259" s="2" t="e">
        <f t="shared" si="29"/>
        <v>#VALUE!</v>
      </c>
      <c r="P259" s="6" t="e">
        <f t="shared" si="30"/>
        <v>#VALUE!</v>
      </c>
      <c r="Q259" s="6" t="e">
        <f t="shared" si="31"/>
        <v>#VALUE!</v>
      </c>
      <c r="R259" s="6" t="e">
        <f t="shared" si="32"/>
        <v>#VALUE!</v>
      </c>
      <c r="S259" s="6" t="e">
        <f t="shared" si="33"/>
        <v>#VALUE!</v>
      </c>
      <c r="T259" s="6" t="e">
        <f t="shared" si="34"/>
        <v>#VALUE!</v>
      </c>
      <c r="U259" s="2" t="e">
        <f t="shared" si="35"/>
        <v>#VALUE!</v>
      </c>
    </row>
    <row r="260" spans="1:21" x14ac:dyDescent="0.3">
      <c r="B260"/>
      <c r="C260"/>
      <c r="D260"/>
      <c r="E260"/>
      <c r="F260"/>
      <c r="G260"/>
      <c r="H260"/>
      <c r="I260"/>
      <c r="J260"/>
      <c r="O260" s="2" t="e">
        <f t="shared" si="29"/>
        <v>#VALUE!</v>
      </c>
      <c r="P260" s="6" t="e">
        <f t="shared" si="30"/>
        <v>#VALUE!</v>
      </c>
      <c r="Q260" s="6" t="e">
        <f t="shared" si="31"/>
        <v>#VALUE!</v>
      </c>
      <c r="R260" s="6" t="e">
        <f t="shared" si="32"/>
        <v>#VALUE!</v>
      </c>
      <c r="S260" s="6" t="e">
        <f t="shared" si="33"/>
        <v>#VALUE!</v>
      </c>
      <c r="T260" s="6" t="e">
        <f t="shared" si="34"/>
        <v>#VALUE!</v>
      </c>
      <c r="U260" s="2" t="e">
        <f t="shared" si="35"/>
        <v>#VALUE!</v>
      </c>
    </row>
    <row r="261" spans="1:21" x14ac:dyDescent="0.3">
      <c r="B261"/>
      <c r="C261"/>
      <c r="D261"/>
      <c r="E261"/>
      <c r="F261"/>
      <c r="G261"/>
      <c r="H261"/>
      <c r="I261"/>
      <c r="J261"/>
      <c r="O261" s="2" t="e">
        <f t="shared" si="29"/>
        <v>#VALUE!</v>
      </c>
      <c r="P261" s="6" t="e">
        <f t="shared" si="30"/>
        <v>#VALUE!</v>
      </c>
      <c r="Q261" s="6" t="e">
        <f t="shared" si="31"/>
        <v>#VALUE!</v>
      </c>
      <c r="R261" s="6" t="e">
        <f t="shared" si="32"/>
        <v>#VALUE!</v>
      </c>
      <c r="S261" s="6" t="e">
        <f t="shared" si="33"/>
        <v>#VALUE!</v>
      </c>
      <c r="T261" s="6" t="e">
        <f t="shared" si="34"/>
        <v>#VALUE!</v>
      </c>
      <c r="U261" s="2" t="e">
        <f t="shared" si="35"/>
        <v>#VALUE!</v>
      </c>
    </row>
    <row r="262" spans="1:21" x14ac:dyDescent="0.3">
      <c r="B262"/>
      <c r="C262"/>
      <c r="D262"/>
      <c r="E262"/>
      <c r="F262"/>
      <c r="G262"/>
      <c r="H262"/>
      <c r="I262"/>
      <c r="J262"/>
      <c r="O262" s="2" t="e">
        <f t="shared" si="29"/>
        <v>#VALUE!</v>
      </c>
      <c r="P262" s="6" t="e">
        <f t="shared" si="30"/>
        <v>#VALUE!</v>
      </c>
      <c r="Q262" s="6" t="e">
        <f t="shared" si="31"/>
        <v>#VALUE!</v>
      </c>
      <c r="R262" s="6" t="e">
        <f t="shared" si="32"/>
        <v>#VALUE!</v>
      </c>
      <c r="S262" s="6" t="e">
        <f t="shared" si="33"/>
        <v>#VALUE!</v>
      </c>
      <c r="T262" s="6" t="e">
        <f t="shared" si="34"/>
        <v>#VALUE!</v>
      </c>
      <c r="U262" s="2" t="e">
        <f t="shared" si="35"/>
        <v>#VALUE!</v>
      </c>
    </row>
    <row r="263" spans="1:21" x14ac:dyDescent="0.3">
      <c r="B263" s="4"/>
      <c r="C263" s="4"/>
      <c r="D263" s="4"/>
      <c r="E263" s="4"/>
      <c r="F263"/>
      <c r="G263"/>
      <c r="H263"/>
      <c r="I263"/>
      <c r="J263"/>
      <c r="O263" s="2" t="e">
        <f t="shared" si="29"/>
        <v>#VALUE!</v>
      </c>
      <c r="P263" s="6" t="e">
        <f t="shared" si="30"/>
        <v>#VALUE!</v>
      </c>
      <c r="Q263" s="6" t="e">
        <f t="shared" si="31"/>
        <v>#VALUE!</v>
      </c>
      <c r="R263" s="6" t="e">
        <f t="shared" si="32"/>
        <v>#VALUE!</v>
      </c>
      <c r="S263" s="6" t="e">
        <f t="shared" si="33"/>
        <v>#VALUE!</v>
      </c>
      <c r="T263" s="6" t="e">
        <f t="shared" si="34"/>
        <v>#VALUE!</v>
      </c>
      <c r="U263" s="2" t="e">
        <f t="shared" si="35"/>
        <v>#VALUE!</v>
      </c>
    </row>
    <row r="264" spans="1:21" x14ac:dyDescent="0.3">
      <c r="B264"/>
      <c r="C264"/>
      <c r="D264"/>
      <c r="E264" s="4"/>
      <c r="F264"/>
      <c r="G264"/>
      <c r="H264"/>
      <c r="I264"/>
      <c r="J264"/>
      <c r="O264" s="2" t="e">
        <f t="shared" si="29"/>
        <v>#VALUE!</v>
      </c>
      <c r="P264" s="6" t="e">
        <f t="shared" si="30"/>
        <v>#VALUE!</v>
      </c>
      <c r="Q264" s="6" t="e">
        <f t="shared" si="31"/>
        <v>#VALUE!</v>
      </c>
      <c r="R264" s="6" t="e">
        <f t="shared" si="32"/>
        <v>#VALUE!</v>
      </c>
      <c r="S264" s="6" t="e">
        <f t="shared" si="33"/>
        <v>#VALUE!</v>
      </c>
      <c r="T264" s="6" t="e">
        <f t="shared" si="34"/>
        <v>#VALUE!</v>
      </c>
      <c r="U264" s="2" t="e">
        <f t="shared" si="35"/>
        <v>#VALUE!</v>
      </c>
    </row>
    <row r="265" spans="1:21" x14ac:dyDescent="0.3">
      <c r="B265"/>
      <c r="C265"/>
      <c r="D265"/>
      <c r="E265" s="4"/>
      <c r="F265"/>
      <c r="G265"/>
      <c r="H265"/>
      <c r="I265"/>
      <c r="J265"/>
      <c r="K265" s="7"/>
      <c r="L265" s="7"/>
      <c r="M265" s="7"/>
      <c r="O265" s="2" t="e">
        <f t="shared" si="29"/>
        <v>#VALUE!</v>
      </c>
      <c r="P265" s="6" t="e">
        <f t="shared" si="30"/>
        <v>#VALUE!</v>
      </c>
      <c r="Q265" s="6" t="e">
        <f t="shared" si="31"/>
        <v>#VALUE!</v>
      </c>
      <c r="R265" s="6" t="e">
        <f t="shared" si="32"/>
        <v>#VALUE!</v>
      </c>
      <c r="S265" s="6" t="e">
        <f t="shared" si="33"/>
        <v>#VALUE!</v>
      </c>
      <c r="T265" s="6" t="e">
        <f t="shared" si="34"/>
        <v>#VALUE!</v>
      </c>
      <c r="U265" s="2" t="e">
        <f t="shared" si="35"/>
        <v>#VALUE!</v>
      </c>
    </row>
    <row r="266" spans="1:21" s="1" customFormat="1" x14ac:dyDescent="0.3">
      <c r="A266" s="2"/>
      <c r="B266"/>
      <c r="C266"/>
      <c r="D266"/>
      <c r="E266"/>
      <c r="F266"/>
      <c r="G266"/>
      <c r="H266"/>
      <c r="I266"/>
      <c r="J266"/>
      <c r="K266" s="2"/>
      <c r="L266" s="2"/>
      <c r="M266" s="2"/>
      <c r="O266" s="2" t="e">
        <f t="shared" si="29"/>
        <v>#VALUE!</v>
      </c>
      <c r="P266" s="6" t="e">
        <f t="shared" si="30"/>
        <v>#VALUE!</v>
      </c>
      <c r="Q266" s="6" t="e">
        <f t="shared" si="31"/>
        <v>#VALUE!</v>
      </c>
      <c r="R266" s="6" t="e">
        <f t="shared" si="32"/>
        <v>#VALUE!</v>
      </c>
      <c r="S266" s="6" t="e">
        <f t="shared" si="33"/>
        <v>#VALUE!</v>
      </c>
      <c r="T266" s="6" t="e">
        <f t="shared" si="34"/>
        <v>#VALUE!</v>
      </c>
      <c r="U266" s="2" t="e">
        <f t="shared" si="35"/>
        <v>#VALUE!</v>
      </c>
    </row>
    <row r="267" spans="1:21" s="1" customFormat="1" x14ac:dyDescent="0.3">
      <c r="A267" s="2"/>
      <c r="B267"/>
      <c r="C267"/>
      <c r="D267"/>
      <c r="E267"/>
      <c r="F267"/>
      <c r="G267"/>
      <c r="H267"/>
      <c r="I267"/>
      <c r="J267"/>
      <c r="K267" s="2"/>
      <c r="L267" s="2"/>
      <c r="M267" s="2"/>
      <c r="O267" s="2" t="e">
        <f t="shared" si="29"/>
        <v>#VALUE!</v>
      </c>
      <c r="P267" s="6" t="e">
        <f t="shared" si="30"/>
        <v>#VALUE!</v>
      </c>
      <c r="Q267" s="6" t="e">
        <f t="shared" si="31"/>
        <v>#VALUE!</v>
      </c>
      <c r="R267" s="6" t="e">
        <f t="shared" si="32"/>
        <v>#VALUE!</v>
      </c>
      <c r="S267" s="6" t="e">
        <f t="shared" si="33"/>
        <v>#VALUE!</v>
      </c>
      <c r="T267" s="6" t="e">
        <f t="shared" si="34"/>
        <v>#VALUE!</v>
      </c>
      <c r="U267" s="2" t="e">
        <f t="shared" si="35"/>
        <v>#VALUE!</v>
      </c>
    </row>
    <row r="268" spans="1:21" s="1" customFormat="1" x14ac:dyDescent="0.3">
      <c r="A268" s="2"/>
      <c r="B268"/>
      <c r="C268"/>
      <c r="D268"/>
      <c r="E268"/>
      <c r="F268"/>
      <c r="G268"/>
      <c r="H268"/>
      <c r="I268"/>
      <c r="J268"/>
      <c r="K268" s="2"/>
      <c r="L268" s="2"/>
      <c r="M268" s="2"/>
      <c r="O268" s="2" t="e">
        <f t="shared" si="29"/>
        <v>#VALUE!</v>
      </c>
      <c r="P268" s="6" t="e">
        <f t="shared" si="30"/>
        <v>#VALUE!</v>
      </c>
      <c r="Q268" s="6" t="e">
        <f t="shared" si="31"/>
        <v>#VALUE!</v>
      </c>
      <c r="R268" s="6" t="e">
        <f t="shared" si="32"/>
        <v>#VALUE!</v>
      </c>
      <c r="S268" s="6" t="e">
        <f t="shared" si="33"/>
        <v>#VALUE!</v>
      </c>
      <c r="T268" s="6" t="e">
        <f t="shared" si="34"/>
        <v>#VALUE!</v>
      </c>
      <c r="U268" s="2" t="e">
        <f t="shared" si="35"/>
        <v>#VALUE!</v>
      </c>
    </row>
    <row r="269" spans="1:21" s="1" customFormat="1" x14ac:dyDescent="0.3">
      <c r="A269" s="2"/>
      <c r="B269"/>
      <c r="C269"/>
      <c r="D269"/>
      <c r="E269" s="4"/>
      <c r="F269"/>
      <c r="G269"/>
      <c r="H269"/>
      <c r="I269"/>
      <c r="J269"/>
      <c r="K269" s="7"/>
      <c r="L269" s="7"/>
      <c r="M269" s="7"/>
      <c r="O269" s="2" t="e">
        <f t="shared" si="29"/>
        <v>#VALUE!</v>
      </c>
      <c r="P269" s="6" t="e">
        <f t="shared" si="30"/>
        <v>#VALUE!</v>
      </c>
      <c r="Q269" s="6" t="e">
        <f t="shared" si="31"/>
        <v>#VALUE!</v>
      </c>
      <c r="R269" s="6" t="e">
        <f t="shared" si="32"/>
        <v>#VALUE!</v>
      </c>
      <c r="S269" s="6" t="e">
        <f t="shared" si="33"/>
        <v>#VALUE!</v>
      </c>
      <c r="T269" s="6" t="e">
        <f t="shared" si="34"/>
        <v>#VALUE!</v>
      </c>
      <c r="U269" s="2" t="e">
        <f t="shared" si="35"/>
        <v>#VALUE!</v>
      </c>
    </row>
    <row r="270" spans="1:21" s="1" customFormat="1" x14ac:dyDescent="0.3">
      <c r="A270" s="2"/>
      <c r="B270"/>
      <c r="C270"/>
      <c r="D270"/>
      <c r="E270"/>
      <c r="F270"/>
      <c r="G270"/>
      <c r="H270"/>
      <c r="I270"/>
      <c r="J270"/>
      <c r="K270" s="2"/>
      <c r="L270" s="2"/>
      <c r="M270" s="2"/>
      <c r="O270" s="2" t="e">
        <f t="shared" si="29"/>
        <v>#VALUE!</v>
      </c>
      <c r="P270" s="6" t="e">
        <f t="shared" si="30"/>
        <v>#VALUE!</v>
      </c>
      <c r="Q270" s="6" t="e">
        <f t="shared" si="31"/>
        <v>#VALUE!</v>
      </c>
      <c r="R270" s="6" t="e">
        <f t="shared" si="32"/>
        <v>#VALUE!</v>
      </c>
      <c r="S270" s="6" t="e">
        <f t="shared" si="33"/>
        <v>#VALUE!</v>
      </c>
      <c r="T270" s="6" t="e">
        <f t="shared" si="34"/>
        <v>#VALUE!</v>
      </c>
      <c r="U270" s="2" t="e">
        <f t="shared" si="35"/>
        <v>#VALUE!</v>
      </c>
    </row>
    <row r="271" spans="1:21" s="1" customFormat="1" x14ac:dyDescent="0.3">
      <c r="A271" s="2"/>
      <c r="B271"/>
      <c r="C271"/>
      <c r="D271"/>
      <c r="E271" s="4"/>
      <c r="F271"/>
      <c r="G271"/>
      <c r="H271"/>
      <c r="I271"/>
      <c r="J271"/>
      <c r="K271" s="2"/>
      <c r="L271" s="2"/>
      <c r="M271" s="2"/>
      <c r="O271" s="2" t="e">
        <f t="shared" si="29"/>
        <v>#VALUE!</v>
      </c>
      <c r="P271" s="6" t="e">
        <f t="shared" si="30"/>
        <v>#VALUE!</v>
      </c>
      <c r="Q271" s="6" t="e">
        <f t="shared" si="31"/>
        <v>#VALUE!</v>
      </c>
      <c r="R271" s="6" t="e">
        <f t="shared" si="32"/>
        <v>#VALUE!</v>
      </c>
      <c r="S271" s="6" t="e">
        <f t="shared" si="33"/>
        <v>#VALUE!</v>
      </c>
      <c r="T271" s="6" t="e">
        <f t="shared" si="34"/>
        <v>#VALUE!</v>
      </c>
      <c r="U271" s="2" t="e">
        <f t="shared" si="35"/>
        <v>#VALUE!</v>
      </c>
    </row>
    <row r="272" spans="1:21" s="1" customFormat="1" x14ac:dyDescent="0.3">
      <c r="A272" s="2"/>
      <c r="B272" s="4"/>
      <c r="C272" s="4"/>
      <c r="D272" s="4"/>
      <c r="E272" s="4"/>
      <c r="F272"/>
      <c r="G272"/>
      <c r="H272"/>
      <c r="I272"/>
      <c r="J272"/>
      <c r="K272" s="2"/>
      <c r="L272" s="2"/>
      <c r="M272" s="2"/>
      <c r="O272" s="2" t="e">
        <f t="shared" si="29"/>
        <v>#VALUE!</v>
      </c>
      <c r="P272" s="6" t="e">
        <f t="shared" si="30"/>
        <v>#VALUE!</v>
      </c>
      <c r="Q272" s="6" t="e">
        <f t="shared" si="31"/>
        <v>#VALUE!</v>
      </c>
      <c r="R272" s="6" t="e">
        <f t="shared" si="32"/>
        <v>#VALUE!</v>
      </c>
      <c r="S272" s="6" t="e">
        <f t="shared" si="33"/>
        <v>#VALUE!</v>
      </c>
      <c r="T272" s="6" t="e">
        <f t="shared" si="34"/>
        <v>#VALUE!</v>
      </c>
      <c r="U272" s="2" t="e">
        <f t="shared" si="35"/>
        <v>#VALUE!</v>
      </c>
    </row>
    <row r="273" spans="1:21" s="1" customFormat="1" x14ac:dyDescent="0.3">
      <c r="A273" s="2"/>
      <c r="B273"/>
      <c r="C273"/>
      <c r="D273"/>
      <c r="E273" s="4"/>
      <c r="F273"/>
      <c r="G273"/>
      <c r="H273"/>
      <c r="I273"/>
      <c r="J273"/>
      <c r="K273" s="2"/>
      <c r="L273" s="2"/>
      <c r="M273" s="2"/>
      <c r="O273" s="2" t="e">
        <f t="shared" si="29"/>
        <v>#VALUE!</v>
      </c>
      <c r="P273" s="6" t="e">
        <f t="shared" si="30"/>
        <v>#VALUE!</v>
      </c>
      <c r="Q273" s="6" t="e">
        <f t="shared" si="31"/>
        <v>#VALUE!</v>
      </c>
      <c r="R273" s="6" t="e">
        <f t="shared" si="32"/>
        <v>#VALUE!</v>
      </c>
      <c r="S273" s="6" t="e">
        <f t="shared" si="33"/>
        <v>#VALUE!</v>
      </c>
      <c r="T273" s="6" t="e">
        <f t="shared" si="34"/>
        <v>#VALUE!</v>
      </c>
      <c r="U273" s="2" t="e">
        <f t="shared" si="35"/>
        <v>#VALUE!</v>
      </c>
    </row>
    <row r="274" spans="1:21" s="1" customFormat="1" x14ac:dyDescent="0.3">
      <c r="A274" s="2"/>
      <c r="B274" s="4"/>
      <c r="C274" s="4"/>
      <c r="D274" s="4"/>
      <c r="E274" s="4"/>
      <c r="F274"/>
      <c r="G274"/>
      <c r="H274"/>
      <c r="I274"/>
      <c r="J274"/>
      <c r="K274" s="2"/>
      <c r="L274" s="2"/>
      <c r="M274" s="2"/>
      <c r="O274" s="2" t="e">
        <f t="shared" si="29"/>
        <v>#VALUE!</v>
      </c>
      <c r="P274" s="6" t="e">
        <f t="shared" si="30"/>
        <v>#VALUE!</v>
      </c>
      <c r="Q274" s="6" t="e">
        <f t="shared" si="31"/>
        <v>#VALUE!</v>
      </c>
      <c r="R274" s="6" t="e">
        <f t="shared" si="32"/>
        <v>#VALUE!</v>
      </c>
      <c r="S274" s="6" t="e">
        <f t="shared" si="33"/>
        <v>#VALUE!</v>
      </c>
      <c r="T274" s="6" t="e">
        <f t="shared" si="34"/>
        <v>#VALUE!</v>
      </c>
      <c r="U274" s="2" t="e">
        <f t="shared" si="35"/>
        <v>#VALUE!</v>
      </c>
    </row>
    <row r="275" spans="1:21" s="1" customFormat="1" x14ac:dyDescent="0.3">
      <c r="A275" s="2"/>
      <c r="B275"/>
      <c r="C275"/>
      <c r="D275"/>
      <c r="E275"/>
      <c r="F275"/>
      <c r="G275"/>
      <c r="H275"/>
      <c r="I275"/>
      <c r="J275"/>
      <c r="K275" s="2"/>
      <c r="L275" s="2"/>
      <c r="M275" s="2"/>
      <c r="O275" s="2" t="e">
        <f t="shared" si="29"/>
        <v>#VALUE!</v>
      </c>
      <c r="P275" s="6" t="e">
        <f t="shared" si="30"/>
        <v>#VALUE!</v>
      </c>
      <c r="Q275" s="6" t="e">
        <f t="shared" si="31"/>
        <v>#VALUE!</v>
      </c>
      <c r="R275" s="6" t="e">
        <f t="shared" si="32"/>
        <v>#VALUE!</v>
      </c>
      <c r="S275" s="6" t="e">
        <f t="shared" si="33"/>
        <v>#VALUE!</v>
      </c>
      <c r="T275" s="6" t="e">
        <f t="shared" si="34"/>
        <v>#VALUE!</v>
      </c>
      <c r="U275" s="2" t="e">
        <f t="shared" si="35"/>
        <v>#VALUE!</v>
      </c>
    </row>
    <row r="276" spans="1:21" s="1" customFormat="1" x14ac:dyDescent="0.3">
      <c r="A276" s="2"/>
      <c r="B276"/>
      <c r="C276"/>
      <c r="D276"/>
      <c r="E276"/>
      <c r="F276"/>
      <c r="G276"/>
      <c r="H276"/>
      <c r="I276"/>
      <c r="J276"/>
      <c r="K276" s="2"/>
      <c r="L276" s="2"/>
      <c r="M276" s="2"/>
      <c r="O276" s="2" t="e">
        <f t="shared" si="29"/>
        <v>#VALUE!</v>
      </c>
      <c r="P276" s="6" t="e">
        <f t="shared" si="30"/>
        <v>#VALUE!</v>
      </c>
      <c r="Q276" s="6" t="e">
        <f t="shared" si="31"/>
        <v>#VALUE!</v>
      </c>
      <c r="R276" s="6" t="e">
        <f t="shared" si="32"/>
        <v>#VALUE!</v>
      </c>
      <c r="S276" s="6" t="e">
        <f t="shared" si="33"/>
        <v>#VALUE!</v>
      </c>
      <c r="T276" s="6" t="e">
        <f t="shared" si="34"/>
        <v>#VALUE!</v>
      </c>
      <c r="U276" s="2" t="e">
        <f t="shared" si="35"/>
        <v>#VALUE!</v>
      </c>
    </row>
    <row r="277" spans="1:21" s="1" customFormat="1" x14ac:dyDescent="0.3">
      <c r="A277" s="2"/>
      <c r="B277"/>
      <c r="C277"/>
      <c r="D277"/>
      <c r="E277" s="4"/>
      <c r="F277"/>
      <c r="G277"/>
      <c r="H277"/>
      <c r="I277"/>
      <c r="J277"/>
      <c r="K277" s="2"/>
      <c r="L277" s="2"/>
      <c r="M277" s="2"/>
      <c r="O277" s="2" t="e">
        <f t="shared" si="29"/>
        <v>#VALUE!</v>
      </c>
      <c r="P277" s="6" t="e">
        <f t="shared" si="30"/>
        <v>#VALUE!</v>
      </c>
      <c r="Q277" s="6" t="e">
        <f t="shared" si="31"/>
        <v>#VALUE!</v>
      </c>
      <c r="R277" s="6" t="e">
        <f t="shared" si="32"/>
        <v>#VALUE!</v>
      </c>
      <c r="S277" s="6" t="e">
        <f t="shared" si="33"/>
        <v>#VALUE!</v>
      </c>
      <c r="T277" s="6" t="e">
        <f t="shared" si="34"/>
        <v>#VALUE!</v>
      </c>
      <c r="U277" s="2" t="e">
        <f t="shared" si="35"/>
        <v>#VALUE!</v>
      </c>
    </row>
    <row r="278" spans="1:21" s="1" customFormat="1" x14ac:dyDescent="0.3">
      <c r="A278" s="2"/>
      <c r="B278"/>
      <c r="C278"/>
      <c r="D278"/>
      <c r="E278"/>
      <c r="F278"/>
      <c r="G278"/>
      <c r="H278"/>
      <c r="I278"/>
      <c r="J278"/>
      <c r="K278" s="2"/>
      <c r="L278" s="2"/>
      <c r="M278" s="2"/>
      <c r="O278" s="2" t="e">
        <f t="shared" si="29"/>
        <v>#VALUE!</v>
      </c>
      <c r="P278" s="6" t="e">
        <f t="shared" si="30"/>
        <v>#VALUE!</v>
      </c>
      <c r="Q278" s="6" t="e">
        <f t="shared" si="31"/>
        <v>#VALUE!</v>
      </c>
      <c r="R278" s="6" t="e">
        <f t="shared" si="32"/>
        <v>#VALUE!</v>
      </c>
      <c r="S278" s="6" t="e">
        <f t="shared" si="33"/>
        <v>#VALUE!</v>
      </c>
      <c r="T278" s="6" t="e">
        <f t="shared" si="34"/>
        <v>#VALUE!</v>
      </c>
      <c r="U278" s="2" t="e">
        <f t="shared" si="35"/>
        <v>#VALUE!</v>
      </c>
    </row>
    <row r="279" spans="1:21" s="1" customFormat="1" x14ac:dyDescent="0.3">
      <c r="A279" s="2"/>
      <c r="B279" s="4"/>
      <c r="C279" s="4"/>
      <c r="D279" s="4"/>
      <c r="E279" s="4"/>
      <c r="F279"/>
      <c r="G279"/>
      <c r="H279"/>
      <c r="I279"/>
      <c r="J279"/>
      <c r="K279" s="8"/>
      <c r="L279" s="8"/>
      <c r="M279" s="8"/>
      <c r="O279" s="2" t="e">
        <f t="shared" si="29"/>
        <v>#VALUE!</v>
      </c>
      <c r="P279" s="6" t="e">
        <f t="shared" si="30"/>
        <v>#VALUE!</v>
      </c>
      <c r="Q279" s="6" t="e">
        <f t="shared" si="31"/>
        <v>#VALUE!</v>
      </c>
      <c r="R279" s="6" t="e">
        <f t="shared" si="32"/>
        <v>#VALUE!</v>
      </c>
      <c r="S279" s="6" t="e">
        <f t="shared" si="33"/>
        <v>#VALUE!</v>
      </c>
      <c r="T279" s="6" t="e">
        <f t="shared" si="34"/>
        <v>#VALUE!</v>
      </c>
      <c r="U279" s="2" t="e">
        <f t="shared" si="35"/>
        <v>#VALUE!</v>
      </c>
    </row>
    <row r="280" spans="1:21" s="1" customFormat="1" x14ac:dyDescent="0.3">
      <c r="A280" s="2"/>
      <c r="B280"/>
      <c r="C280"/>
      <c r="D280"/>
      <c r="E280"/>
      <c r="F280"/>
      <c r="G280"/>
      <c r="H280"/>
      <c r="I280"/>
      <c r="J280"/>
      <c r="K280" s="2"/>
      <c r="L280" s="2"/>
      <c r="M280" s="2"/>
      <c r="O280" s="2" t="e">
        <f t="shared" si="29"/>
        <v>#VALUE!</v>
      </c>
      <c r="P280" s="6" t="e">
        <f t="shared" si="30"/>
        <v>#VALUE!</v>
      </c>
      <c r="Q280" s="6" t="e">
        <f t="shared" si="31"/>
        <v>#VALUE!</v>
      </c>
      <c r="R280" s="6" t="e">
        <f t="shared" si="32"/>
        <v>#VALUE!</v>
      </c>
      <c r="S280" s="6" t="e">
        <f t="shared" si="33"/>
        <v>#VALUE!</v>
      </c>
      <c r="T280" s="6" t="e">
        <f t="shared" si="34"/>
        <v>#VALUE!</v>
      </c>
      <c r="U280" s="2" t="e">
        <f t="shared" si="35"/>
        <v>#VALUE!</v>
      </c>
    </row>
    <row r="281" spans="1:21" s="1" customFormat="1" x14ac:dyDescent="0.3">
      <c r="A281" s="2"/>
      <c r="B281" s="4"/>
      <c r="C281" s="4"/>
      <c r="D281" s="4"/>
      <c r="E281" s="4"/>
      <c r="F281"/>
      <c r="G281"/>
      <c r="H281"/>
      <c r="I281"/>
      <c r="J281"/>
      <c r="K281" s="2"/>
      <c r="L281" s="2"/>
      <c r="M281" s="2"/>
      <c r="O281" s="2" t="e">
        <f t="shared" si="29"/>
        <v>#VALUE!</v>
      </c>
      <c r="P281" s="6" t="e">
        <f t="shared" si="30"/>
        <v>#VALUE!</v>
      </c>
      <c r="Q281" s="6" t="e">
        <f t="shared" si="31"/>
        <v>#VALUE!</v>
      </c>
      <c r="R281" s="6" t="e">
        <f t="shared" si="32"/>
        <v>#VALUE!</v>
      </c>
      <c r="S281" s="6" t="e">
        <f t="shared" si="33"/>
        <v>#VALUE!</v>
      </c>
      <c r="T281" s="6" t="e">
        <f t="shared" si="34"/>
        <v>#VALUE!</v>
      </c>
      <c r="U281" s="2" t="e">
        <f t="shared" si="35"/>
        <v>#VALUE!</v>
      </c>
    </row>
    <row r="282" spans="1:21" s="1" customFormat="1" x14ac:dyDescent="0.3">
      <c r="A282" s="2"/>
      <c r="B282"/>
      <c r="C282"/>
      <c r="D282"/>
      <c r="E282"/>
      <c r="F282"/>
      <c r="G282"/>
      <c r="H282"/>
      <c r="I282"/>
      <c r="J282"/>
      <c r="K282" s="2"/>
      <c r="L282" s="2"/>
      <c r="M282" s="2"/>
      <c r="O282" s="2" t="e">
        <f t="shared" si="29"/>
        <v>#VALUE!</v>
      </c>
      <c r="P282" s="6" t="e">
        <f t="shared" si="30"/>
        <v>#VALUE!</v>
      </c>
      <c r="Q282" s="6" t="e">
        <f t="shared" si="31"/>
        <v>#VALUE!</v>
      </c>
      <c r="R282" s="6" t="e">
        <f t="shared" si="32"/>
        <v>#VALUE!</v>
      </c>
      <c r="S282" s="6" t="e">
        <f t="shared" si="33"/>
        <v>#VALUE!</v>
      </c>
      <c r="T282" s="6" t="e">
        <f t="shared" si="34"/>
        <v>#VALUE!</v>
      </c>
      <c r="U282" s="2" t="e">
        <f t="shared" si="35"/>
        <v>#VALUE!</v>
      </c>
    </row>
    <row r="283" spans="1:21" s="1" customFormat="1" x14ac:dyDescent="0.3">
      <c r="A283" s="2"/>
      <c r="B283"/>
      <c r="C283"/>
      <c r="D283"/>
      <c r="E283"/>
      <c r="F283"/>
      <c r="G283"/>
      <c r="H283"/>
      <c r="I283"/>
      <c r="J283"/>
      <c r="K283" s="2"/>
      <c r="L283" s="2"/>
      <c r="M283" s="2"/>
      <c r="O283" s="2" t="e">
        <f t="shared" si="29"/>
        <v>#VALUE!</v>
      </c>
      <c r="P283" s="6" t="e">
        <f t="shared" si="30"/>
        <v>#VALUE!</v>
      </c>
      <c r="Q283" s="6" t="e">
        <f t="shared" si="31"/>
        <v>#VALUE!</v>
      </c>
      <c r="R283" s="6" t="e">
        <f t="shared" si="32"/>
        <v>#VALUE!</v>
      </c>
      <c r="S283" s="6" t="e">
        <f t="shared" si="33"/>
        <v>#VALUE!</v>
      </c>
      <c r="T283" s="6" t="e">
        <f t="shared" si="34"/>
        <v>#VALUE!</v>
      </c>
      <c r="U283" s="2" t="e">
        <f t="shared" si="35"/>
        <v>#VALUE!</v>
      </c>
    </row>
    <row r="284" spans="1:21" s="1" customFormat="1" x14ac:dyDescent="0.3">
      <c r="A284" s="2"/>
      <c r="B284"/>
      <c r="C284"/>
      <c r="D284"/>
      <c r="E284" s="4"/>
      <c r="F284"/>
      <c r="G284"/>
      <c r="H284"/>
      <c r="I284"/>
      <c r="J284"/>
      <c r="K284" s="7"/>
      <c r="L284" s="7"/>
      <c r="M284" s="7"/>
      <c r="O284" s="2" t="e">
        <f t="shared" si="29"/>
        <v>#VALUE!</v>
      </c>
      <c r="P284" s="6" t="e">
        <f t="shared" si="30"/>
        <v>#VALUE!</v>
      </c>
      <c r="Q284" s="6" t="e">
        <f t="shared" si="31"/>
        <v>#VALUE!</v>
      </c>
      <c r="R284" s="6" t="e">
        <f t="shared" si="32"/>
        <v>#VALUE!</v>
      </c>
      <c r="S284" s="6" t="e">
        <f t="shared" si="33"/>
        <v>#VALUE!</v>
      </c>
      <c r="T284" s="6" t="e">
        <f t="shared" si="34"/>
        <v>#VALUE!</v>
      </c>
      <c r="U284" s="2" t="e">
        <f t="shared" si="35"/>
        <v>#VALUE!</v>
      </c>
    </row>
    <row r="285" spans="1:21" s="1" customFormat="1" x14ac:dyDescent="0.3">
      <c r="A285" s="2"/>
      <c r="B285"/>
      <c r="C285"/>
      <c r="D285"/>
      <c r="E285" s="4"/>
      <c r="F285"/>
      <c r="G285"/>
      <c r="H285"/>
      <c r="I285"/>
      <c r="J285"/>
      <c r="K285" s="7"/>
      <c r="L285" s="7"/>
      <c r="M285" s="7"/>
      <c r="O285" s="2" t="e">
        <f t="shared" si="29"/>
        <v>#VALUE!</v>
      </c>
      <c r="P285" s="6" t="e">
        <f t="shared" si="30"/>
        <v>#VALUE!</v>
      </c>
      <c r="Q285" s="6" t="e">
        <f t="shared" si="31"/>
        <v>#VALUE!</v>
      </c>
      <c r="R285" s="6" t="e">
        <f t="shared" si="32"/>
        <v>#VALUE!</v>
      </c>
      <c r="S285" s="6" t="e">
        <f t="shared" si="33"/>
        <v>#VALUE!</v>
      </c>
      <c r="T285" s="6" t="e">
        <f t="shared" si="34"/>
        <v>#VALUE!</v>
      </c>
      <c r="U285" s="2" t="e">
        <f t="shared" si="35"/>
        <v>#VALUE!</v>
      </c>
    </row>
    <row r="286" spans="1:21" s="1" customFormat="1" x14ac:dyDescent="0.3">
      <c r="A286" s="2"/>
      <c r="B286"/>
      <c r="C286"/>
      <c r="D286"/>
      <c r="E286"/>
      <c r="F286"/>
      <c r="G286"/>
      <c r="H286"/>
      <c r="I286"/>
      <c r="J286"/>
      <c r="K286" s="2"/>
      <c r="L286" s="2"/>
      <c r="M286" s="2"/>
      <c r="O286" s="2" t="e">
        <f t="shared" si="29"/>
        <v>#VALUE!</v>
      </c>
      <c r="P286" s="6" t="e">
        <f t="shared" si="30"/>
        <v>#VALUE!</v>
      </c>
      <c r="Q286" s="6" t="e">
        <f t="shared" si="31"/>
        <v>#VALUE!</v>
      </c>
      <c r="R286" s="6" t="e">
        <f t="shared" si="32"/>
        <v>#VALUE!</v>
      </c>
      <c r="S286" s="6" t="e">
        <f t="shared" si="33"/>
        <v>#VALUE!</v>
      </c>
      <c r="T286" s="6" t="e">
        <f t="shared" si="34"/>
        <v>#VALUE!</v>
      </c>
      <c r="U286" s="2" t="e">
        <f t="shared" si="35"/>
        <v>#VALUE!</v>
      </c>
    </row>
    <row r="287" spans="1:21" s="1" customFormat="1" x14ac:dyDescent="0.3">
      <c r="A287" s="2"/>
      <c r="B287"/>
      <c r="C287"/>
      <c r="D287"/>
      <c r="E287" s="4"/>
      <c r="F287"/>
      <c r="G287"/>
      <c r="H287"/>
      <c r="I287"/>
      <c r="J287"/>
      <c r="K287" s="2"/>
      <c r="L287" s="2"/>
      <c r="M287" s="2"/>
      <c r="O287" s="2" t="e">
        <f t="shared" si="29"/>
        <v>#VALUE!</v>
      </c>
      <c r="P287" s="6" t="e">
        <f t="shared" si="30"/>
        <v>#VALUE!</v>
      </c>
      <c r="Q287" s="6" t="e">
        <f t="shared" si="31"/>
        <v>#VALUE!</v>
      </c>
      <c r="R287" s="6" t="e">
        <f t="shared" si="32"/>
        <v>#VALUE!</v>
      </c>
      <c r="S287" s="6" t="e">
        <f t="shared" si="33"/>
        <v>#VALUE!</v>
      </c>
      <c r="T287" s="6" t="e">
        <f t="shared" si="34"/>
        <v>#VALUE!</v>
      </c>
      <c r="U287" s="2" t="e">
        <f t="shared" si="35"/>
        <v>#VALUE!</v>
      </c>
    </row>
    <row r="288" spans="1:21" s="1" customFormat="1" x14ac:dyDescent="0.3">
      <c r="A288" s="2"/>
      <c r="B288" s="4"/>
      <c r="C288" s="4"/>
      <c r="D288" s="4"/>
      <c r="E288" s="4"/>
      <c r="F288"/>
      <c r="G288"/>
      <c r="H288"/>
      <c r="I288"/>
      <c r="J288"/>
      <c r="K288" s="2"/>
      <c r="L288" s="2"/>
      <c r="M288" s="2"/>
      <c r="O288" s="2" t="e">
        <f t="shared" si="29"/>
        <v>#VALUE!</v>
      </c>
      <c r="P288" s="6" t="e">
        <f t="shared" si="30"/>
        <v>#VALUE!</v>
      </c>
      <c r="Q288" s="6" t="e">
        <f t="shared" si="31"/>
        <v>#VALUE!</v>
      </c>
      <c r="R288" s="6" t="e">
        <f t="shared" si="32"/>
        <v>#VALUE!</v>
      </c>
      <c r="S288" s="6" t="e">
        <f t="shared" si="33"/>
        <v>#VALUE!</v>
      </c>
      <c r="T288" s="6" t="e">
        <f t="shared" si="34"/>
        <v>#VALUE!</v>
      </c>
      <c r="U288" s="2" t="e">
        <f t="shared" si="35"/>
        <v>#VALUE!</v>
      </c>
    </row>
    <row r="289" spans="1:21" s="1" customFormat="1" x14ac:dyDescent="0.3">
      <c r="A289" s="2"/>
      <c r="B289"/>
      <c r="C289"/>
      <c r="D289"/>
      <c r="E289" s="4"/>
      <c r="F289"/>
      <c r="G289"/>
      <c r="H289"/>
      <c r="I289"/>
      <c r="J289"/>
      <c r="K289" s="2"/>
      <c r="L289" s="2"/>
      <c r="M289" s="2"/>
      <c r="O289" s="2" t="e">
        <f t="shared" si="29"/>
        <v>#VALUE!</v>
      </c>
      <c r="P289" s="6" t="e">
        <f t="shared" si="30"/>
        <v>#VALUE!</v>
      </c>
      <c r="Q289" s="6" t="e">
        <f t="shared" si="31"/>
        <v>#VALUE!</v>
      </c>
      <c r="R289" s="6" t="e">
        <f t="shared" si="32"/>
        <v>#VALUE!</v>
      </c>
      <c r="S289" s="6" t="e">
        <f t="shared" si="33"/>
        <v>#VALUE!</v>
      </c>
      <c r="T289" s="6" t="e">
        <f t="shared" si="34"/>
        <v>#VALUE!</v>
      </c>
      <c r="U289" s="2" t="e">
        <f t="shared" si="35"/>
        <v>#VALUE!</v>
      </c>
    </row>
    <row r="290" spans="1:21" s="1" customFormat="1" x14ac:dyDescent="0.3">
      <c r="A290" s="2"/>
      <c r="B290"/>
      <c r="C290"/>
      <c r="D290"/>
      <c r="E290"/>
      <c r="F290"/>
      <c r="G290"/>
      <c r="H290"/>
      <c r="I290"/>
      <c r="J290"/>
      <c r="K290" s="2"/>
      <c r="L290" s="2"/>
      <c r="M290" s="2"/>
      <c r="O290" s="2" t="e">
        <f t="shared" si="29"/>
        <v>#VALUE!</v>
      </c>
      <c r="P290" s="6" t="e">
        <f t="shared" si="30"/>
        <v>#VALUE!</v>
      </c>
      <c r="Q290" s="6" t="e">
        <f t="shared" si="31"/>
        <v>#VALUE!</v>
      </c>
      <c r="R290" s="6" t="e">
        <f t="shared" si="32"/>
        <v>#VALUE!</v>
      </c>
      <c r="S290" s="6" t="e">
        <f t="shared" si="33"/>
        <v>#VALUE!</v>
      </c>
      <c r="T290" s="6" t="e">
        <f t="shared" si="34"/>
        <v>#VALUE!</v>
      </c>
      <c r="U290" s="2" t="e">
        <f t="shared" si="35"/>
        <v>#VALUE!</v>
      </c>
    </row>
    <row r="291" spans="1:21" x14ac:dyDescent="0.3">
      <c r="B291"/>
      <c r="C291"/>
      <c r="D291"/>
      <c r="E291" s="4"/>
      <c r="F291"/>
      <c r="G291"/>
      <c r="H291"/>
      <c r="I291"/>
      <c r="J291"/>
      <c r="K291" s="7"/>
      <c r="L291" s="7"/>
      <c r="M291" s="7"/>
      <c r="O291" s="2" t="e">
        <f t="shared" ref="O291:O304" si="36">SUBSTITUTE(MID(A291,53,FIND("GBHS",A291)-54), ".", ",")</f>
        <v>#VALUE!</v>
      </c>
      <c r="P291" s="6" t="e">
        <f t="shared" ref="P291:P304" si="37">MID(O291,1,4)</f>
        <v>#VALUE!</v>
      </c>
      <c r="Q291" s="6" t="e">
        <f t="shared" ref="Q291:Q304" si="38">MID(O291,6,4)</f>
        <v>#VALUE!</v>
      </c>
      <c r="R291" s="6" t="e">
        <f t="shared" ref="R291:R304" si="39">MID(O291,11,4)</f>
        <v>#VALUE!</v>
      </c>
      <c r="S291" s="6" t="e">
        <f t="shared" ref="S291:S304" si="40">MID(O291,16,4)</f>
        <v>#VALUE!</v>
      </c>
      <c r="T291" s="6" t="e">
        <f t="shared" ref="T291:T304" si="41">MID(O291,21,4)</f>
        <v>#VALUE!</v>
      </c>
      <c r="U291" s="2" t="e">
        <f t="shared" si="35"/>
        <v>#VALUE!</v>
      </c>
    </row>
    <row r="292" spans="1:21" x14ac:dyDescent="0.3">
      <c r="B292"/>
      <c r="C292"/>
      <c r="D292"/>
      <c r="E292" s="4"/>
      <c r="F292"/>
      <c r="G292"/>
      <c r="H292"/>
      <c r="I292"/>
      <c r="J292"/>
      <c r="K292" s="7"/>
      <c r="L292" s="7"/>
      <c r="M292" s="7"/>
      <c r="O292" s="2" t="e">
        <f t="shared" si="36"/>
        <v>#VALUE!</v>
      </c>
      <c r="P292" s="6" t="e">
        <f t="shared" si="37"/>
        <v>#VALUE!</v>
      </c>
      <c r="Q292" s="6" t="e">
        <f t="shared" si="38"/>
        <v>#VALUE!</v>
      </c>
      <c r="R292" s="6" t="e">
        <f t="shared" si="39"/>
        <v>#VALUE!</v>
      </c>
      <c r="S292" s="6" t="e">
        <f t="shared" si="40"/>
        <v>#VALUE!</v>
      </c>
      <c r="T292" s="6" t="e">
        <f t="shared" si="41"/>
        <v>#VALUE!</v>
      </c>
      <c r="U292" s="2" t="e">
        <f t="shared" si="35"/>
        <v>#VALUE!</v>
      </c>
    </row>
    <row r="293" spans="1:21" x14ac:dyDescent="0.3">
      <c r="B293"/>
      <c r="C293"/>
      <c r="D293"/>
      <c r="E293" s="4"/>
      <c r="F293"/>
      <c r="G293"/>
      <c r="H293"/>
      <c r="I293"/>
      <c r="J293"/>
      <c r="O293" s="2" t="e">
        <f t="shared" si="36"/>
        <v>#VALUE!</v>
      </c>
      <c r="P293" s="6" t="e">
        <f t="shared" si="37"/>
        <v>#VALUE!</v>
      </c>
      <c r="Q293" s="6" t="e">
        <f t="shared" si="38"/>
        <v>#VALUE!</v>
      </c>
      <c r="R293" s="6" t="e">
        <f t="shared" si="39"/>
        <v>#VALUE!</v>
      </c>
      <c r="S293" s="6" t="e">
        <f t="shared" si="40"/>
        <v>#VALUE!</v>
      </c>
      <c r="T293" s="6" t="e">
        <f t="shared" si="41"/>
        <v>#VALUE!</v>
      </c>
      <c r="U293" s="2" t="e">
        <f t="shared" si="35"/>
        <v>#VALUE!</v>
      </c>
    </row>
    <row r="294" spans="1:21" x14ac:dyDescent="0.3">
      <c r="B294"/>
      <c r="C294"/>
      <c r="D294"/>
      <c r="E294" s="4"/>
      <c r="F294"/>
      <c r="G294"/>
      <c r="H294"/>
      <c r="I294"/>
      <c r="J294"/>
      <c r="O294" s="2" t="e">
        <f t="shared" si="36"/>
        <v>#VALUE!</v>
      </c>
      <c r="P294" s="6" t="e">
        <f t="shared" si="37"/>
        <v>#VALUE!</v>
      </c>
      <c r="Q294" s="6" t="e">
        <f t="shared" si="38"/>
        <v>#VALUE!</v>
      </c>
      <c r="R294" s="6" t="e">
        <f t="shared" si="39"/>
        <v>#VALUE!</v>
      </c>
      <c r="S294" s="6" t="e">
        <f t="shared" si="40"/>
        <v>#VALUE!</v>
      </c>
      <c r="T294" s="6" t="e">
        <f t="shared" si="41"/>
        <v>#VALUE!</v>
      </c>
      <c r="U294" s="2" t="e">
        <f t="shared" si="35"/>
        <v>#VALUE!</v>
      </c>
    </row>
    <row r="295" spans="1:21" x14ac:dyDescent="0.3">
      <c r="B295"/>
      <c r="C295"/>
      <c r="D295"/>
      <c r="E295"/>
      <c r="F295"/>
      <c r="G295"/>
      <c r="H295"/>
      <c r="I295"/>
      <c r="J295"/>
      <c r="O295" s="2" t="e">
        <f t="shared" si="36"/>
        <v>#VALUE!</v>
      </c>
      <c r="P295" s="6" t="e">
        <f t="shared" si="37"/>
        <v>#VALUE!</v>
      </c>
      <c r="Q295" s="6" t="e">
        <f t="shared" si="38"/>
        <v>#VALUE!</v>
      </c>
      <c r="R295" s="6" t="e">
        <f t="shared" si="39"/>
        <v>#VALUE!</v>
      </c>
      <c r="S295" s="6" t="e">
        <f t="shared" si="40"/>
        <v>#VALUE!</v>
      </c>
      <c r="T295" s="6" t="e">
        <f t="shared" si="41"/>
        <v>#VALUE!</v>
      </c>
      <c r="U295" s="2" t="e">
        <f t="shared" si="35"/>
        <v>#VALUE!</v>
      </c>
    </row>
    <row r="296" spans="1:21" x14ac:dyDescent="0.3">
      <c r="B296" s="4"/>
      <c r="C296" s="4"/>
      <c r="D296" s="4"/>
      <c r="E296" s="4"/>
      <c r="F296"/>
      <c r="G296"/>
      <c r="H296"/>
      <c r="I296"/>
      <c r="J296"/>
      <c r="O296" s="2" t="e">
        <f t="shared" si="36"/>
        <v>#VALUE!</v>
      </c>
      <c r="P296" s="6" t="e">
        <f t="shared" si="37"/>
        <v>#VALUE!</v>
      </c>
      <c r="Q296" s="6" t="e">
        <f t="shared" si="38"/>
        <v>#VALUE!</v>
      </c>
      <c r="R296" s="6" t="e">
        <f t="shared" si="39"/>
        <v>#VALUE!</v>
      </c>
      <c r="S296" s="6" t="e">
        <f t="shared" si="40"/>
        <v>#VALUE!</v>
      </c>
      <c r="T296" s="6" t="e">
        <f t="shared" si="41"/>
        <v>#VALUE!</v>
      </c>
      <c r="U296" s="2" t="e">
        <f t="shared" si="35"/>
        <v>#VALUE!</v>
      </c>
    </row>
    <row r="297" spans="1:21" x14ac:dyDescent="0.3">
      <c r="B297"/>
      <c r="C297"/>
      <c r="D297"/>
      <c r="E297" s="4"/>
      <c r="F297"/>
      <c r="G297"/>
      <c r="H297"/>
      <c r="I297"/>
      <c r="J297"/>
      <c r="O297" s="2" t="e">
        <f t="shared" si="36"/>
        <v>#VALUE!</v>
      </c>
      <c r="P297" s="6" t="e">
        <f t="shared" si="37"/>
        <v>#VALUE!</v>
      </c>
      <c r="Q297" s="6" t="e">
        <f t="shared" si="38"/>
        <v>#VALUE!</v>
      </c>
      <c r="R297" s="6" t="e">
        <f t="shared" si="39"/>
        <v>#VALUE!</v>
      </c>
      <c r="S297" s="6" t="e">
        <f t="shared" si="40"/>
        <v>#VALUE!</v>
      </c>
      <c r="T297" s="6" t="e">
        <f t="shared" si="41"/>
        <v>#VALUE!</v>
      </c>
      <c r="U297" s="2" t="e">
        <f t="shared" si="35"/>
        <v>#VALUE!</v>
      </c>
    </row>
    <row r="298" spans="1:21" x14ac:dyDescent="0.3">
      <c r="B298"/>
      <c r="C298"/>
      <c r="D298"/>
      <c r="E298"/>
      <c r="F298"/>
      <c r="G298"/>
      <c r="H298"/>
      <c r="I298"/>
      <c r="J298"/>
      <c r="O298" s="2" t="e">
        <f t="shared" si="36"/>
        <v>#VALUE!</v>
      </c>
      <c r="P298" s="6" t="e">
        <f t="shared" si="37"/>
        <v>#VALUE!</v>
      </c>
      <c r="Q298" s="6" t="e">
        <f t="shared" si="38"/>
        <v>#VALUE!</v>
      </c>
      <c r="R298" s="6" t="e">
        <f t="shared" si="39"/>
        <v>#VALUE!</v>
      </c>
      <c r="S298" s="6" t="e">
        <f t="shared" si="40"/>
        <v>#VALUE!</v>
      </c>
      <c r="T298" s="6" t="e">
        <f t="shared" si="41"/>
        <v>#VALUE!</v>
      </c>
      <c r="U298" s="2" t="e">
        <f t="shared" si="35"/>
        <v>#VALUE!</v>
      </c>
    </row>
    <row r="299" spans="1:21" x14ac:dyDescent="0.3">
      <c r="B299"/>
      <c r="C299"/>
      <c r="D299"/>
      <c r="E299" s="4"/>
      <c r="F299"/>
      <c r="G299"/>
      <c r="H299"/>
      <c r="I299"/>
      <c r="J299"/>
      <c r="O299" s="2" t="e">
        <f t="shared" si="36"/>
        <v>#VALUE!</v>
      </c>
      <c r="P299" s="6" t="e">
        <f t="shared" si="37"/>
        <v>#VALUE!</v>
      </c>
      <c r="Q299" s="6" t="e">
        <f t="shared" si="38"/>
        <v>#VALUE!</v>
      </c>
      <c r="R299" s="6" t="e">
        <f t="shared" si="39"/>
        <v>#VALUE!</v>
      </c>
      <c r="S299" s="6" t="e">
        <f t="shared" si="40"/>
        <v>#VALUE!</v>
      </c>
      <c r="T299" s="6" t="e">
        <f t="shared" si="41"/>
        <v>#VALUE!</v>
      </c>
      <c r="U299" s="2" t="e">
        <f t="shared" si="35"/>
        <v>#VALUE!</v>
      </c>
    </row>
    <row r="300" spans="1:21" x14ac:dyDescent="0.3">
      <c r="B300"/>
      <c r="C300"/>
      <c r="D300"/>
      <c r="E300"/>
      <c r="F300"/>
      <c r="G300"/>
      <c r="H300"/>
      <c r="I300"/>
      <c r="J300"/>
      <c r="O300" s="2" t="e">
        <f t="shared" si="36"/>
        <v>#VALUE!</v>
      </c>
      <c r="P300" s="6" t="e">
        <f t="shared" si="37"/>
        <v>#VALUE!</v>
      </c>
      <c r="Q300" s="6" t="e">
        <f t="shared" si="38"/>
        <v>#VALUE!</v>
      </c>
      <c r="R300" s="6" t="e">
        <f t="shared" si="39"/>
        <v>#VALUE!</v>
      </c>
      <c r="S300" s="6" t="e">
        <f t="shared" si="40"/>
        <v>#VALUE!</v>
      </c>
      <c r="T300" s="6" t="e">
        <f t="shared" si="41"/>
        <v>#VALUE!</v>
      </c>
      <c r="U300" s="2" t="e">
        <f t="shared" si="35"/>
        <v>#VALUE!</v>
      </c>
    </row>
    <row r="301" spans="1:21" x14ac:dyDescent="0.3">
      <c r="B301"/>
      <c r="C301"/>
      <c r="D301"/>
      <c r="E301"/>
      <c r="F301"/>
      <c r="G301"/>
      <c r="H301"/>
      <c r="I301"/>
      <c r="J301"/>
      <c r="O301" s="2" t="e">
        <f t="shared" si="36"/>
        <v>#VALUE!</v>
      </c>
      <c r="P301" s="6" t="e">
        <f t="shared" si="37"/>
        <v>#VALUE!</v>
      </c>
      <c r="Q301" s="6" t="e">
        <f t="shared" si="38"/>
        <v>#VALUE!</v>
      </c>
      <c r="R301" s="6" t="e">
        <f t="shared" si="39"/>
        <v>#VALUE!</v>
      </c>
      <c r="S301" s="6" t="e">
        <f t="shared" si="40"/>
        <v>#VALUE!</v>
      </c>
      <c r="T301" s="6" t="e">
        <f t="shared" si="41"/>
        <v>#VALUE!</v>
      </c>
      <c r="U301" s="2" t="e">
        <f t="shared" si="35"/>
        <v>#VALUE!</v>
      </c>
    </row>
    <row r="302" spans="1:21" x14ac:dyDescent="0.3">
      <c r="B302"/>
      <c r="C302"/>
      <c r="D302"/>
      <c r="E302"/>
      <c r="F302"/>
      <c r="G302"/>
      <c r="H302"/>
      <c r="I302"/>
      <c r="J302"/>
      <c r="O302" s="2" t="e">
        <f t="shared" si="36"/>
        <v>#VALUE!</v>
      </c>
      <c r="P302" s="6" t="e">
        <f t="shared" si="37"/>
        <v>#VALUE!</v>
      </c>
      <c r="Q302" s="6" t="e">
        <f t="shared" si="38"/>
        <v>#VALUE!</v>
      </c>
      <c r="R302" s="6" t="e">
        <f t="shared" si="39"/>
        <v>#VALUE!</v>
      </c>
      <c r="S302" s="6" t="e">
        <f t="shared" si="40"/>
        <v>#VALUE!</v>
      </c>
      <c r="T302" s="6" t="e">
        <f t="shared" si="41"/>
        <v>#VALUE!</v>
      </c>
      <c r="U302" s="2" t="e">
        <f t="shared" si="35"/>
        <v>#VALUE!</v>
      </c>
    </row>
    <row r="303" spans="1:21" x14ac:dyDescent="0.3">
      <c r="B303"/>
      <c r="C303"/>
      <c r="D303"/>
      <c r="E303"/>
      <c r="F303"/>
      <c r="G303"/>
      <c r="H303"/>
      <c r="I303"/>
      <c r="J303"/>
      <c r="O303" s="2" t="e">
        <f t="shared" si="36"/>
        <v>#VALUE!</v>
      </c>
      <c r="P303" s="6" t="e">
        <f t="shared" si="37"/>
        <v>#VALUE!</v>
      </c>
      <c r="Q303" s="6" t="e">
        <f t="shared" si="38"/>
        <v>#VALUE!</v>
      </c>
      <c r="R303" s="6" t="e">
        <f t="shared" si="39"/>
        <v>#VALUE!</v>
      </c>
      <c r="S303" s="6" t="e">
        <f t="shared" si="40"/>
        <v>#VALUE!</v>
      </c>
      <c r="T303" s="6" t="e">
        <f t="shared" si="41"/>
        <v>#VALUE!</v>
      </c>
      <c r="U303" s="2" t="e">
        <f t="shared" si="35"/>
        <v>#VALUE!</v>
      </c>
    </row>
    <row r="304" spans="1:21" x14ac:dyDescent="0.3">
      <c r="B304"/>
      <c r="C304"/>
      <c r="D304"/>
      <c r="E304"/>
      <c r="F304"/>
      <c r="G304"/>
      <c r="H304"/>
      <c r="I304"/>
      <c r="J304"/>
      <c r="O304" s="2" t="e">
        <f t="shared" si="36"/>
        <v>#VALUE!</v>
      </c>
      <c r="P304" s="6" t="e">
        <f t="shared" si="37"/>
        <v>#VALUE!</v>
      </c>
      <c r="Q304" s="6" t="e">
        <f t="shared" si="38"/>
        <v>#VALUE!</v>
      </c>
      <c r="R304" s="6" t="e">
        <f t="shared" si="39"/>
        <v>#VALUE!</v>
      </c>
      <c r="S304" s="6" t="e">
        <f t="shared" si="40"/>
        <v>#VALUE!</v>
      </c>
      <c r="T304" s="6" t="e">
        <f t="shared" si="41"/>
        <v>#VALUE!</v>
      </c>
      <c r="U304" s="2" t="e">
        <f t="shared" si="35"/>
        <v>#VALUE!</v>
      </c>
    </row>
    <row r="305" spans="2:21" x14ac:dyDescent="0.3">
      <c r="B305" s="4"/>
      <c r="C305" s="4"/>
      <c r="D305" s="4"/>
      <c r="E305" s="4"/>
      <c r="F305"/>
      <c r="G305"/>
      <c r="H305"/>
      <c r="I305"/>
      <c r="J305"/>
      <c r="O305" s="2" t="e">
        <f t="shared" ref="O305:O358" si="42">SUBSTITUTE(MID(A305,53,FIND("GBHS",A305)-54), ".", ",")</f>
        <v>#VALUE!</v>
      </c>
      <c r="P305" s="6" t="e">
        <f t="shared" ref="P305:P358" si="43">MID(O305,1,4)</f>
        <v>#VALUE!</v>
      </c>
      <c r="Q305" s="6" t="e">
        <f t="shared" ref="Q305:Q358" si="44">MID(O305,6,4)</f>
        <v>#VALUE!</v>
      </c>
      <c r="R305" s="6" t="e">
        <f t="shared" ref="R305:R358" si="45">MID(O305,11,4)</f>
        <v>#VALUE!</v>
      </c>
      <c r="S305" s="6" t="e">
        <f t="shared" ref="S305:S358" si="46">MID(O305,16,4)</f>
        <v>#VALUE!</v>
      </c>
      <c r="T305" s="6" t="e">
        <f t="shared" ref="T305:T358" si="47">MID(O305,21,4)</f>
        <v>#VALUE!</v>
      </c>
      <c r="U305" s="2" t="e">
        <f t="shared" si="35"/>
        <v>#VALUE!</v>
      </c>
    </row>
    <row r="306" spans="2:21" x14ac:dyDescent="0.3">
      <c r="B306"/>
      <c r="C306"/>
      <c r="D306"/>
      <c r="E306"/>
      <c r="F306"/>
      <c r="G306"/>
      <c r="H306"/>
      <c r="I306"/>
      <c r="J306"/>
      <c r="O306" s="2" t="e">
        <f t="shared" si="42"/>
        <v>#VALUE!</v>
      </c>
      <c r="P306" s="6" t="e">
        <f t="shared" si="43"/>
        <v>#VALUE!</v>
      </c>
      <c r="Q306" s="6" t="e">
        <f t="shared" si="44"/>
        <v>#VALUE!</v>
      </c>
      <c r="R306" s="6" t="e">
        <f t="shared" si="45"/>
        <v>#VALUE!</v>
      </c>
      <c r="S306" s="6" t="e">
        <f t="shared" si="46"/>
        <v>#VALUE!</v>
      </c>
      <c r="T306" s="6" t="e">
        <f t="shared" si="47"/>
        <v>#VALUE!</v>
      </c>
      <c r="U306" s="2" t="e">
        <f t="shared" si="35"/>
        <v>#VALUE!</v>
      </c>
    </row>
    <row r="307" spans="2:21" x14ac:dyDescent="0.3">
      <c r="B307" s="4"/>
      <c r="C307" s="4"/>
      <c r="D307" s="4"/>
      <c r="E307" s="4"/>
      <c r="F307"/>
      <c r="G307"/>
      <c r="H307"/>
      <c r="I307"/>
      <c r="J307"/>
      <c r="O307" s="2" t="e">
        <f t="shared" si="42"/>
        <v>#VALUE!</v>
      </c>
      <c r="P307" s="6" t="e">
        <f t="shared" si="43"/>
        <v>#VALUE!</v>
      </c>
      <c r="Q307" s="6" t="e">
        <f t="shared" si="44"/>
        <v>#VALUE!</v>
      </c>
      <c r="R307" s="6" t="e">
        <f t="shared" si="45"/>
        <v>#VALUE!</v>
      </c>
      <c r="S307" s="6" t="e">
        <f t="shared" si="46"/>
        <v>#VALUE!</v>
      </c>
      <c r="T307" s="6" t="e">
        <f t="shared" si="47"/>
        <v>#VALUE!</v>
      </c>
      <c r="U307" s="2" t="e">
        <f t="shared" si="35"/>
        <v>#VALUE!</v>
      </c>
    </row>
    <row r="308" spans="2:21" x14ac:dyDescent="0.3">
      <c r="B308"/>
      <c r="C308"/>
      <c r="D308"/>
      <c r="E308" s="4"/>
      <c r="F308"/>
      <c r="G308"/>
      <c r="H308"/>
      <c r="I308"/>
      <c r="J308"/>
      <c r="O308" s="2" t="e">
        <f t="shared" si="42"/>
        <v>#VALUE!</v>
      </c>
      <c r="P308" s="6" t="e">
        <f t="shared" si="43"/>
        <v>#VALUE!</v>
      </c>
      <c r="Q308" s="6" t="e">
        <f t="shared" si="44"/>
        <v>#VALUE!</v>
      </c>
      <c r="R308" s="6" t="e">
        <f t="shared" si="45"/>
        <v>#VALUE!</v>
      </c>
      <c r="S308" s="6" t="e">
        <f t="shared" si="46"/>
        <v>#VALUE!</v>
      </c>
      <c r="T308" s="6" t="e">
        <f t="shared" si="47"/>
        <v>#VALUE!</v>
      </c>
      <c r="U308" s="2" t="e">
        <f t="shared" si="35"/>
        <v>#VALUE!</v>
      </c>
    </row>
    <row r="309" spans="2:21" x14ac:dyDescent="0.3">
      <c r="B309"/>
      <c r="C309"/>
      <c r="D309"/>
      <c r="E309"/>
      <c r="F309"/>
      <c r="G309"/>
      <c r="H309"/>
      <c r="I309"/>
      <c r="J309"/>
      <c r="O309" s="2" t="e">
        <f t="shared" si="42"/>
        <v>#VALUE!</v>
      </c>
      <c r="P309" s="6" t="e">
        <f t="shared" si="43"/>
        <v>#VALUE!</v>
      </c>
      <c r="Q309" s="6" t="e">
        <f t="shared" si="44"/>
        <v>#VALUE!</v>
      </c>
      <c r="R309" s="6" t="e">
        <f t="shared" si="45"/>
        <v>#VALUE!</v>
      </c>
      <c r="S309" s="6" t="e">
        <f t="shared" si="46"/>
        <v>#VALUE!</v>
      </c>
      <c r="T309" s="6" t="e">
        <f t="shared" si="47"/>
        <v>#VALUE!</v>
      </c>
      <c r="U309" s="2" t="e">
        <f t="shared" si="35"/>
        <v>#VALUE!</v>
      </c>
    </row>
    <row r="310" spans="2:21" x14ac:dyDescent="0.3">
      <c r="B310"/>
      <c r="C310"/>
      <c r="D310"/>
      <c r="E310"/>
      <c r="F310"/>
      <c r="G310"/>
      <c r="H310"/>
      <c r="I310"/>
      <c r="J310"/>
      <c r="O310" s="2" t="e">
        <f t="shared" si="42"/>
        <v>#VALUE!</v>
      </c>
      <c r="P310" s="6" t="e">
        <f t="shared" si="43"/>
        <v>#VALUE!</v>
      </c>
      <c r="Q310" s="6" t="e">
        <f t="shared" si="44"/>
        <v>#VALUE!</v>
      </c>
      <c r="R310" s="6" t="e">
        <f t="shared" si="45"/>
        <v>#VALUE!</v>
      </c>
      <c r="S310" s="6" t="e">
        <f t="shared" si="46"/>
        <v>#VALUE!</v>
      </c>
      <c r="T310" s="6" t="e">
        <f t="shared" si="47"/>
        <v>#VALUE!</v>
      </c>
      <c r="U310" s="2" t="e">
        <f t="shared" si="35"/>
        <v>#VALUE!</v>
      </c>
    </row>
    <row r="311" spans="2:21" x14ac:dyDescent="0.3">
      <c r="B311"/>
      <c r="C311"/>
      <c r="D311"/>
      <c r="E311" s="4"/>
      <c r="F311"/>
      <c r="G311"/>
      <c r="H311"/>
      <c r="I311"/>
      <c r="J311"/>
      <c r="K311" s="7"/>
      <c r="L311" s="7"/>
      <c r="M311" s="7"/>
      <c r="O311" s="2" t="e">
        <f t="shared" si="42"/>
        <v>#VALUE!</v>
      </c>
      <c r="P311" s="6" t="e">
        <f t="shared" si="43"/>
        <v>#VALUE!</v>
      </c>
      <c r="Q311" s="6" t="e">
        <f t="shared" si="44"/>
        <v>#VALUE!</v>
      </c>
      <c r="R311" s="6" t="e">
        <f t="shared" si="45"/>
        <v>#VALUE!</v>
      </c>
      <c r="S311" s="6" t="e">
        <f t="shared" si="46"/>
        <v>#VALUE!</v>
      </c>
      <c r="T311" s="6" t="e">
        <f t="shared" si="47"/>
        <v>#VALUE!</v>
      </c>
      <c r="U311" s="2" t="e">
        <f t="shared" si="35"/>
        <v>#VALUE!</v>
      </c>
    </row>
    <row r="312" spans="2:21" x14ac:dyDescent="0.3">
      <c r="B312"/>
      <c r="C312"/>
      <c r="D312"/>
      <c r="E312" s="4"/>
      <c r="F312"/>
      <c r="G312"/>
      <c r="H312"/>
      <c r="I312"/>
      <c r="J312"/>
      <c r="O312" s="2" t="e">
        <f t="shared" si="42"/>
        <v>#VALUE!</v>
      </c>
      <c r="P312" s="6" t="e">
        <f t="shared" si="43"/>
        <v>#VALUE!</v>
      </c>
      <c r="Q312" s="6" t="e">
        <f t="shared" si="44"/>
        <v>#VALUE!</v>
      </c>
      <c r="R312" s="6" t="e">
        <f t="shared" si="45"/>
        <v>#VALUE!</v>
      </c>
      <c r="S312" s="6" t="e">
        <f t="shared" si="46"/>
        <v>#VALUE!</v>
      </c>
      <c r="T312" s="6" t="e">
        <f t="shared" si="47"/>
        <v>#VALUE!</v>
      </c>
      <c r="U312" s="2" t="e">
        <f t="shared" si="35"/>
        <v>#VALUE!</v>
      </c>
    </row>
    <row r="313" spans="2:21" x14ac:dyDescent="0.3">
      <c r="B313"/>
      <c r="C313"/>
      <c r="D313"/>
      <c r="E313"/>
      <c r="F313"/>
      <c r="G313"/>
      <c r="H313"/>
      <c r="I313"/>
      <c r="J313"/>
      <c r="O313" s="2" t="e">
        <f t="shared" si="42"/>
        <v>#VALUE!</v>
      </c>
      <c r="P313" s="6" t="e">
        <f t="shared" si="43"/>
        <v>#VALUE!</v>
      </c>
      <c r="Q313" s="6" t="e">
        <f t="shared" si="44"/>
        <v>#VALUE!</v>
      </c>
      <c r="R313" s="6" t="e">
        <f t="shared" si="45"/>
        <v>#VALUE!</v>
      </c>
      <c r="S313" s="6" t="e">
        <f t="shared" si="46"/>
        <v>#VALUE!</v>
      </c>
      <c r="T313" s="6" t="e">
        <f t="shared" si="47"/>
        <v>#VALUE!</v>
      </c>
      <c r="U313" s="2" t="e">
        <f t="shared" si="35"/>
        <v>#VALUE!</v>
      </c>
    </row>
    <row r="314" spans="2:21" x14ac:dyDescent="0.3">
      <c r="B314"/>
      <c r="C314"/>
      <c r="D314"/>
      <c r="E314"/>
      <c r="F314"/>
      <c r="G314"/>
      <c r="H314"/>
      <c r="I314"/>
      <c r="J314"/>
      <c r="O314" s="2" t="e">
        <f t="shared" si="42"/>
        <v>#VALUE!</v>
      </c>
      <c r="P314" s="6" t="e">
        <f t="shared" si="43"/>
        <v>#VALUE!</v>
      </c>
      <c r="Q314" s="6" t="e">
        <f t="shared" si="44"/>
        <v>#VALUE!</v>
      </c>
      <c r="R314" s="6" t="e">
        <f t="shared" si="45"/>
        <v>#VALUE!</v>
      </c>
      <c r="S314" s="6" t="e">
        <f t="shared" si="46"/>
        <v>#VALUE!</v>
      </c>
      <c r="T314" s="6" t="e">
        <f t="shared" si="47"/>
        <v>#VALUE!</v>
      </c>
      <c r="U314" s="2" t="e">
        <f t="shared" si="35"/>
        <v>#VALUE!</v>
      </c>
    </row>
    <row r="315" spans="2:21" x14ac:dyDescent="0.3">
      <c r="B315"/>
      <c r="C315"/>
      <c r="D315"/>
      <c r="E315" s="4"/>
      <c r="F315"/>
      <c r="G315"/>
      <c r="H315"/>
      <c r="I315"/>
      <c r="J315"/>
      <c r="O315" s="2" t="e">
        <f t="shared" si="42"/>
        <v>#VALUE!</v>
      </c>
      <c r="P315" s="6" t="e">
        <f t="shared" si="43"/>
        <v>#VALUE!</v>
      </c>
      <c r="Q315" s="6" t="e">
        <f t="shared" si="44"/>
        <v>#VALUE!</v>
      </c>
      <c r="R315" s="6" t="e">
        <f t="shared" si="45"/>
        <v>#VALUE!</v>
      </c>
      <c r="S315" s="6" t="e">
        <f t="shared" si="46"/>
        <v>#VALUE!</v>
      </c>
      <c r="T315" s="6" t="e">
        <f t="shared" si="47"/>
        <v>#VALUE!</v>
      </c>
      <c r="U315" s="2" t="e">
        <f t="shared" si="35"/>
        <v>#VALUE!</v>
      </c>
    </row>
    <row r="316" spans="2:21" x14ac:dyDescent="0.3">
      <c r="B316" s="4"/>
      <c r="C316" s="4"/>
      <c r="D316" s="4"/>
      <c r="E316" s="4"/>
      <c r="F316"/>
      <c r="G316"/>
      <c r="H316"/>
      <c r="I316"/>
      <c r="J316"/>
      <c r="O316" s="2" t="e">
        <f t="shared" si="42"/>
        <v>#VALUE!</v>
      </c>
      <c r="P316" s="6" t="e">
        <f t="shared" si="43"/>
        <v>#VALUE!</v>
      </c>
      <c r="Q316" s="6" t="e">
        <f t="shared" si="44"/>
        <v>#VALUE!</v>
      </c>
      <c r="R316" s="6" t="e">
        <f t="shared" si="45"/>
        <v>#VALUE!</v>
      </c>
      <c r="S316" s="6" t="e">
        <f t="shared" si="46"/>
        <v>#VALUE!</v>
      </c>
      <c r="T316" s="6" t="e">
        <f t="shared" si="47"/>
        <v>#VALUE!</v>
      </c>
      <c r="U316" s="2" t="e">
        <f t="shared" si="35"/>
        <v>#VALUE!</v>
      </c>
    </row>
    <row r="317" spans="2:21" x14ac:dyDescent="0.3">
      <c r="B317"/>
      <c r="C317"/>
      <c r="D317"/>
      <c r="E317"/>
      <c r="F317"/>
      <c r="G317"/>
      <c r="H317"/>
      <c r="I317"/>
      <c r="J317"/>
      <c r="O317" s="2" t="e">
        <f t="shared" si="42"/>
        <v>#VALUE!</v>
      </c>
      <c r="P317" s="6" t="e">
        <f t="shared" si="43"/>
        <v>#VALUE!</v>
      </c>
      <c r="Q317" s="6" t="e">
        <f t="shared" si="44"/>
        <v>#VALUE!</v>
      </c>
      <c r="R317" s="6" t="e">
        <f t="shared" si="45"/>
        <v>#VALUE!</v>
      </c>
      <c r="S317" s="6" t="e">
        <f t="shared" si="46"/>
        <v>#VALUE!</v>
      </c>
      <c r="T317" s="6" t="e">
        <f t="shared" si="47"/>
        <v>#VALUE!</v>
      </c>
      <c r="U317" s="2" t="e">
        <f t="shared" si="35"/>
        <v>#VALUE!</v>
      </c>
    </row>
    <row r="318" spans="2:21" x14ac:dyDescent="0.3">
      <c r="B318" s="4"/>
      <c r="C318" s="4"/>
      <c r="D318" s="4"/>
      <c r="E318" s="4"/>
      <c r="F318"/>
      <c r="G318"/>
      <c r="H318"/>
      <c r="I318"/>
      <c r="J318"/>
      <c r="K318" s="7"/>
      <c r="L318" s="7"/>
      <c r="M318" s="7"/>
      <c r="O318" s="2" t="e">
        <f t="shared" si="42"/>
        <v>#VALUE!</v>
      </c>
      <c r="P318" s="6" t="e">
        <f t="shared" si="43"/>
        <v>#VALUE!</v>
      </c>
      <c r="Q318" s="6" t="e">
        <f t="shared" si="44"/>
        <v>#VALUE!</v>
      </c>
      <c r="R318" s="6" t="e">
        <f t="shared" si="45"/>
        <v>#VALUE!</v>
      </c>
      <c r="S318" s="6" t="e">
        <f t="shared" si="46"/>
        <v>#VALUE!</v>
      </c>
      <c r="T318" s="6" t="e">
        <f t="shared" si="47"/>
        <v>#VALUE!</v>
      </c>
      <c r="U318" s="2" t="e">
        <f t="shared" si="35"/>
        <v>#VALUE!</v>
      </c>
    </row>
    <row r="319" spans="2:21" x14ac:dyDescent="0.3">
      <c r="B319"/>
      <c r="C319"/>
      <c r="D319"/>
      <c r="E319" s="4"/>
      <c r="F319"/>
      <c r="G319"/>
      <c r="H319"/>
      <c r="I319"/>
      <c r="J319"/>
      <c r="O319" s="2" t="e">
        <f t="shared" si="42"/>
        <v>#VALUE!</v>
      </c>
      <c r="P319" s="6" t="e">
        <f t="shared" si="43"/>
        <v>#VALUE!</v>
      </c>
      <c r="Q319" s="6" t="e">
        <f t="shared" si="44"/>
        <v>#VALUE!</v>
      </c>
      <c r="R319" s="6" t="e">
        <f t="shared" si="45"/>
        <v>#VALUE!</v>
      </c>
      <c r="S319" s="6" t="e">
        <f t="shared" si="46"/>
        <v>#VALUE!</v>
      </c>
      <c r="T319" s="6" t="e">
        <f t="shared" si="47"/>
        <v>#VALUE!</v>
      </c>
      <c r="U319" s="2" t="e">
        <f t="shared" si="35"/>
        <v>#VALUE!</v>
      </c>
    </row>
    <row r="320" spans="2:21" x14ac:dyDescent="0.3">
      <c r="B320"/>
      <c r="C320"/>
      <c r="D320"/>
      <c r="E320" s="4"/>
      <c r="F320"/>
      <c r="G320"/>
      <c r="H320"/>
      <c r="I320"/>
      <c r="J320"/>
      <c r="O320" s="2" t="e">
        <f t="shared" si="42"/>
        <v>#VALUE!</v>
      </c>
      <c r="P320" s="6" t="e">
        <f t="shared" si="43"/>
        <v>#VALUE!</v>
      </c>
      <c r="Q320" s="6" t="e">
        <f t="shared" si="44"/>
        <v>#VALUE!</v>
      </c>
      <c r="R320" s="6" t="e">
        <f t="shared" si="45"/>
        <v>#VALUE!</v>
      </c>
      <c r="S320" s="6" t="e">
        <f t="shared" si="46"/>
        <v>#VALUE!</v>
      </c>
      <c r="T320" s="6" t="e">
        <f t="shared" si="47"/>
        <v>#VALUE!</v>
      </c>
      <c r="U320" s="2" t="e">
        <f t="shared" si="35"/>
        <v>#VALUE!</v>
      </c>
    </row>
    <row r="321" spans="2:21" x14ac:dyDescent="0.3">
      <c r="B321"/>
      <c r="C321"/>
      <c r="D321"/>
      <c r="E321" s="4"/>
      <c r="F321"/>
      <c r="G321"/>
      <c r="H321"/>
      <c r="I321"/>
      <c r="J321"/>
      <c r="O321" s="2" t="e">
        <f t="shared" si="42"/>
        <v>#VALUE!</v>
      </c>
      <c r="P321" s="6" t="e">
        <f t="shared" si="43"/>
        <v>#VALUE!</v>
      </c>
      <c r="Q321" s="6" t="e">
        <f t="shared" si="44"/>
        <v>#VALUE!</v>
      </c>
      <c r="R321" s="6" t="e">
        <f t="shared" si="45"/>
        <v>#VALUE!</v>
      </c>
      <c r="S321" s="6" t="e">
        <f t="shared" si="46"/>
        <v>#VALUE!</v>
      </c>
      <c r="T321" s="6" t="e">
        <f t="shared" si="47"/>
        <v>#VALUE!</v>
      </c>
      <c r="U321" s="2" t="e">
        <f t="shared" ref="U321:U384" si="48">SUBSTITUTE(CONCATENATE("&lt;Parametros&gt;","&lt;Alfa&gt;",P321,"&lt;/Alfa&gt;","&lt;Beta&gt;",Q321,"&lt;/Beta&gt;","&lt;Gamma&gt;",R321,"&lt;/Gamma&gt;","&lt;Delta&gt;",S321,"&lt;/Delta&gt;","&lt;Ro&gt;",T321,"&lt;/Ro&gt;","&lt;/Parametros&gt;"),",",".")</f>
        <v>#VALUE!</v>
      </c>
    </row>
    <row r="322" spans="2:21" x14ac:dyDescent="0.3">
      <c r="B322"/>
      <c r="C322"/>
      <c r="D322"/>
      <c r="E322"/>
      <c r="F322"/>
      <c r="G322"/>
      <c r="H322"/>
      <c r="I322"/>
      <c r="J322"/>
      <c r="O322" s="2" t="e">
        <f t="shared" si="42"/>
        <v>#VALUE!</v>
      </c>
      <c r="P322" s="6" t="e">
        <f t="shared" si="43"/>
        <v>#VALUE!</v>
      </c>
      <c r="Q322" s="6" t="e">
        <f t="shared" si="44"/>
        <v>#VALUE!</v>
      </c>
      <c r="R322" s="6" t="e">
        <f t="shared" si="45"/>
        <v>#VALUE!</v>
      </c>
      <c r="S322" s="6" t="e">
        <f t="shared" si="46"/>
        <v>#VALUE!</v>
      </c>
      <c r="T322" s="6" t="e">
        <f t="shared" si="47"/>
        <v>#VALUE!</v>
      </c>
      <c r="U322" s="2" t="e">
        <f t="shared" si="48"/>
        <v>#VALUE!</v>
      </c>
    </row>
    <row r="323" spans="2:21" x14ac:dyDescent="0.3">
      <c r="B323"/>
      <c r="C323"/>
      <c r="D323"/>
      <c r="E323"/>
      <c r="F323"/>
      <c r="G323"/>
      <c r="H323"/>
      <c r="I323"/>
      <c r="J323"/>
      <c r="O323" s="2" t="e">
        <f t="shared" si="42"/>
        <v>#VALUE!</v>
      </c>
      <c r="P323" s="6" t="e">
        <f t="shared" si="43"/>
        <v>#VALUE!</v>
      </c>
      <c r="Q323" s="6" t="e">
        <f t="shared" si="44"/>
        <v>#VALUE!</v>
      </c>
      <c r="R323" s="6" t="e">
        <f t="shared" si="45"/>
        <v>#VALUE!</v>
      </c>
      <c r="S323" s="6" t="e">
        <f t="shared" si="46"/>
        <v>#VALUE!</v>
      </c>
      <c r="T323" s="6" t="e">
        <f t="shared" si="47"/>
        <v>#VALUE!</v>
      </c>
      <c r="U323" s="2" t="e">
        <f t="shared" si="48"/>
        <v>#VALUE!</v>
      </c>
    </row>
    <row r="324" spans="2:21" x14ac:dyDescent="0.3">
      <c r="B324"/>
      <c r="C324"/>
      <c r="D324"/>
      <c r="E324" s="4"/>
      <c r="F324"/>
      <c r="G324"/>
      <c r="H324"/>
      <c r="I324"/>
      <c r="J324"/>
      <c r="K324" s="7"/>
      <c r="L324" s="7"/>
      <c r="M324" s="7"/>
      <c r="O324" s="2" t="e">
        <f t="shared" si="42"/>
        <v>#VALUE!</v>
      </c>
      <c r="P324" s="6" t="e">
        <f t="shared" si="43"/>
        <v>#VALUE!</v>
      </c>
      <c r="Q324" s="6" t="e">
        <f t="shared" si="44"/>
        <v>#VALUE!</v>
      </c>
      <c r="R324" s="6" t="e">
        <f t="shared" si="45"/>
        <v>#VALUE!</v>
      </c>
      <c r="S324" s="6" t="e">
        <f t="shared" si="46"/>
        <v>#VALUE!</v>
      </c>
      <c r="T324" s="6" t="e">
        <f t="shared" si="47"/>
        <v>#VALUE!</v>
      </c>
      <c r="U324" s="2" t="e">
        <f t="shared" si="48"/>
        <v>#VALUE!</v>
      </c>
    </row>
    <row r="325" spans="2:21" x14ac:dyDescent="0.3">
      <c r="B325"/>
      <c r="C325"/>
      <c r="D325"/>
      <c r="E325"/>
      <c r="F325"/>
      <c r="G325"/>
      <c r="H325"/>
      <c r="I325"/>
      <c r="J325"/>
      <c r="O325" s="2" t="e">
        <f t="shared" si="42"/>
        <v>#VALUE!</v>
      </c>
      <c r="P325" s="6" t="e">
        <f t="shared" si="43"/>
        <v>#VALUE!</v>
      </c>
      <c r="Q325" s="6" t="e">
        <f t="shared" si="44"/>
        <v>#VALUE!</v>
      </c>
      <c r="R325" s="6" t="e">
        <f t="shared" si="45"/>
        <v>#VALUE!</v>
      </c>
      <c r="S325" s="6" t="e">
        <f t="shared" si="46"/>
        <v>#VALUE!</v>
      </c>
      <c r="T325" s="6" t="e">
        <f t="shared" si="47"/>
        <v>#VALUE!</v>
      </c>
      <c r="U325" s="2" t="e">
        <f t="shared" si="48"/>
        <v>#VALUE!</v>
      </c>
    </row>
    <row r="326" spans="2:21" x14ac:dyDescent="0.3">
      <c r="B326"/>
      <c r="C326"/>
      <c r="D326"/>
      <c r="E326"/>
      <c r="F326"/>
      <c r="G326"/>
      <c r="H326"/>
      <c r="I326"/>
      <c r="J326"/>
      <c r="O326" s="2" t="e">
        <f t="shared" si="42"/>
        <v>#VALUE!</v>
      </c>
      <c r="P326" s="6" t="e">
        <f t="shared" si="43"/>
        <v>#VALUE!</v>
      </c>
      <c r="Q326" s="6" t="e">
        <f t="shared" si="44"/>
        <v>#VALUE!</v>
      </c>
      <c r="R326" s="6" t="e">
        <f t="shared" si="45"/>
        <v>#VALUE!</v>
      </c>
      <c r="S326" s="6" t="e">
        <f t="shared" si="46"/>
        <v>#VALUE!</v>
      </c>
      <c r="T326" s="6" t="e">
        <f t="shared" si="47"/>
        <v>#VALUE!</v>
      </c>
      <c r="U326" s="2" t="e">
        <f t="shared" si="48"/>
        <v>#VALUE!</v>
      </c>
    </row>
    <row r="327" spans="2:21" x14ac:dyDescent="0.3">
      <c r="B327"/>
      <c r="C327"/>
      <c r="D327"/>
      <c r="E327"/>
      <c r="F327"/>
      <c r="G327"/>
      <c r="H327"/>
      <c r="I327"/>
      <c r="J327"/>
      <c r="O327" s="2" t="e">
        <f t="shared" si="42"/>
        <v>#VALUE!</v>
      </c>
      <c r="P327" s="6" t="e">
        <f t="shared" si="43"/>
        <v>#VALUE!</v>
      </c>
      <c r="Q327" s="6" t="e">
        <f t="shared" si="44"/>
        <v>#VALUE!</v>
      </c>
      <c r="R327" s="6" t="e">
        <f t="shared" si="45"/>
        <v>#VALUE!</v>
      </c>
      <c r="S327" s="6" t="e">
        <f t="shared" si="46"/>
        <v>#VALUE!</v>
      </c>
      <c r="T327" s="6" t="e">
        <f t="shared" si="47"/>
        <v>#VALUE!</v>
      </c>
      <c r="U327" s="2" t="e">
        <f t="shared" si="48"/>
        <v>#VALUE!</v>
      </c>
    </row>
    <row r="328" spans="2:21" x14ac:dyDescent="0.3">
      <c r="B328"/>
      <c r="C328"/>
      <c r="D328"/>
      <c r="E328"/>
      <c r="F328"/>
      <c r="G328"/>
      <c r="H328"/>
      <c r="I328"/>
      <c r="J328"/>
      <c r="O328" s="2" t="e">
        <f t="shared" si="42"/>
        <v>#VALUE!</v>
      </c>
      <c r="P328" s="6" t="e">
        <f t="shared" si="43"/>
        <v>#VALUE!</v>
      </c>
      <c r="Q328" s="6" t="e">
        <f t="shared" si="44"/>
        <v>#VALUE!</v>
      </c>
      <c r="R328" s="6" t="e">
        <f t="shared" si="45"/>
        <v>#VALUE!</v>
      </c>
      <c r="S328" s="6" t="e">
        <f t="shared" si="46"/>
        <v>#VALUE!</v>
      </c>
      <c r="T328" s="6" t="e">
        <f t="shared" si="47"/>
        <v>#VALUE!</v>
      </c>
      <c r="U328" s="2" t="e">
        <f t="shared" si="48"/>
        <v>#VALUE!</v>
      </c>
    </row>
    <row r="329" spans="2:21" x14ac:dyDescent="0.3">
      <c r="B329"/>
      <c r="C329"/>
      <c r="D329"/>
      <c r="E329" s="4"/>
      <c r="F329"/>
      <c r="G329"/>
      <c r="H329"/>
      <c r="I329"/>
      <c r="J329"/>
      <c r="O329" s="2" t="e">
        <f t="shared" si="42"/>
        <v>#VALUE!</v>
      </c>
      <c r="P329" s="6" t="e">
        <f t="shared" si="43"/>
        <v>#VALUE!</v>
      </c>
      <c r="Q329" s="6" t="e">
        <f t="shared" si="44"/>
        <v>#VALUE!</v>
      </c>
      <c r="R329" s="6" t="e">
        <f t="shared" si="45"/>
        <v>#VALUE!</v>
      </c>
      <c r="S329" s="6" t="e">
        <f t="shared" si="46"/>
        <v>#VALUE!</v>
      </c>
      <c r="T329" s="6" t="e">
        <f t="shared" si="47"/>
        <v>#VALUE!</v>
      </c>
      <c r="U329" s="2" t="e">
        <f t="shared" si="48"/>
        <v>#VALUE!</v>
      </c>
    </row>
    <row r="330" spans="2:21" x14ac:dyDescent="0.3">
      <c r="B330"/>
      <c r="C330"/>
      <c r="D330"/>
      <c r="E330"/>
      <c r="F330"/>
      <c r="G330"/>
      <c r="H330"/>
      <c r="I330"/>
      <c r="J330"/>
      <c r="O330" s="2" t="e">
        <f t="shared" si="42"/>
        <v>#VALUE!</v>
      </c>
      <c r="P330" s="6" t="e">
        <f t="shared" si="43"/>
        <v>#VALUE!</v>
      </c>
      <c r="Q330" s="6" t="e">
        <f t="shared" si="44"/>
        <v>#VALUE!</v>
      </c>
      <c r="R330" s="6" t="e">
        <f t="shared" si="45"/>
        <v>#VALUE!</v>
      </c>
      <c r="S330" s="6" t="e">
        <f t="shared" si="46"/>
        <v>#VALUE!</v>
      </c>
      <c r="T330" s="6" t="e">
        <f t="shared" si="47"/>
        <v>#VALUE!</v>
      </c>
      <c r="U330" s="2" t="e">
        <f t="shared" si="48"/>
        <v>#VALUE!</v>
      </c>
    </row>
    <row r="331" spans="2:21" x14ac:dyDescent="0.3">
      <c r="B331" s="4"/>
      <c r="C331" s="4"/>
      <c r="D331" s="4"/>
      <c r="E331" s="4"/>
      <c r="F331"/>
      <c r="G331"/>
      <c r="H331"/>
      <c r="I331"/>
      <c r="J331"/>
      <c r="K331" s="1"/>
      <c r="L331" s="1"/>
      <c r="M331" s="1"/>
      <c r="O331" s="2" t="e">
        <f t="shared" si="42"/>
        <v>#VALUE!</v>
      </c>
      <c r="P331" s="6" t="e">
        <f t="shared" si="43"/>
        <v>#VALUE!</v>
      </c>
      <c r="Q331" s="6" t="e">
        <f t="shared" si="44"/>
        <v>#VALUE!</v>
      </c>
      <c r="R331" s="6" t="e">
        <f t="shared" si="45"/>
        <v>#VALUE!</v>
      </c>
      <c r="S331" s="6" t="e">
        <f t="shared" si="46"/>
        <v>#VALUE!</v>
      </c>
      <c r="T331" s="6" t="e">
        <f t="shared" si="47"/>
        <v>#VALUE!</v>
      </c>
      <c r="U331" s="2" t="e">
        <f t="shared" si="48"/>
        <v>#VALUE!</v>
      </c>
    </row>
    <row r="332" spans="2:21" x14ac:dyDescent="0.3">
      <c r="B332"/>
      <c r="C332"/>
      <c r="D332"/>
      <c r="E332" s="4"/>
      <c r="F332"/>
      <c r="G332"/>
      <c r="H332"/>
      <c r="I332"/>
      <c r="J332"/>
      <c r="O332" s="2" t="e">
        <f t="shared" si="42"/>
        <v>#VALUE!</v>
      </c>
      <c r="P332" s="6" t="e">
        <f t="shared" si="43"/>
        <v>#VALUE!</v>
      </c>
      <c r="Q332" s="6" t="e">
        <f t="shared" si="44"/>
        <v>#VALUE!</v>
      </c>
      <c r="R332" s="6" t="e">
        <f t="shared" si="45"/>
        <v>#VALUE!</v>
      </c>
      <c r="S332" s="6" t="e">
        <f t="shared" si="46"/>
        <v>#VALUE!</v>
      </c>
      <c r="T332" s="6" t="e">
        <f t="shared" si="47"/>
        <v>#VALUE!</v>
      </c>
      <c r="U332" s="2" t="e">
        <f t="shared" si="48"/>
        <v>#VALUE!</v>
      </c>
    </row>
    <row r="333" spans="2:21" x14ac:dyDescent="0.3">
      <c r="B333"/>
      <c r="C333"/>
      <c r="D333"/>
      <c r="E333"/>
      <c r="F333"/>
      <c r="G333"/>
      <c r="H333"/>
      <c r="I333"/>
      <c r="J333"/>
      <c r="O333" s="2" t="e">
        <f t="shared" si="42"/>
        <v>#VALUE!</v>
      </c>
      <c r="P333" s="6" t="e">
        <f t="shared" si="43"/>
        <v>#VALUE!</v>
      </c>
      <c r="Q333" s="6" t="e">
        <f t="shared" si="44"/>
        <v>#VALUE!</v>
      </c>
      <c r="R333" s="6" t="e">
        <f t="shared" si="45"/>
        <v>#VALUE!</v>
      </c>
      <c r="S333" s="6" t="e">
        <f t="shared" si="46"/>
        <v>#VALUE!</v>
      </c>
      <c r="T333" s="6" t="e">
        <f t="shared" si="47"/>
        <v>#VALUE!</v>
      </c>
      <c r="U333" s="2" t="e">
        <f t="shared" si="48"/>
        <v>#VALUE!</v>
      </c>
    </row>
    <row r="334" spans="2:21" x14ac:dyDescent="0.3">
      <c r="B334"/>
      <c r="C334"/>
      <c r="D334"/>
      <c r="E334" s="4"/>
      <c r="F334"/>
      <c r="G334"/>
      <c r="H334"/>
      <c r="I334"/>
      <c r="J334"/>
      <c r="O334" s="2" t="e">
        <f t="shared" si="42"/>
        <v>#VALUE!</v>
      </c>
      <c r="P334" s="6" t="e">
        <f t="shared" si="43"/>
        <v>#VALUE!</v>
      </c>
      <c r="Q334" s="6" t="e">
        <f t="shared" si="44"/>
        <v>#VALUE!</v>
      </c>
      <c r="R334" s="6" t="e">
        <f t="shared" si="45"/>
        <v>#VALUE!</v>
      </c>
      <c r="S334" s="6" t="e">
        <f t="shared" si="46"/>
        <v>#VALUE!</v>
      </c>
      <c r="T334" s="6" t="e">
        <f t="shared" si="47"/>
        <v>#VALUE!</v>
      </c>
      <c r="U334" s="2" t="e">
        <f t="shared" si="48"/>
        <v>#VALUE!</v>
      </c>
    </row>
    <row r="335" spans="2:21" x14ac:dyDescent="0.3">
      <c r="B335"/>
      <c r="C335"/>
      <c r="D335"/>
      <c r="E335" s="4"/>
      <c r="F335"/>
      <c r="G335"/>
      <c r="H335"/>
      <c r="I335"/>
      <c r="J335"/>
      <c r="O335" s="2" t="e">
        <f t="shared" si="42"/>
        <v>#VALUE!</v>
      </c>
      <c r="P335" s="6" t="e">
        <f t="shared" si="43"/>
        <v>#VALUE!</v>
      </c>
      <c r="Q335" s="6" t="e">
        <f t="shared" si="44"/>
        <v>#VALUE!</v>
      </c>
      <c r="R335" s="6" t="e">
        <f t="shared" si="45"/>
        <v>#VALUE!</v>
      </c>
      <c r="S335" s="6" t="e">
        <f t="shared" si="46"/>
        <v>#VALUE!</v>
      </c>
      <c r="T335" s="6" t="e">
        <f t="shared" si="47"/>
        <v>#VALUE!</v>
      </c>
      <c r="U335" s="2" t="e">
        <f t="shared" si="48"/>
        <v>#VALUE!</v>
      </c>
    </row>
    <row r="336" spans="2:21" x14ac:dyDescent="0.3">
      <c r="B336"/>
      <c r="C336"/>
      <c r="D336"/>
      <c r="E336" s="4"/>
      <c r="F336"/>
      <c r="G336"/>
      <c r="H336"/>
      <c r="I336"/>
      <c r="J336"/>
      <c r="O336" s="2" t="e">
        <f t="shared" si="42"/>
        <v>#VALUE!</v>
      </c>
      <c r="P336" s="6" t="e">
        <f t="shared" si="43"/>
        <v>#VALUE!</v>
      </c>
      <c r="Q336" s="6" t="e">
        <f t="shared" si="44"/>
        <v>#VALUE!</v>
      </c>
      <c r="R336" s="6" t="e">
        <f t="shared" si="45"/>
        <v>#VALUE!</v>
      </c>
      <c r="S336" s="6" t="e">
        <f t="shared" si="46"/>
        <v>#VALUE!</v>
      </c>
      <c r="T336" s="6" t="e">
        <f t="shared" si="47"/>
        <v>#VALUE!</v>
      </c>
      <c r="U336" s="2" t="e">
        <f t="shared" si="48"/>
        <v>#VALUE!</v>
      </c>
    </row>
    <row r="337" spans="2:21" x14ac:dyDescent="0.3">
      <c r="B337" s="4"/>
      <c r="C337" s="4"/>
      <c r="D337" s="4"/>
      <c r="E337" s="4"/>
      <c r="F337"/>
      <c r="G337"/>
      <c r="H337"/>
      <c r="I337"/>
      <c r="J337"/>
      <c r="O337" s="2" t="e">
        <f t="shared" si="42"/>
        <v>#VALUE!</v>
      </c>
      <c r="P337" s="6" t="e">
        <f t="shared" si="43"/>
        <v>#VALUE!</v>
      </c>
      <c r="Q337" s="6" t="e">
        <f t="shared" si="44"/>
        <v>#VALUE!</v>
      </c>
      <c r="R337" s="6" t="e">
        <f t="shared" si="45"/>
        <v>#VALUE!</v>
      </c>
      <c r="S337" s="6" t="e">
        <f t="shared" si="46"/>
        <v>#VALUE!</v>
      </c>
      <c r="T337" s="6" t="e">
        <f t="shared" si="47"/>
        <v>#VALUE!</v>
      </c>
      <c r="U337" s="2" t="e">
        <f t="shared" si="48"/>
        <v>#VALUE!</v>
      </c>
    </row>
    <row r="338" spans="2:21" x14ac:dyDescent="0.3">
      <c r="B338"/>
      <c r="C338"/>
      <c r="D338"/>
      <c r="E338" s="4"/>
      <c r="F338"/>
      <c r="G338"/>
      <c r="H338"/>
      <c r="I338"/>
      <c r="J338"/>
      <c r="O338" s="2" t="e">
        <f t="shared" si="42"/>
        <v>#VALUE!</v>
      </c>
      <c r="P338" s="6" t="e">
        <f t="shared" si="43"/>
        <v>#VALUE!</v>
      </c>
      <c r="Q338" s="6" t="e">
        <f t="shared" si="44"/>
        <v>#VALUE!</v>
      </c>
      <c r="R338" s="6" t="e">
        <f t="shared" si="45"/>
        <v>#VALUE!</v>
      </c>
      <c r="S338" s="6" t="e">
        <f t="shared" si="46"/>
        <v>#VALUE!</v>
      </c>
      <c r="T338" s="6" t="e">
        <f t="shared" si="47"/>
        <v>#VALUE!</v>
      </c>
      <c r="U338" s="2" t="e">
        <f t="shared" si="48"/>
        <v>#VALUE!</v>
      </c>
    </row>
    <row r="339" spans="2:21" x14ac:dyDescent="0.3">
      <c r="B339"/>
      <c r="C339"/>
      <c r="D339"/>
      <c r="E339" s="4"/>
      <c r="F339"/>
      <c r="G339"/>
      <c r="H339"/>
      <c r="I339"/>
      <c r="J339"/>
      <c r="O339" s="2" t="e">
        <f t="shared" si="42"/>
        <v>#VALUE!</v>
      </c>
      <c r="P339" s="6" t="e">
        <f t="shared" si="43"/>
        <v>#VALUE!</v>
      </c>
      <c r="Q339" s="6" t="e">
        <f t="shared" si="44"/>
        <v>#VALUE!</v>
      </c>
      <c r="R339" s="6" t="e">
        <f t="shared" si="45"/>
        <v>#VALUE!</v>
      </c>
      <c r="S339" s="6" t="e">
        <f t="shared" si="46"/>
        <v>#VALUE!</v>
      </c>
      <c r="T339" s="6" t="e">
        <f t="shared" si="47"/>
        <v>#VALUE!</v>
      </c>
      <c r="U339" s="2" t="e">
        <f t="shared" si="48"/>
        <v>#VALUE!</v>
      </c>
    </row>
    <row r="340" spans="2:21" x14ac:dyDescent="0.3">
      <c r="B340"/>
      <c r="C340"/>
      <c r="D340"/>
      <c r="E340"/>
      <c r="F340"/>
      <c r="G340"/>
      <c r="H340"/>
      <c r="I340"/>
      <c r="J340"/>
      <c r="O340" s="2" t="e">
        <f t="shared" si="42"/>
        <v>#VALUE!</v>
      </c>
      <c r="P340" s="6" t="e">
        <f t="shared" si="43"/>
        <v>#VALUE!</v>
      </c>
      <c r="Q340" s="6" t="e">
        <f t="shared" si="44"/>
        <v>#VALUE!</v>
      </c>
      <c r="R340" s="6" t="e">
        <f t="shared" si="45"/>
        <v>#VALUE!</v>
      </c>
      <c r="S340" s="6" t="e">
        <f t="shared" si="46"/>
        <v>#VALUE!</v>
      </c>
      <c r="T340" s="6" t="e">
        <f t="shared" si="47"/>
        <v>#VALUE!</v>
      </c>
      <c r="U340" s="2" t="e">
        <f t="shared" si="48"/>
        <v>#VALUE!</v>
      </c>
    </row>
    <row r="341" spans="2:21" x14ac:dyDescent="0.3">
      <c r="B341"/>
      <c r="C341"/>
      <c r="D341"/>
      <c r="E341" s="4"/>
      <c r="F341"/>
      <c r="G341"/>
      <c r="H341"/>
      <c r="I341"/>
      <c r="J341"/>
      <c r="O341" s="2" t="e">
        <f t="shared" si="42"/>
        <v>#VALUE!</v>
      </c>
      <c r="P341" s="6" t="e">
        <f t="shared" si="43"/>
        <v>#VALUE!</v>
      </c>
      <c r="Q341" s="6" t="e">
        <f t="shared" si="44"/>
        <v>#VALUE!</v>
      </c>
      <c r="R341" s="6" t="e">
        <f t="shared" si="45"/>
        <v>#VALUE!</v>
      </c>
      <c r="S341" s="6" t="e">
        <f t="shared" si="46"/>
        <v>#VALUE!</v>
      </c>
      <c r="T341" s="6" t="e">
        <f t="shared" si="47"/>
        <v>#VALUE!</v>
      </c>
      <c r="U341" s="2" t="e">
        <f t="shared" si="48"/>
        <v>#VALUE!</v>
      </c>
    </row>
    <row r="342" spans="2:21" x14ac:dyDescent="0.3">
      <c r="B342"/>
      <c r="C342"/>
      <c r="D342"/>
      <c r="E342" s="4"/>
      <c r="F342"/>
      <c r="G342"/>
      <c r="H342"/>
      <c r="I342"/>
      <c r="J342"/>
      <c r="K342" s="1"/>
      <c r="L342" s="1"/>
      <c r="M342" s="1"/>
      <c r="O342" s="2" t="e">
        <f t="shared" si="42"/>
        <v>#VALUE!</v>
      </c>
      <c r="P342" s="6" t="e">
        <f t="shared" si="43"/>
        <v>#VALUE!</v>
      </c>
      <c r="Q342" s="6" t="e">
        <f t="shared" si="44"/>
        <v>#VALUE!</v>
      </c>
      <c r="R342" s="6" t="e">
        <f t="shared" si="45"/>
        <v>#VALUE!</v>
      </c>
      <c r="S342" s="6" t="e">
        <f t="shared" si="46"/>
        <v>#VALUE!</v>
      </c>
      <c r="T342" s="6" t="e">
        <f t="shared" si="47"/>
        <v>#VALUE!</v>
      </c>
      <c r="U342" s="2" t="e">
        <f t="shared" si="48"/>
        <v>#VALUE!</v>
      </c>
    </row>
    <row r="343" spans="2:21" x14ac:dyDescent="0.3">
      <c r="B343"/>
      <c r="C343"/>
      <c r="D343"/>
      <c r="E343" s="4"/>
      <c r="F343"/>
      <c r="G343"/>
      <c r="H343"/>
      <c r="I343"/>
      <c r="J343"/>
      <c r="K343" s="7"/>
      <c r="L343" s="7"/>
      <c r="M343" s="7"/>
      <c r="O343" s="2" t="e">
        <f t="shared" si="42"/>
        <v>#VALUE!</v>
      </c>
      <c r="P343" s="6" t="e">
        <f t="shared" si="43"/>
        <v>#VALUE!</v>
      </c>
      <c r="Q343" s="6" t="e">
        <f t="shared" si="44"/>
        <v>#VALUE!</v>
      </c>
      <c r="R343" s="6" t="e">
        <f t="shared" si="45"/>
        <v>#VALUE!</v>
      </c>
      <c r="S343" s="6" t="e">
        <f t="shared" si="46"/>
        <v>#VALUE!</v>
      </c>
      <c r="T343" s="6" t="e">
        <f t="shared" si="47"/>
        <v>#VALUE!</v>
      </c>
      <c r="U343" s="2" t="e">
        <f t="shared" si="48"/>
        <v>#VALUE!</v>
      </c>
    </row>
    <row r="344" spans="2:21" x14ac:dyDescent="0.3">
      <c r="B344"/>
      <c r="C344"/>
      <c r="D344"/>
      <c r="E344"/>
      <c r="F344"/>
      <c r="G344"/>
      <c r="H344"/>
      <c r="I344"/>
      <c r="J344"/>
      <c r="O344" s="2" t="e">
        <f t="shared" si="42"/>
        <v>#VALUE!</v>
      </c>
      <c r="P344" s="6" t="e">
        <f t="shared" si="43"/>
        <v>#VALUE!</v>
      </c>
      <c r="Q344" s="6" t="e">
        <f t="shared" si="44"/>
        <v>#VALUE!</v>
      </c>
      <c r="R344" s="6" t="e">
        <f t="shared" si="45"/>
        <v>#VALUE!</v>
      </c>
      <c r="S344" s="6" t="e">
        <f t="shared" si="46"/>
        <v>#VALUE!</v>
      </c>
      <c r="T344" s="6" t="e">
        <f t="shared" si="47"/>
        <v>#VALUE!</v>
      </c>
      <c r="U344" s="2" t="e">
        <f t="shared" si="48"/>
        <v>#VALUE!</v>
      </c>
    </row>
    <row r="345" spans="2:21" x14ac:dyDescent="0.3">
      <c r="B345"/>
      <c r="C345"/>
      <c r="D345"/>
      <c r="E345"/>
      <c r="F345"/>
      <c r="G345"/>
      <c r="H345"/>
      <c r="I345"/>
      <c r="J345"/>
      <c r="O345" s="2" t="e">
        <f t="shared" si="42"/>
        <v>#VALUE!</v>
      </c>
      <c r="P345" s="6" t="e">
        <f t="shared" si="43"/>
        <v>#VALUE!</v>
      </c>
      <c r="Q345" s="6" t="e">
        <f t="shared" si="44"/>
        <v>#VALUE!</v>
      </c>
      <c r="R345" s="6" t="e">
        <f t="shared" si="45"/>
        <v>#VALUE!</v>
      </c>
      <c r="S345" s="6" t="e">
        <f t="shared" si="46"/>
        <v>#VALUE!</v>
      </c>
      <c r="T345" s="6" t="e">
        <f t="shared" si="47"/>
        <v>#VALUE!</v>
      </c>
      <c r="U345" s="2" t="e">
        <f t="shared" si="48"/>
        <v>#VALUE!</v>
      </c>
    </row>
    <row r="346" spans="2:21" x14ac:dyDescent="0.3">
      <c r="B346"/>
      <c r="C346"/>
      <c r="D346"/>
      <c r="E346"/>
      <c r="F346"/>
      <c r="G346"/>
      <c r="H346"/>
      <c r="I346"/>
      <c r="J346"/>
      <c r="O346" s="2" t="e">
        <f t="shared" si="42"/>
        <v>#VALUE!</v>
      </c>
      <c r="P346" s="6" t="e">
        <f t="shared" si="43"/>
        <v>#VALUE!</v>
      </c>
      <c r="Q346" s="6" t="e">
        <f t="shared" si="44"/>
        <v>#VALUE!</v>
      </c>
      <c r="R346" s="6" t="e">
        <f t="shared" si="45"/>
        <v>#VALUE!</v>
      </c>
      <c r="S346" s="6" t="e">
        <f t="shared" si="46"/>
        <v>#VALUE!</v>
      </c>
      <c r="T346" s="6" t="e">
        <f t="shared" si="47"/>
        <v>#VALUE!</v>
      </c>
      <c r="U346" s="2" t="e">
        <f t="shared" si="48"/>
        <v>#VALUE!</v>
      </c>
    </row>
    <row r="347" spans="2:21" x14ac:dyDescent="0.3">
      <c r="B347"/>
      <c r="C347"/>
      <c r="D347"/>
      <c r="E347"/>
      <c r="F347"/>
      <c r="G347"/>
      <c r="H347"/>
      <c r="I347"/>
      <c r="J347"/>
      <c r="O347" s="2" t="e">
        <f t="shared" si="42"/>
        <v>#VALUE!</v>
      </c>
      <c r="P347" s="6" t="e">
        <f t="shared" si="43"/>
        <v>#VALUE!</v>
      </c>
      <c r="Q347" s="6" t="e">
        <f t="shared" si="44"/>
        <v>#VALUE!</v>
      </c>
      <c r="R347" s="6" t="e">
        <f t="shared" si="45"/>
        <v>#VALUE!</v>
      </c>
      <c r="S347" s="6" t="e">
        <f t="shared" si="46"/>
        <v>#VALUE!</v>
      </c>
      <c r="T347" s="6" t="e">
        <f t="shared" si="47"/>
        <v>#VALUE!</v>
      </c>
      <c r="U347" s="2" t="e">
        <f t="shared" si="48"/>
        <v>#VALUE!</v>
      </c>
    </row>
    <row r="348" spans="2:21" x14ac:dyDescent="0.3">
      <c r="B348"/>
      <c r="C348"/>
      <c r="D348"/>
      <c r="E348" s="4"/>
      <c r="F348"/>
      <c r="G348"/>
      <c r="H348"/>
      <c r="I348"/>
      <c r="J348"/>
      <c r="O348" s="2" t="e">
        <f t="shared" si="42"/>
        <v>#VALUE!</v>
      </c>
      <c r="P348" s="6" t="e">
        <f t="shared" si="43"/>
        <v>#VALUE!</v>
      </c>
      <c r="Q348" s="6" t="e">
        <f t="shared" si="44"/>
        <v>#VALUE!</v>
      </c>
      <c r="R348" s="6" t="e">
        <f t="shared" si="45"/>
        <v>#VALUE!</v>
      </c>
      <c r="S348" s="6" t="e">
        <f t="shared" si="46"/>
        <v>#VALUE!</v>
      </c>
      <c r="T348" s="6" t="e">
        <f t="shared" si="47"/>
        <v>#VALUE!</v>
      </c>
      <c r="U348" s="2" t="e">
        <f t="shared" si="48"/>
        <v>#VALUE!</v>
      </c>
    </row>
    <row r="349" spans="2:21" x14ac:dyDescent="0.3">
      <c r="B349"/>
      <c r="C349"/>
      <c r="D349"/>
      <c r="E349"/>
      <c r="F349"/>
      <c r="G349"/>
      <c r="H349"/>
      <c r="I349"/>
      <c r="J349"/>
      <c r="O349" s="2" t="e">
        <f t="shared" si="42"/>
        <v>#VALUE!</v>
      </c>
      <c r="P349" s="6" t="e">
        <f t="shared" si="43"/>
        <v>#VALUE!</v>
      </c>
      <c r="Q349" s="6" t="e">
        <f t="shared" si="44"/>
        <v>#VALUE!</v>
      </c>
      <c r="R349" s="6" t="e">
        <f t="shared" si="45"/>
        <v>#VALUE!</v>
      </c>
      <c r="S349" s="6" t="e">
        <f t="shared" si="46"/>
        <v>#VALUE!</v>
      </c>
      <c r="T349" s="6" t="e">
        <f t="shared" si="47"/>
        <v>#VALUE!</v>
      </c>
      <c r="U349" s="2" t="e">
        <f t="shared" si="48"/>
        <v>#VALUE!</v>
      </c>
    </row>
    <row r="350" spans="2:21" x14ac:dyDescent="0.3">
      <c r="B350"/>
      <c r="C350"/>
      <c r="D350"/>
      <c r="E350" s="4"/>
      <c r="F350"/>
      <c r="G350"/>
      <c r="H350"/>
      <c r="I350"/>
      <c r="J350"/>
      <c r="O350" s="2" t="e">
        <f t="shared" si="42"/>
        <v>#VALUE!</v>
      </c>
      <c r="P350" s="6" t="e">
        <f t="shared" si="43"/>
        <v>#VALUE!</v>
      </c>
      <c r="Q350" s="6" t="e">
        <f t="shared" si="44"/>
        <v>#VALUE!</v>
      </c>
      <c r="R350" s="6" t="e">
        <f t="shared" si="45"/>
        <v>#VALUE!</v>
      </c>
      <c r="S350" s="6" t="e">
        <f t="shared" si="46"/>
        <v>#VALUE!</v>
      </c>
      <c r="T350" s="6" t="e">
        <f t="shared" si="47"/>
        <v>#VALUE!</v>
      </c>
      <c r="U350" s="2" t="e">
        <f t="shared" si="48"/>
        <v>#VALUE!</v>
      </c>
    </row>
    <row r="351" spans="2:21" x14ac:dyDescent="0.3">
      <c r="B351"/>
      <c r="C351"/>
      <c r="D351"/>
      <c r="E351" s="4"/>
      <c r="F351"/>
      <c r="G351"/>
      <c r="H351"/>
      <c r="I351"/>
      <c r="J351"/>
      <c r="O351" s="2" t="e">
        <f t="shared" si="42"/>
        <v>#VALUE!</v>
      </c>
      <c r="P351" s="6" t="e">
        <f t="shared" si="43"/>
        <v>#VALUE!</v>
      </c>
      <c r="Q351" s="6" t="e">
        <f t="shared" si="44"/>
        <v>#VALUE!</v>
      </c>
      <c r="R351" s="6" t="e">
        <f t="shared" si="45"/>
        <v>#VALUE!</v>
      </c>
      <c r="S351" s="6" t="e">
        <f t="shared" si="46"/>
        <v>#VALUE!</v>
      </c>
      <c r="T351" s="6" t="e">
        <f t="shared" si="47"/>
        <v>#VALUE!</v>
      </c>
      <c r="U351" s="2" t="e">
        <f t="shared" si="48"/>
        <v>#VALUE!</v>
      </c>
    </row>
    <row r="352" spans="2:21" x14ac:dyDescent="0.3">
      <c r="B352"/>
      <c r="C352"/>
      <c r="D352"/>
      <c r="E352"/>
      <c r="F352"/>
      <c r="G352"/>
      <c r="H352"/>
      <c r="I352"/>
      <c r="J352"/>
      <c r="O352" s="2" t="e">
        <f t="shared" si="42"/>
        <v>#VALUE!</v>
      </c>
      <c r="P352" s="6" t="e">
        <f t="shared" si="43"/>
        <v>#VALUE!</v>
      </c>
      <c r="Q352" s="6" t="e">
        <f t="shared" si="44"/>
        <v>#VALUE!</v>
      </c>
      <c r="R352" s="6" t="e">
        <f t="shared" si="45"/>
        <v>#VALUE!</v>
      </c>
      <c r="S352" s="6" t="e">
        <f t="shared" si="46"/>
        <v>#VALUE!</v>
      </c>
      <c r="T352" s="6" t="e">
        <f t="shared" si="47"/>
        <v>#VALUE!</v>
      </c>
      <c r="U352" s="2" t="e">
        <f t="shared" si="48"/>
        <v>#VALUE!</v>
      </c>
    </row>
    <row r="353" spans="2:21" x14ac:dyDescent="0.3">
      <c r="B353"/>
      <c r="C353"/>
      <c r="D353"/>
      <c r="E353" s="4"/>
      <c r="F353"/>
      <c r="G353"/>
      <c r="H353"/>
      <c r="I353"/>
      <c r="J353"/>
      <c r="K353" s="7"/>
      <c r="L353" s="7"/>
      <c r="M353" s="7"/>
      <c r="O353" s="2" t="e">
        <f t="shared" si="42"/>
        <v>#VALUE!</v>
      </c>
      <c r="P353" s="6" t="e">
        <f t="shared" si="43"/>
        <v>#VALUE!</v>
      </c>
      <c r="Q353" s="6" t="e">
        <f t="shared" si="44"/>
        <v>#VALUE!</v>
      </c>
      <c r="R353" s="6" t="e">
        <f t="shared" si="45"/>
        <v>#VALUE!</v>
      </c>
      <c r="S353" s="6" t="e">
        <f t="shared" si="46"/>
        <v>#VALUE!</v>
      </c>
      <c r="T353" s="6" t="e">
        <f t="shared" si="47"/>
        <v>#VALUE!</v>
      </c>
      <c r="U353" s="2" t="e">
        <f t="shared" si="48"/>
        <v>#VALUE!</v>
      </c>
    </row>
    <row r="354" spans="2:21" x14ac:dyDescent="0.3">
      <c r="B354"/>
      <c r="C354"/>
      <c r="D354"/>
      <c r="E354"/>
      <c r="F354"/>
      <c r="G354"/>
      <c r="H354"/>
      <c r="I354"/>
      <c r="J354"/>
      <c r="O354" s="2" t="e">
        <f t="shared" si="42"/>
        <v>#VALUE!</v>
      </c>
      <c r="P354" s="6" t="e">
        <f t="shared" si="43"/>
        <v>#VALUE!</v>
      </c>
      <c r="Q354" s="6" t="e">
        <f t="shared" si="44"/>
        <v>#VALUE!</v>
      </c>
      <c r="R354" s="6" t="e">
        <f t="shared" si="45"/>
        <v>#VALUE!</v>
      </c>
      <c r="S354" s="6" t="e">
        <f t="shared" si="46"/>
        <v>#VALUE!</v>
      </c>
      <c r="T354" s="6" t="e">
        <f t="shared" si="47"/>
        <v>#VALUE!</v>
      </c>
      <c r="U354" s="2" t="e">
        <f t="shared" si="48"/>
        <v>#VALUE!</v>
      </c>
    </row>
    <row r="355" spans="2:21" x14ac:dyDescent="0.3">
      <c r="B355" s="4"/>
      <c r="C355" s="4"/>
      <c r="D355" s="4"/>
      <c r="E355" s="4"/>
      <c r="F355"/>
      <c r="G355"/>
      <c r="H355"/>
      <c r="I355"/>
      <c r="J355"/>
      <c r="O355" s="2" t="e">
        <f t="shared" si="42"/>
        <v>#VALUE!</v>
      </c>
      <c r="P355" s="6" t="e">
        <f t="shared" si="43"/>
        <v>#VALUE!</v>
      </c>
      <c r="Q355" s="6" t="e">
        <f t="shared" si="44"/>
        <v>#VALUE!</v>
      </c>
      <c r="R355" s="6" t="e">
        <f t="shared" si="45"/>
        <v>#VALUE!</v>
      </c>
      <c r="S355" s="6" t="e">
        <f t="shared" si="46"/>
        <v>#VALUE!</v>
      </c>
      <c r="T355" s="6" t="e">
        <f t="shared" si="47"/>
        <v>#VALUE!</v>
      </c>
      <c r="U355" s="2" t="e">
        <f t="shared" si="48"/>
        <v>#VALUE!</v>
      </c>
    </row>
    <row r="356" spans="2:21" x14ac:dyDescent="0.3">
      <c r="B356"/>
      <c r="C356"/>
      <c r="D356"/>
      <c r="E356" s="4"/>
      <c r="F356"/>
      <c r="G356"/>
      <c r="H356"/>
      <c r="I356"/>
      <c r="J356"/>
      <c r="O356" s="2" t="e">
        <f t="shared" si="42"/>
        <v>#VALUE!</v>
      </c>
      <c r="P356" s="6" t="e">
        <f t="shared" si="43"/>
        <v>#VALUE!</v>
      </c>
      <c r="Q356" s="6" t="e">
        <f t="shared" si="44"/>
        <v>#VALUE!</v>
      </c>
      <c r="R356" s="6" t="e">
        <f t="shared" si="45"/>
        <v>#VALUE!</v>
      </c>
      <c r="S356" s="6" t="e">
        <f t="shared" si="46"/>
        <v>#VALUE!</v>
      </c>
      <c r="T356" s="6" t="e">
        <f t="shared" si="47"/>
        <v>#VALUE!</v>
      </c>
      <c r="U356" s="2" t="e">
        <f t="shared" si="48"/>
        <v>#VALUE!</v>
      </c>
    </row>
    <row r="357" spans="2:21" x14ac:dyDescent="0.3">
      <c r="B357"/>
      <c r="C357"/>
      <c r="D357"/>
      <c r="E357"/>
      <c r="F357"/>
      <c r="G357"/>
      <c r="H357"/>
      <c r="I357"/>
      <c r="J357"/>
      <c r="O357" s="2" t="e">
        <f t="shared" si="42"/>
        <v>#VALUE!</v>
      </c>
      <c r="P357" s="6" t="e">
        <f t="shared" si="43"/>
        <v>#VALUE!</v>
      </c>
      <c r="Q357" s="6" t="e">
        <f t="shared" si="44"/>
        <v>#VALUE!</v>
      </c>
      <c r="R357" s="6" t="e">
        <f t="shared" si="45"/>
        <v>#VALUE!</v>
      </c>
      <c r="S357" s="6" t="e">
        <f t="shared" si="46"/>
        <v>#VALUE!</v>
      </c>
      <c r="T357" s="6" t="e">
        <f t="shared" si="47"/>
        <v>#VALUE!</v>
      </c>
      <c r="U357" s="2" t="e">
        <f t="shared" si="48"/>
        <v>#VALUE!</v>
      </c>
    </row>
    <row r="358" spans="2:21" x14ac:dyDescent="0.3">
      <c r="B358" s="4"/>
      <c r="C358" s="4"/>
      <c r="D358" s="4"/>
      <c r="E358" s="4"/>
      <c r="F358"/>
      <c r="G358"/>
      <c r="H358"/>
      <c r="I358"/>
      <c r="J358"/>
      <c r="O358" s="2" t="e">
        <f t="shared" si="42"/>
        <v>#VALUE!</v>
      </c>
      <c r="P358" s="6" t="e">
        <f t="shared" si="43"/>
        <v>#VALUE!</v>
      </c>
      <c r="Q358" s="6" t="e">
        <f t="shared" si="44"/>
        <v>#VALUE!</v>
      </c>
      <c r="R358" s="6" t="e">
        <f t="shared" si="45"/>
        <v>#VALUE!</v>
      </c>
      <c r="S358" s="6" t="e">
        <f t="shared" si="46"/>
        <v>#VALUE!</v>
      </c>
      <c r="T358" s="6" t="e">
        <f t="shared" si="47"/>
        <v>#VALUE!</v>
      </c>
      <c r="U358" s="2" t="e">
        <f t="shared" si="48"/>
        <v>#VALUE!</v>
      </c>
    </row>
    <row r="359" spans="2:21" x14ac:dyDescent="0.3">
      <c r="B359"/>
      <c r="C359"/>
      <c r="D359"/>
      <c r="E359"/>
      <c r="F359"/>
      <c r="G359"/>
      <c r="H359"/>
      <c r="I359"/>
      <c r="J359"/>
      <c r="O359" s="2" t="e">
        <f t="shared" ref="O359:O373" si="49">SUBSTITUTE(MID(A359,53,FIND("GBHS",A359)-54), ".", ",")</f>
        <v>#VALUE!</v>
      </c>
      <c r="P359" s="6" t="e">
        <f t="shared" ref="P359:P373" si="50">MID(O359,1,4)</f>
        <v>#VALUE!</v>
      </c>
      <c r="Q359" s="6" t="e">
        <f t="shared" ref="Q359:Q373" si="51">MID(O359,6,4)</f>
        <v>#VALUE!</v>
      </c>
      <c r="R359" s="6" t="e">
        <f t="shared" ref="R359:R373" si="52">MID(O359,11,4)</f>
        <v>#VALUE!</v>
      </c>
      <c r="S359" s="6" t="e">
        <f t="shared" ref="S359:S373" si="53">MID(O359,16,4)</f>
        <v>#VALUE!</v>
      </c>
      <c r="T359" s="6" t="e">
        <f t="shared" ref="T359:T373" si="54">MID(O359,21,4)</f>
        <v>#VALUE!</v>
      </c>
      <c r="U359" s="2" t="e">
        <f t="shared" si="48"/>
        <v>#VALUE!</v>
      </c>
    </row>
    <row r="360" spans="2:21" x14ac:dyDescent="0.3">
      <c r="B360"/>
      <c r="C360"/>
      <c r="D360"/>
      <c r="E360" s="4"/>
      <c r="F360"/>
      <c r="G360"/>
      <c r="H360"/>
      <c r="I360"/>
      <c r="J360"/>
      <c r="O360" s="2" t="e">
        <f t="shared" si="49"/>
        <v>#VALUE!</v>
      </c>
      <c r="P360" s="6" t="e">
        <f t="shared" si="50"/>
        <v>#VALUE!</v>
      </c>
      <c r="Q360" s="6" t="e">
        <f t="shared" si="51"/>
        <v>#VALUE!</v>
      </c>
      <c r="R360" s="6" t="e">
        <f t="shared" si="52"/>
        <v>#VALUE!</v>
      </c>
      <c r="S360" s="6" t="e">
        <f t="shared" si="53"/>
        <v>#VALUE!</v>
      </c>
      <c r="T360" s="6" t="e">
        <f t="shared" si="54"/>
        <v>#VALUE!</v>
      </c>
      <c r="U360" s="2" t="e">
        <f t="shared" si="48"/>
        <v>#VALUE!</v>
      </c>
    </row>
    <row r="361" spans="2:21" x14ac:dyDescent="0.3">
      <c r="B361" s="4"/>
      <c r="C361" s="4"/>
      <c r="D361" s="4"/>
      <c r="E361" s="4"/>
      <c r="F361"/>
      <c r="G361"/>
      <c r="H361"/>
      <c r="I361"/>
      <c r="J361"/>
      <c r="O361" s="2" t="e">
        <f t="shared" si="49"/>
        <v>#VALUE!</v>
      </c>
      <c r="P361" s="6" t="e">
        <f t="shared" si="50"/>
        <v>#VALUE!</v>
      </c>
      <c r="Q361" s="6" t="e">
        <f t="shared" si="51"/>
        <v>#VALUE!</v>
      </c>
      <c r="R361" s="6" t="e">
        <f t="shared" si="52"/>
        <v>#VALUE!</v>
      </c>
      <c r="S361" s="6" t="e">
        <f t="shared" si="53"/>
        <v>#VALUE!</v>
      </c>
      <c r="T361" s="6" t="e">
        <f t="shared" si="54"/>
        <v>#VALUE!</v>
      </c>
      <c r="U361" s="2" t="e">
        <f t="shared" si="48"/>
        <v>#VALUE!</v>
      </c>
    </row>
    <row r="362" spans="2:21" x14ac:dyDescent="0.3">
      <c r="B362"/>
      <c r="C362"/>
      <c r="D362"/>
      <c r="E362"/>
      <c r="F362"/>
      <c r="G362"/>
      <c r="H362"/>
      <c r="I362"/>
      <c r="J362"/>
      <c r="O362" s="2" t="e">
        <f t="shared" si="49"/>
        <v>#VALUE!</v>
      </c>
      <c r="P362" s="6" t="e">
        <f t="shared" si="50"/>
        <v>#VALUE!</v>
      </c>
      <c r="Q362" s="6" t="e">
        <f t="shared" si="51"/>
        <v>#VALUE!</v>
      </c>
      <c r="R362" s="6" t="e">
        <f t="shared" si="52"/>
        <v>#VALUE!</v>
      </c>
      <c r="S362" s="6" t="e">
        <f t="shared" si="53"/>
        <v>#VALUE!</v>
      </c>
      <c r="T362" s="6" t="e">
        <f t="shared" si="54"/>
        <v>#VALUE!</v>
      </c>
      <c r="U362" s="2" t="e">
        <f t="shared" si="48"/>
        <v>#VALUE!</v>
      </c>
    </row>
    <row r="363" spans="2:21" x14ac:dyDescent="0.3">
      <c r="B363"/>
      <c r="C363"/>
      <c r="D363"/>
      <c r="E363" s="4"/>
      <c r="F363"/>
      <c r="G363"/>
      <c r="H363"/>
      <c r="I363"/>
      <c r="J363"/>
      <c r="O363" s="2" t="e">
        <f t="shared" si="49"/>
        <v>#VALUE!</v>
      </c>
      <c r="P363" s="6" t="e">
        <f t="shared" si="50"/>
        <v>#VALUE!</v>
      </c>
      <c r="Q363" s="6" t="e">
        <f t="shared" si="51"/>
        <v>#VALUE!</v>
      </c>
      <c r="R363" s="6" t="e">
        <f t="shared" si="52"/>
        <v>#VALUE!</v>
      </c>
      <c r="S363" s="6" t="e">
        <f t="shared" si="53"/>
        <v>#VALUE!</v>
      </c>
      <c r="T363" s="6" t="e">
        <f t="shared" si="54"/>
        <v>#VALUE!</v>
      </c>
      <c r="U363" s="2" t="e">
        <f t="shared" si="48"/>
        <v>#VALUE!</v>
      </c>
    </row>
    <row r="364" spans="2:21" x14ac:dyDescent="0.3">
      <c r="B364"/>
      <c r="C364"/>
      <c r="D364"/>
      <c r="E364"/>
      <c r="F364"/>
      <c r="G364"/>
      <c r="H364"/>
      <c r="I364"/>
      <c r="J364"/>
      <c r="O364" s="2" t="e">
        <f t="shared" si="49"/>
        <v>#VALUE!</v>
      </c>
      <c r="P364" s="6" t="e">
        <f t="shared" si="50"/>
        <v>#VALUE!</v>
      </c>
      <c r="Q364" s="6" t="e">
        <f t="shared" si="51"/>
        <v>#VALUE!</v>
      </c>
      <c r="R364" s="6" t="e">
        <f t="shared" si="52"/>
        <v>#VALUE!</v>
      </c>
      <c r="S364" s="6" t="e">
        <f t="shared" si="53"/>
        <v>#VALUE!</v>
      </c>
      <c r="T364" s="6" t="e">
        <f t="shared" si="54"/>
        <v>#VALUE!</v>
      </c>
      <c r="U364" s="2" t="e">
        <f t="shared" si="48"/>
        <v>#VALUE!</v>
      </c>
    </row>
    <row r="365" spans="2:21" x14ac:dyDescent="0.3">
      <c r="B365"/>
      <c r="C365"/>
      <c r="D365"/>
      <c r="E365"/>
      <c r="F365"/>
      <c r="G365"/>
      <c r="H365"/>
      <c r="I365"/>
      <c r="J365"/>
      <c r="O365" s="2" t="e">
        <f t="shared" si="49"/>
        <v>#VALUE!</v>
      </c>
      <c r="P365" s="6" t="e">
        <f t="shared" si="50"/>
        <v>#VALUE!</v>
      </c>
      <c r="Q365" s="6" t="e">
        <f t="shared" si="51"/>
        <v>#VALUE!</v>
      </c>
      <c r="R365" s="6" t="e">
        <f t="shared" si="52"/>
        <v>#VALUE!</v>
      </c>
      <c r="S365" s="6" t="e">
        <f t="shared" si="53"/>
        <v>#VALUE!</v>
      </c>
      <c r="T365" s="6" t="e">
        <f t="shared" si="54"/>
        <v>#VALUE!</v>
      </c>
      <c r="U365" s="2" t="e">
        <f t="shared" si="48"/>
        <v>#VALUE!</v>
      </c>
    </row>
    <row r="366" spans="2:21" x14ac:dyDescent="0.3">
      <c r="B366"/>
      <c r="C366"/>
      <c r="D366"/>
      <c r="E366"/>
      <c r="F366"/>
      <c r="G366"/>
      <c r="H366"/>
      <c r="I366"/>
      <c r="J366"/>
      <c r="O366" s="2" t="e">
        <f t="shared" si="49"/>
        <v>#VALUE!</v>
      </c>
      <c r="P366" s="6" t="e">
        <f t="shared" si="50"/>
        <v>#VALUE!</v>
      </c>
      <c r="Q366" s="6" t="e">
        <f t="shared" si="51"/>
        <v>#VALUE!</v>
      </c>
      <c r="R366" s="6" t="e">
        <f t="shared" si="52"/>
        <v>#VALUE!</v>
      </c>
      <c r="S366" s="6" t="e">
        <f t="shared" si="53"/>
        <v>#VALUE!</v>
      </c>
      <c r="T366" s="6" t="e">
        <f t="shared" si="54"/>
        <v>#VALUE!</v>
      </c>
      <c r="U366" s="2" t="e">
        <f t="shared" si="48"/>
        <v>#VALUE!</v>
      </c>
    </row>
    <row r="367" spans="2:21" x14ac:dyDescent="0.3">
      <c r="B367"/>
      <c r="C367"/>
      <c r="D367"/>
      <c r="E367" s="4"/>
      <c r="F367"/>
      <c r="G367"/>
      <c r="H367"/>
      <c r="I367"/>
      <c r="J367"/>
      <c r="O367" s="2" t="e">
        <f t="shared" si="49"/>
        <v>#VALUE!</v>
      </c>
      <c r="P367" s="6" t="e">
        <f t="shared" si="50"/>
        <v>#VALUE!</v>
      </c>
      <c r="Q367" s="6" t="e">
        <f t="shared" si="51"/>
        <v>#VALUE!</v>
      </c>
      <c r="R367" s="6" t="e">
        <f t="shared" si="52"/>
        <v>#VALUE!</v>
      </c>
      <c r="S367" s="6" t="e">
        <f t="shared" si="53"/>
        <v>#VALUE!</v>
      </c>
      <c r="T367" s="6" t="e">
        <f t="shared" si="54"/>
        <v>#VALUE!</v>
      </c>
      <c r="U367" s="2" t="e">
        <f t="shared" si="48"/>
        <v>#VALUE!</v>
      </c>
    </row>
    <row r="368" spans="2:21" x14ac:dyDescent="0.3">
      <c r="B368"/>
      <c r="C368"/>
      <c r="D368"/>
      <c r="E368" s="4"/>
      <c r="F368"/>
      <c r="G368"/>
      <c r="H368"/>
      <c r="I368"/>
      <c r="J368"/>
      <c r="K368" s="7"/>
      <c r="L368" s="7"/>
      <c r="M368" s="7"/>
      <c r="O368" s="2" t="e">
        <f t="shared" si="49"/>
        <v>#VALUE!</v>
      </c>
      <c r="P368" s="6" t="e">
        <f t="shared" si="50"/>
        <v>#VALUE!</v>
      </c>
      <c r="Q368" s="6" t="e">
        <f t="shared" si="51"/>
        <v>#VALUE!</v>
      </c>
      <c r="R368" s="6" t="e">
        <f t="shared" si="52"/>
        <v>#VALUE!</v>
      </c>
      <c r="S368" s="6" t="e">
        <f t="shared" si="53"/>
        <v>#VALUE!</v>
      </c>
      <c r="T368" s="6" t="e">
        <f t="shared" si="54"/>
        <v>#VALUE!</v>
      </c>
      <c r="U368" s="2" t="e">
        <f t="shared" si="48"/>
        <v>#VALUE!</v>
      </c>
    </row>
    <row r="369" spans="2:21" x14ac:dyDescent="0.3">
      <c r="B369"/>
      <c r="C369"/>
      <c r="D369"/>
      <c r="E369"/>
      <c r="F369"/>
      <c r="G369"/>
      <c r="H369"/>
      <c r="I369"/>
      <c r="J369"/>
      <c r="O369" s="2" t="e">
        <f t="shared" si="49"/>
        <v>#VALUE!</v>
      </c>
      <c r="P369" s="6" t="e">
        <f t="shared" si="50"/>
        <v>#VALUE!</v>
      </c>
      <c r="Q369" s="6" t="e">
        <f t="shared" si="51"/>
        <v>#VALUE!</v>
      </c>
      <c r="R369" s="6" t="e">
        <f t="shared" si="52"/>
        <v>#VALUE!</v>
      </c>
      <c r="S369" s="6" t="e">
        <f t="shared" si="53"/>
        <v>#VALUE!</v>
      </c>
      <c r="T369" s="6" t="e">
        <f t="shared" si="54"/>
        <v>#VALUE!</v>
      </c>
      <c r="U369" s="2" t="e">
        <f t="shared" si="48"/>
        <v>#VALUE!</v>
      </c>
    </row>
    <row r="370" spans="2:21" x14ac:dyDescent="0.3">
      <c r="B370" s="4"/>
      <c r="C370" s="4"/>
      <c r="D370" s="4"/>
      <c r="E370" s="4"/>
      <c r="F370"/>
      <c r="G370"/>
      <c r="H370"/>
      <c r="I370"/>
      <c r="J370"/>
      <c r="O370" s="2" t="e">
        <f t="shared" si="49"/>
        <v>#VALUE!</v>
      </c>
      <c r="P370" s="6" t="e">
        <f t="shared" si="50"/>
        <v>#VALUE!</v>
      </c>
      <c r="Q370" s="6" t="e">
        <f t="shared" si="51"/>
        <v>#VALUE!</v>
      </c>
      <c r="R370" s="6" t="e">
        <f t="shared" si="52"/>
        <v>#VALUE!</v>
      </c>
      <c r="S370" s="6" t="e">
        <f t="shared" si="53"/>
        <v>#VALUE!</v>
      </c>
      <c r="T370" s="6" t="e">
        <f t="shared" si="54"/>
        <v>#VALUE!</v>
      </c>
      <c r="U370" s="2" t="e">
        <f t="shared" si="48"/>
        <v>#VALUE!</v>
      </c>
    </row>
    <row r="371" spans="2:21" x14ac:dyDescent="0.3">
      <c r="B371"/>
      <c r="C371"/>
      <c r="D371"/>
      <c r="E371"/>
      <c r="F371"/>
      <c r="G371"/>
      <c r="H371"/>
      <c r="I371"/>
      <c r="J371"/>
      <c r="O371" s="2" t="e">
        <f t="shared" si="49"/>
        <v>#VALUE!</v>
      </c>
      <c r="P371" s="6" t="e">
        <f t="shared" si="50"/>
        <v>#VALUE!</v>
      </c>
      <c r="Q371" s="6" t="e">
        <f t="shared" si="51"/>
        <v>#VALUE!</v>
      </c>
      <c r="R371" s="6" t="e">
        <f t="shared" si="52"/>
        <v>#VALUE!</v>
      </c>
      <c r="S371" s="6" t="e">
        <f t="shared" si="53"/>
        <v>#VALUE!</v>
      </c>
      <c r="T371" s="6" t="e">
        <f t="shared" si="54"/>
        <v>#VALUE!</v>
      </c>
      <c r="U371" s="2" t="e">
        <f t="shared" si="48"/>
        <v>#VALUE!</v>
      </c>
    </row>
    <row r="372" spans="2:21" x14ac:dyDescent="0.3">
      <c r="B372"/>
      <c r="C372"/>
      <c r="D372"/>
      <c r="E372" s="4"/>
      <c r="F372"/>
      <c r="G372"/>
      <c r="H372"/>
      <c r="I372"/>
      <c r="J372"/>
      <c r="K372" s="7"/>
      <c r="L372" s="7"/>
      <c r="M372" s="7"/>
      <c r="O372" s="2" t="e">
        <f t="shared" si="49"/>
        <v>#VALUE!</v>
      </c>
      <c r="P372" s="6" t="e">
        <f t="shared" si="50"/>
        <v>#VALUE!</v>
      </c>
      <c r="Q372" s="6" t="e">
        <f t="shared" si="51"/>
        <v>#VALUE!</v>
      </c>
      <c r="R372" s="6" t="e">
        <f t="shared" si="52"/>
        <v>#VALUE!</v>
      </c>
      <c r="S372" s="6" t="e">
        <f t="shared" si="53"/>
        <v>#VALUE!</v>
      </c>
      <c r="T372" s="6" t="e">
        <f t="shared" si="54"/>
        <v>#VALUE!</v>
      </c>
      <c r="U372" s="2" t="e">
        <f t="shared" si="48"/>
        <v>#VALUE!</v>
      </c>
    </row>
    <row r="373" spans="2:21" x14ac:dyDescent="0.3">
      <c r="B373"/>
      <c r="C373"/>
      <c r="D373"/>
      <c r="E373"/>
      <c r="F373"/>
      <c r="G373"/>
      <c r="H373"/>
      <c r="I373"/>
      <c r="J373"/>
      <c r="O373" s="2" t="e">
        <f t="shared" si="49"/>
        <v>#VALUE!</v>
      </c>
      <c r="P373" s="6" t="e">
        <f t="shared" si="50"/>
        <v>#VALUE!</v>
      </c>
      <c r="Q373" s="6" t="e">
        <f t="shared" si="51"/>
        <v>#VALUE!</v>
      </c>
      <c r="R373" s="6" t="e">
        <f t="shared" si="52"/>
        <v>#VALUE!</v>
      </c>
      <c r="S373" s="6" t="e">
        <f t="shared" si="53"/>
        <v>#VALUE!</v>
      </c>
      <c r="T373" s="6" t="e">
        <f t="shared" si="54"/>
        <v>#VALUE!</v>
      </c>
      <c r="U373" s="2" t="e">
        <f t="shared" si="48"/>
        <v>#VALUE!</v>
      </c>
    </row>
    <row r="374" spans="2:21" x14ac:dyDescent="0.3">
      <c r="B374"/>
      <c r="C374"/>
      <c r="D374"/>
      <c r="E374" s="4"/>
      <c r="F374"/>
      <c r="G374"/>
      <c r="H374"/>
      <c r="I374"/>
      <c r="J374"/>
      <c r="O374" s="2" t="e">
        <f t="shared" ref="O374:O431" si="55">SUBSTITUTE(MID(A374,53,FIND("GBHS",A374)-54), ".", ",")</f>
        <v>#VALUE!</v>
      </c>
      <c r="P374" s="6" t="e">
        <f t="shared" ref="P374:P431" si="56">MID(O374,1,4)</f>
        <v>#VALUE!</v>
      </c>
      <c r="Q374" s="6" t="e">
        <f t="shared" ref="Q374:Q431" si="57">MID(O374,6,4)</f>
        <v>#VALUE!</v>
      </c>
      <c r="R374" s="6" t="e">
        <f t="shared" ref="R374:R431" si="58">MID(O374,11,4)</f>
        <v>#VALUE!</v>
      </c>
      <c r="S374" s="6" t="e">
        <f t="shared" ref="S374:S431" si="59">MID(O374,16,4)</f>
        <v>#VALUE!</v>
      </c>
      <c r="T374" s="6" t="e">
        <f t="shared" ref="T374:T431" si="60">MID(O374,21,4)</f>
        <v>#VALUE!</v>
      </c>
      <c r="U374" s="2" t="e">
        <f t="shared" si="48"/>
        <v>#VALUE!</v>
      </c>
    </row>
    <row r="375" spans="2:21" x14ac:dyDescent="0.3">
      <c r="B375"/>
      <c r="C375"/>
      <c r="D375"/>
      <c r="E375"/>
      <c r="F375"/>
      <c r="G375"/>
      <c r="H375"/>
      <c r="I375"/>
      <c r="J375"/>
      <c r="O375" s="2" t="e">
        <f t="shared" si="55"/>
        <v>#VALUE!</v>
      </c>
      <c r="P375" s="6" t="e">
        <f t="shared" si="56"/>
        <v>#VALUE!</v>
      </c>
      <c r="Q375" s="6" t="e">
        <f t="shared" si="57"/>
        <v>#VALUE!</v>
      </c>
      <c r="R375" s="6" t="e">
        <f t="shared" si="58"/>
        <v>#VALUE!</v>
      </c>
      <c r="S375" s="6" t="e">
        <f t="shared" si="59"/>
        <v>#VALUE!</v>
      </c>
      <c r="T375" s="6" t="e">
        <f t="shared" si="60"/>
        <v>#VALUE!</v>
      </c>
      <c r="U375" s="2" t="e">
        <f t="shared" si="48"/>
        <v>#VALUE!</v>
      </c>
    </row>
    <row r="376" spans="2:21" x14ac:dyDescent="0.3">
      <c r="B376"/>
      <c r="C376"/>
      <c r="D376"/>
      <c r="E376" s="4"/>
      <c r="F376"/>
      <c r="G376"/>
      <c r="H376"/>
      <c r="I376"/>
      <c r="J376"/>
      <c r="O376" s="2" t="e">
        <f t="shared" si="55"/>
        <v>#VALUE!</v>
      </c>
      <c r="P376" s="6" t="e">
        <f t="shared" si="56"/>
        <v>#VALUE!</v>
      </c>
      <c r="Q376" s="6" t="e">
        <f t="shared" si="57"/>
        <v>#VALUE!</v>
      </c>
      <c r="R376" s="6" t="e">
        <f t="shared" si="58"/>
        <v>#VALUE!</v>
      </c>
      <c r="S376" s="6" t="e">
        <f t="shared" si="59"/>
        <v>#VALUE!</v>
      </c>
      <c r="T376" s="6" t="e">
        <f t="shared" si="60"/>
        <v>#VALUE!</v>
      </c>
      <c r="U376" s="2" t="e">
        <f t="shared" si="48"/>
        <v>#VALUE!</v>
      </c>
    </row>
    <row r="377" spans="2:21" x14ac:dyDescent="0.3">
      <c r="B377"/>
      <c r="C377"/>
      <c r="D377"/>
      <c r="E377" s="4"/>
      <c r="F377"/>
      <c r="G377"/>
      <c r="H377"/>
      <c r="I377"/>
      <c r="J377"/>
      <c r="K377" s="7"/>
      <c r="L377" s="7"/>
      <c r="M377" s="7"/>
      <c r="O377" s="2" t="e">
        <f t="shared" si="55"/>
        <v>#VALUE!</v>
      </c>
      <c r="P377" s="6" t="e">
        <f t="shared" si="56"/>
        <v>#VALUE!</v>
      </c>
      <c r="Q377" s="6" t="e">
        <f t="shared" si="57"/>
        <v>#VALUE!</v>
      </c>
      <c r="R377" s="6" t="e">
        <f t="shared" si="58"/>
        <v>#VALUE!</v>
      </c>
      <c r="S377" s="6" t="e">
        <f t="shared" si="59"/>
        <v>#VALUE!</v>
      </c>
      <c r="T377" s="6" t="e">
        <f t="shared" si="60"/>
        <v>#VALUE!</v>
      </c>
      <c r="U377" s="2" t="e">
        <f t="shared" si="48"/>
        <v>#VALUE!</v>
      </c>
    </row>
    <row r="378" spans="2:21" x14ac:dyDescent="0.3">
      <c r="B378"/>
      <c r="C378"/>
      <c r="D378"/>
      <c r="E378"/>
      <c r="F378"/>
      <c r="G378"/>
      <c r="H378"/>
      <c r="I378"/>
      <c r="J378"/>
      <c r="O378" s="2" t="e">
        <f t="shared" si="55"/>
        <v>#VALUE!</v>
      </c>
      <c r="P378" s="6" t="e">
        <f t="shared" si="56"/>
        <v>#VALUE!</v>
      </c>
      <c r="Q378" s="6" t="e">
        <f t="shared" si="57"/>
        <v>#VALUE!</v>
      </c>
      <c r="R378" s="6" t="e">
        <f t="shared" si="58"/>
        <v>#VALUE!</v>
      </c>
      <c r="S378" s="6" t="e">
        <f t="shared" si="59"/>
        <v>#VALUE!</v>
      </c>
      <c r="T378" s="6" t="e">
        <f t="shared" si="60"/>
        <v>#VALUE!</v>
      </c>
      <c r="U378" s="2" t="e">
        <f t="shared" si="48"/>
        <v>#VALUE!</v>
      </c>
    </row>
    <row r="379" spans="2:21" x14ac:dyDescent="0.3">
      <c r="B379"/>
      <c r="C379"/>
      <c r="D379"/>
      <c r="E379"/>
      <c r="F379"/>
      <c r="G379"/>
      <c r="H379"/>
      <c r="I379"/>
      <c r="J379"/>
      <c r="O379" s="2" t="e">
        <f t="shared" si="55"/>
        <v>#VALUE!</v>
      </c>
      <c r="P379" s="6" t="e">
        <f t="shared" si="56"/>
        <v>#VALUE!</v>
      </c>
      <c r="Q379" s="6" t="e">
        <f t="shared" si="57"/>
        <v>#VALUE!</v>
      </c>
      <c r="R379" s="6" t="e">
        <f t="shared" si="58"/>
        <v>#VALUE!</v>
      </c>
      <c r="S379" s="6" t="e">
        <f t="shared" si="59"/>
        <v>#VALUE!</v>
      </c>
      <c r="T379" s="6" t="e">
        <f t="shared" si="60"/>
        <v>#VALUE!</v>
      </c>
      <c r="U379" s="2" t="e">
        <f t="shared" si="48"/>
        <v>#VALUE!</v>
      </c>
    </row>
    <row r="380" spans="2:21" x14ac:dyDescent="0.3">
      <c r="B380" s="4"/>
      <c r="C380" s="4"/>
      <c r="D380" s="4"/>
      <c r="E380" s="4"/>
      <c r="F380"/>
      <c r="G380"/>
      <c r="H380"/>
      <c r="I380"/>
      <c r="J380"/>
      <c r="O380" s="2" t="e">
        <f t="shared" si="55"/>
        <v>#VALUE!</v>
      </c>
      <c r="P380" s="6" t="e">
        <f t="shared" si="56"/>
        <v>#VALUE!</v>
      </c>
      <c r="Q380" s="6" t="e">
        <f t="shared" si="57"/>
        <v>#VALUE!</v>
      </c>
      <c r="R380" s="6" t="e">
        <f t="shared" si="58"/>
        <v>#VALUE!</v>
      </c>
      <c r="S380" s="6" t="e">
        <f t="shared" si="59"/>
        <v>#VALUE!</v>
      </c>
      <c r="T380" s="6" t="e">
        <f t="shared" si="60"/>
        <v>#VALUE!</v>
      </c>
      <c r="U380" s="2" t="e">
        <f t="shared" si="48"/>
        <v>#VALUE!</v>
      </c>
    </row>
    <row r="381" spans="2:21" x14ac:dyDescent="0.3">
      <c r="B381"/>
      <c r="C381"/>
      <c r="D381"/>
      <c r="E381" s="4"/>
      <c r="F381"/>
      <c r="G381"/>
      <c r="H381"/>
      <c r="I381"/>
      <c r="J381"/>
      <c r="K381" s="7"/>
      <c r="L381" s="7"/>
      <c r="M381" s="7"/>
      <c r="O381" s="2" t="e">
        <f t="shared" si="55"/>
        <v>#VALUE!</v>
      </c>
      <c r="P381" s="6" t="e">
        <f t="shared" si="56"/>
        <v>#VALUE!</v>
      </c>
      <c r="Q381" s="6" t="e">
        <f t="shared" si="57"/>
        <v>#VALUE!</v>
      </c>
      <c r="R381" s="6" t="e">
        <f t="shared" si="58"/>
        <v>#VALUE!</v>
      </c>
      <c r="S381" s="6" t="e">
        <f t="shared" si="59"/>
        <v>#VALUE!</v>
      </c>
      <c r="T381" s="6" t="e">
        <f t="shared" si="60"/>
        <v>#VALUE!</v>
      </c>
      <c r="U381" s="2" t="e">
        <f t="shared" si="48"/>
        <v>#VALUE!</v>
      </c>
    </row>
    <row r="382" spans="2:21" x14ac:dyDescent="0.3">
      <c r="B382"/>
      <c r="C382"/>
      <c r="D382"/>
      <c r="E382"/>
      <c r="F382"/>
      <c r="G382"/>
      <c r="H382"/>
      <c r="I382"/>
      <c r="J382"/>
      <c r="O382" s="2" t="e">
        <f t="shared" si="55"/>
        <v>#VALUE!</v>
      </c>
      <c r="P382" s="6" t="e">
        <f t="shared" si="56"/>
        <v>#VALUE!</v>
      </c>
      <c r="Q382" s="6" t="e">
        <f t="shared" si="57"/>
        <v>#VALUE!</v>
      </c>
      <c r="R382" s="6" t="e">
        <f t="shared" si="58"/>
        <v>#VALUE!</v>
      </c>
      <c r="S382" s="6" t="e">
        <f t="shared" si="59"/>
        <v>#VALUE!</v>
      </c>
      <c r="T382" s="6" t="e">
        <f t="shared" si="60"/>
        <v>#VALUE!</v>
      </c>
      <c r="U382" s="2" t="e">
        <f t="shared" si="48"/>
        <v>#VALUE!</v>
      </c>
    </row>
    <row r="383" spans="2:21" x14ac:dyDescent="0.3">
      <c r="B383"/>
      <c r="C383"/>
      <c r="D383"/>
      <c r="E383" s="4"/>
      <c r="F383"/>
      <c r="G383"/>
      <c r="H383"/>
      <c r="I383"/>
      <c r="J383"/>
      <c r="K383" s="1"/>
      <c r="L383" s="1"/>
      <c r="M383" s="1"/>
      <c r="O383" s="2" t="e">
        <f t="shared" si="55"/>
        <v>#VALUE!</v>
      </c>
      <c r="P383" s="6" t="e">
        <f t="shared" si="56"/>
        <v>#VALUE!</v>
      </c>
      <c r="Q383" s="6" t="e">
        <f t="shared" si="57"/>
        <v>#VALUE!</v>
      </c>
      <c r="R383" s="6" t="e">
        <f t="shared" si="58"/>
        <v>#VALUE!</v>
      </c>
      <c r="S383" s="6" t="e">
        <f t="shared" si="59"/>
        <v>#VALUE!</v>
      </c>
      <c r="T383" s="6" t="e">
        <f t="shared" si="60"/>
        <v>#VALUE!</v>
      </c>
      <c r="U383" s="2" t="e">
        <f t="shared" si="48"/>
        <v>#VALUE!</v>
      </c>
    </row>
    <row r="384" spans="2:21" x14ac:dyDescent="0.3">
      <c r="B384" s="4"/>
      <c r="C384" s="4"/>
      <c r="D384" s="4"/>
      <c r="E384" s="4"/>
      <c r="F384"/>
      <c r="G384"/>
      <c r="H384"/>
      <c r="I384"/>
      <c r="J384"/>
      <c r="O384" s="2" t="e">
        <f t="shared" si="55"/>
        <v>#VALUE!</v>
      </c>
      <c r="P384" s="6" t="e">
        <f t="shared" si="56"/>
        <v>#VALUE!</v>
      </c>
      <c r="Q384" s="6" t="e">
        <f t="shared" si="57"/>
        <v>#VALUE!</v>
      </c>
      <c r="R384" s="6" t="e">
        <f t="shared" si="58"/>
        <v>#VALUE!</v>
      </c>
      <c r="S384" s="6" t="e">
        <f t="shared" si="59"/>
        <v>#VALUE!</v>
      </c>
      <c r="T384" s="6" t="e">
        <f t="shared" si="60"/>
        <v>#VALUE!</v>
      </c>
      <c r="U384" s="2" t="e">
        <f t="shared" si="48"/>
        <v>#VALUE!</v>
      </c>
    </row>
    <row r="385" spans="2:21" x14ac:dyDescent="0.3">
      <c r="B385"/>
      <c r="C385"/>
      <c r="D385"/>
      <c r="E385"/>
      <c r="F385"/>
      <c r="G385"/>
      <c r="H385"/>
      <c r="I385"/>
      <c r="J385"/>
      <c r="O385" s="2" t="e">
        <f t="shared" si="55"/>
        <v>#VALUE!</v>
      </c>
      <c r="P385" s="6" t="e">
        <f t="shared" si="56"/>
        <v>#VALUE!</v>
      </c>
      <c r="Q385" s="6" t="e">
        <f t="shared" si="57"/>
        <v>#VALUE!</v>
      </c>
      <c r="R385" s="6" t="e">
        <f t="shared" si="58"/>
        <v>#VALUE!</v>
      </c>
      <c r="S385" s="6" t="e">
        <f t="shared" si="59"/>
        <v>#VALUE!</v>
      </c>
      <c r="T385" s="6" t="e">
        <f t="shared" si="60"/>
        <v>#VALUE!</v>
      </c>
      <c r="U385" s="2" t="e">
        <f t="shared" ref="U385:U448" si="61">SUBSTITUTE(CONCATENATE("&lt;Parametros&gt;","&lt;Alfa&gt;",P385,"&lt;/Alfa&gt;","&lt;Beta&gt;",Q385,"&lt;/Beta&gt;","&lt;Gamma&gt;",R385,"&lt;/Gamma&gt;","&lt;Delta&gt;",S385,"&lt;/Delta&gt;","&lt;Ro&gt;",T385,"&lt;/Ro&gt;","&lt;/Parametros&gt;"),",",".")</f>
        <v>#VALUE!</v>
      </c>
    </row>
    <row r="386" spans="2:21" x14ac:dyDescent="0.3">
      <c r="B386"/>
      <c r="C386"/>
      <c r="D386"/>
      <c r="E386"/>
      <c r="F386"/>
      <c r="G386"/>
      <c r="H386"/>
      <c r="I386"/>
      <c r="J386"/>
      <c r="O386" s="2" t="e">
        <f t="shared" si="55"/>
        <v>#VALUE!</v>
      </c>
      <c r="P386" s="6" t="e">
        <f t="shared" si="56"/>
        <v>#VALUE!</v>
      </c>
      <c r="Q386" s="6" t="e">
        <f t="shared" si="57"/>
        <v>#VALUE!</v>
      </c>
      <c r="R386" s="6" t="e">
        <f t="shared" si="58"/>
        <v>#VALUE!</v>
      </c>
      <c r="S386" s="6" t="e">
        <f t="shared" si="59"/>
        <v>#VALUE!</v>
      </c>
      <c r="T386" s="6" t="e">
        <f t="shared" si="60"/>
        <v>#VALUE!</v>
      </c>
      <c r="U386" s="2" t="e">
        <f t="shared" si="61"/>
        <v>#VALUE!</v>
      </c>
    </row>
    <row r="387" spans="2:21" x14ac:dyDescent="0.3">
      <c r="B387"/>
      <c r="C387"/>
      <c r="D387"/>
      <c r="E387"/>
      <c r="F387"/>
      <c r="G387"/>
      <c r="H387"/>
      <c r="I387"/>
      <c r="J387"/>
      <c r="O387" s="2" t="e">
        <f t="shared" si="55"/>
        <v>#VALUE!</v>
      </c>
      <c r="P387" s="6" t="e">
        <f t="shared" si="56"/>
        <v>#VALUE!</v>
      </c>
      <c r="Q387" s="6" t="e">
        <f t="shared" si="57"/>
        <v>#VALUE!</v>
      </c>
      <c r="R387" s="6" t="e">
        <f t="shared" si="58"/>
        <v>#VALUE!</v>
      </c>
      <c r="S387" s="6" t="e">
        <f t="shared" si="59"/>
        <v>#VALUE!</v>
      </c>
      <c r="T387" s="6" t="e">
        <f t="shared" si="60"/>
        <v>#VALUE!</v>
      </c>
      <c r="U387" s="2" t="e">
        <f t="shared" si="61"/>
        <v>#VALUE!</v>
      </c>
    </row>
    <row r="388" spans="2:21" x14ac:dyDescent="0.3">
      <c r="B388"/>
      <c r="C388"/>
      <c r="D388"/>
      <c r="E388"/>
      <c r="F388"/>
      <c r="G388"/>
      <c r="H388"/>
      <c r="I388"/>
      <c r="J388"/>
      <c r="O388" s="2" t="e">
        <f t="shared" si="55"/>
        <v>#VALUE!</v>
      </c>
      <c r="P388" s="6" t="e">
        <f t="shared" si="56"/>
        <v>#VALUE!</v>
      </c>
      <c r="Q388" s="6" t="e">
        <f t="shared" si="57"/>
        <v>#VALUE!</v>
      </c>
      <c r="R388" s="6" t="e">
        <f t="shared" si="58"/>
        <v>#VALUE!</v>
      </c>
      <c r="S388" s="6" t="e">
        <f t="shared" si="59"/>
        <v>#VALUE!</v>
      </c>
      <c r="T388" s="6" t="e">
        <f t="shared" si="60"/>
        <v>#VALUE!</v>
      </c>
      <c r="U388" s="2" t="e">
        <f t="shared" si="61"/>
        <v>#VALUE!</v>
      </c>
    </row>
    <row r="389" spans="2:21" x14ac:dyDescent="0.3">
      <c r="B389"/>
      <c r="C389"/>
      <c r="D389"/>
      <c r="E389"/>
      <c r="F389"/>
      <c r="G389"/>
      <c r="H389"/>
      <c r="I389"/>
      <c r="J389"/>
      <c r="O389" s="2" t="e">
        <f t="shared" si="55"/>
        <v>#VALUE!</v>
      </c>
      <c r="P389" s="6" t="e">
        <f t="shared" si="56"/>
        <v>#VALUE!</v>
      </c>
      <c r="Q389" s="6" t="e">
        <f t="shared" si="57"/>
        <v>#VALUE!</v>
      </c>
      <c r="R389" s="6" t="e">
        <f t="shared" si="58"/>
        <v>#VALUE!</v>
      </c>
      <c r="S389" s="6" t="e">
        <f t="shared" si="59"/>
        <v>#VALUE!</v>
      </c>
      <c r="T389" s="6" t="e">
        <f t="shared" si="60"/>
        <v>#VALUE!</v>
      </c>
      <c r="U389" s="2" t="e">
        <f t="shared" si="61"/>
        <v>#VALUE!</v>
      </c>
    </row>
    <row r="390" spans="2:21" x14ac:dyDescent="0.3">
      <c r="B390"/>
      <c r="C390"/>
      <c r="D390"/>
      <c r="E390"/>
      <c r="F390"/>
      <c r="G390"/>
      <c r="H390"/>
      <c r="I390"/>
      <c r="J390"/>
      <c r="O390" s="2" t="e">
        <f t="shared" si="55"/>
        <v>#VALUE!</v>
      </c>
      <c r="P390" s="6" t="e">
        <f t="shared" si="56"/>
        <v>#VALUE!</v>
      </c>
      <c r="Q390" s="6" t="e">
        <f t="shared" si="57"/>
        <v>#VALUE!</v>
      </c>
      <c r="R390" s="6" t="e">
        <f t="shared" si="58"/>
        <v>#VALUE!</v>
      </c>
      <c r="S390" s="6" t="e">
        <f t="shared" si="59"/>
        <v>#VALUE!</v>
      </c>
      <c r="T390" s="6" t="e">
        <f t="shared" si="60"/>
        <v>#VALUE!</v>
      </c>
      <c r="U390" s="2" t="e">
        <f t="shared" si="61"/>
        <v>#VALUE!</v>
      </c>
    </row>
    <row r="391" spans="2:21" x14ac:dyDescent="0.3">
      <c r="B391"/>
      <c r="C391"/>
      <c r="D391"/>
      <c r="E391" s="4"/>
      <c r="F391"/>
      <c r="G391"/>
      <c r="H391"/>
      <c r="I391"/>
      <c r="J391"/>
      <c r="K391" s="1"/>
      <c r="L391" s="1"/>
      <c r="M391" s="1"/>
      <c r="O391" s="2" t="e">
        <f t="shared" si="55"/>
        <v>#VALUE!</v>
      </c>
      <c r="P391" s="6" t="e">
        <f t="shared" si="56"/>
        <v>#VALUE!</v>
      </c>
      <c r="Q391" s="6" t="e">
        <f t="shared" si="57"/>
        <v>#VALUE!</v>
      </c>
      <c r="R391" s="6" t="e">
        <f t="shared" si="58"/>
        <v>#VALUE!</v>
      </c>
      <c r="S391" s="6" t="e">
        <f t="shared" si="59"/>
        <v>#VALUE!</v>
      </c>
      <c r="T391" s="6" t="e">
        <f t="shared" si="60"/>
        <v>#VALUE!</v>
      </c>
      <c r="U391" s="2" t="e">
        <f t="shared" si="61"/>
        <v>#VALUE!</v>
      </c>
    </row>
    <row r="392" spans="2:21" x14ac:dyDescent="0.3">
      <c r="B392"/>
      <c r="C392"/>
      <c r="D392"/>
      <c r="E392"/>
      <c r="F392"/>
      <c r="G392"/>
      <c r="H392"/>
      <c r="I392"/>
      <c r="J392"/>
      <c r="O392" s="2" t="e">
        <f t="shared" si="55"/>
        <v>#VALUE!</v>
      </c>
      <c r="P392" s="6" t="e">
        <f t="shared" si="56"/>
        <v>#VALUE!</v>
      </c>
      <c r="Q392" s="6" t="e">
        <f t="shared" si="57"/>
        <v>#VALUE!</v>
      </c>
      <c r="R392" s="6" t="e">
        <f t="shared" si="58"/>
        <v>#VALUE!</v>
      </c>
      <c r="S392" s="6" t="e">
        <f t="shared" si="59"/>
        <v>#VALUE!</v>
      </c>
      <c r="T392" s="6" t="e">
        <f t="shared" si="60"/>
        <v>#VALUE!</v>
      </c>
      <c r="U392" s="2" t="e">
        <f t="shared" si="61"/>
        <v>#VALUE!</v>
      </c>
    </row>
    <row r="393" spans="2:21" x14ac:dyDescent="0.3">
      <c r="B393"/>
      <c r="C393"/>
      <c r="D393"/>
      <c r="E393"/>
      <c r="F393"/>
      <c r="G393"/>
      <c r="H393"/>
      <c r="I393"/>
      <c r="J393"/>
      <c r="O393" s="2" t="e">
        <f t="shared" si="55"/>
        <v>#VALUE!</v>
      </c>
      <c r="P393" s="6" t="e">
        <f t="shared" si="56"/>
        <v>#VALUE!</v>
      </c>
      <c r="Q393" s="6" t="e">
        <f t="shared" si="57"/>
        <v>#VALUE!</v>
      </c>
      <c r="R393" s="6" t="e">
        <f t="shared" si="58"/>
        <v>#VALUE!</v>
      </c>
      <c r="S393" s="6" t="e">
        <f t="shared" si="59"/>
        <v>#VALUE!</v>
      </c>
      <c r="T393" s="6" t="e">
        <f t="shared" si="60"/>
        <v>#VALUE!</v>
      </c>
      <c r="U393" s="2" t="e">
        <f t="shared" si="61"/>
        <v>#VALUE!</v>
      </c>
    </row>
    <row r="394" spans="2:21" x14ac:dyDescent="0.3">
      <c r="B394" s="4"/>
      <c r="C394" s="4"/>
      <c r="D394" s="4"/>
      <c r="E394" s="4"/>
      <c r="F394"/>
      <c r="G394"/>
      <c r="H394"/>
      <c r="I394"/>
      <c r="J394"/>
      <c r="O394" s="2" t="e">
        <f t="shared" si="55"/>
        <v>#VALUE!</v>
      </c>
      <c r="P394" s="6" t="e">
        <f t="shared" si="56"/>
        <v>#VALUE!</v>
      </c>
      <c r="Q394" s="6" t="e">
        <f t="shared" si="57"/>
        <v>#VALUE!</v>
      </c>
      <c r="R394" s="6" t="e">
        <f t="shared" si="58"/>
        <v>#VALUE!</v>
      </c>
      <c r="S394" s="6" t="e">
        <f t="shared" si="59"/>
        <v>#VALUE!</v>
      </c>
      <c r="T394" s="6" t="e">
        <f t="shared" si="60"/>
        <v>#VALUE!</v>
      </c>
      <c r="U394" s="2" t="e">
        <f t="shared" si="61"/>
        <v>#VALUE!</v>
      </c>
    </row>
    <row r="395" spans="2:21" x14ac:dyDescent="0.3">
      <c r="B395"/>
      <c r="C395"/>
      <c r="D395"/>
      <c r="E395"/>
      <c r="F395"/>
      <c r="G395"/>
      <c r="H395"/>
      <c r="I395"/>
      <c r="J395"/>
      <c r="O395" s="2" t="e">
        <f t="shared" si="55"/>
        <v>#VALUE!</v>
      </c>
      <c r="P395" s="6" t="e">
        <f t="shared" si="56"/>
        <v>#VALUE!</v>
      </c>
      <c r="Q395" s="6" t="e">
        <f t="shared" si="57"/>
        <v>#VALUE!</v>
      </c>
      <c r="R395" s="6" t="e">
        <f t="shared" si="58"/>
        <v>#VALUE!</v>
      </c>
      <c r="S395" s="6" t="e">
        <f t="shared" si="59"/>
        <v>#VALUE!</v>
      </c>
      <c r="T395" s="6" t="e">
        <f t="shared" si="60"/>
        <v>#VALUE!</v>
      </c>
      <c r="U395" s="2" t="e">
        <f t="shared" si="61"/>
        <v>#VALUE!</v>
      </c>
    </row>
    <row r="396" spans="2:21" x14ac:dyDescent="0.3">
      <c r="B396"/>
      <c r="C396"/>
      <c r="D396"/>
      <c r="E396"/>
      <c r="F396"/>
      <c r="G396"/>
      <c r="H396"/>
      <c r="I396"/>
      <c r="J396"/>
      <c r="O396" s="2" t="e">
        <f t="shared" si="55"/>
        <v>#VALUE!</v>
      </c>
      <c r="P396" s="6" t="e">
        <f t="shared" si="56"/>
        <v>#VALUE!</v>
      </c>
      <c r="Q396" s="6" t="e">
        <f t="shared" si="57"/>
        <v>#VALUE!</v>
      </c>
      <c r="R396" s="6" t="e">
        <f t="shared" si="58"/>
        <v>#VALUE!</v>
      </c>
      <c r="S396" s="6" t="e">
        <f t="shared" si="59"/>
        <v>#VALUE!</v>
      </c>
      <c r="T396" s="6" t="e">
        <f t="shared" si="60"/>
        <v>#VALUE!</v>
      </c>
      <c r="U396" s="2" t="e">
        <f t="shared" si="61"/>
        <v>#VALUE!</v>
      </c>
    </row>
    <row r="397" spans="2:21" x14ac:dyDescent="0.3">
      <c r="B397"/>
      <c r="C397"/>
      <c r="D397"/>
      <c r="E397"/>
      <c r="F397"/>
      <c r="G397"/>
      <c r="H397"/>
      <c r="I397"/>
      <c r="J397"/>
      <c r="O397" s="2" t="e">
        <f t="shared" si="55"/>
        <v>#VALUE!</v>
      </c>
      <c r="P397" s="6" t="e">
        <f t="shared" si="56"/>
        <v>#VALUE!</v>
      </c>
      <c r="Q397" s="6" t="e">
        <f t="shared" si="57"/>
        <v>#VALUE!</v>
      </c>
      <c r="R397" s="6" t="e">
        <f t="shared" si="58"/>
        <v>#VALUE!</v>
      </c>
      <c r="S397" s="6" t="e">
        <f t="shared" si="59"/>
        <v>#VALUE!</v>
      </c>
      <c r="T397" s="6" t="e">
        <f t="shared" si="60"/>
        <v>#VALUE!</v>
      </c>
      <c r="U397" s="2" t="e">
        <f t="shared" si="61"/>
        <v>#VALUE!</v>
      </c>
    </row>
    <row r="398" spans="2:21" x14ac:dyDescent="0.3">
      <c r="B398"/>
      <c r="C398"/>
      <c r="D398"/>
      <c r="E398"/>
      <c r="F398"/>
      <c r="G398"/>
      <c r="H398"/>
      <c r="I398"/>
      <c r="J398"/>
      <c r="O398" s="2" t="e">
        <f t="shared" si="55"/>
        <v>#VALUE!</v>
      </c>
      <c r="P398" s="6" t="e">
        <f t="shared" si="56"/>
        <v>#VALUE!</v>
      </c>
      <c r="Q398" s="6" t="e">
        <f t="shared" si="57"/>
        <v>#VALUE!</v>
      </c>
      <c r="R398" s="6" t="e">
        <f t="shared" si="58"/>
        <v>#VALUE!</v>
      </c>
      <c r="S398" s="6" t="e">
        <f t="shared" si="59"/>
        <v>#VALUE!</v>
      </c>
      <c r="T398" s="6" t="e">
        <f t="shared" si="60"/>
        <v>#VALUE!</v>
      </c>
      <c r="U398" s="2" t="e">
        <f t="shared" si="61"/>
        <v>#VALUE!</v>
      </c>
    </row>
    <row r="399" spans="2:21" x14ac:dyDescent="0.3">
      <c r="B399"/>
      <c r="C399"/>
      <c r="D399"/>
      <c r="E399"/>
      <c r="F399"/>
      <c r="G399"/>
      <c r="H399"/>
      <c r="I399"/>
      <c r="J399"/>
      <c r="O399" s="2" t="e">
        <f t="shared" si="55"/>
        <v>#VALUE!</v>
      </c>
      <c r="P399" s="6" t="e">
        <f t="shared" si="56"/>
        <v>#VALUE!</v>
      </c>
      <c r="Q399" s="6" t="e">
        <f t="shared" si="57"/>
        <v>#VALUE!</v>
      </c>
      <c r="R399" s="6" t="e">
        <f t="shared" si="58"/>
        <v>#VALUE!</v>
      </c>
      <c r="S399" s="6" t="e">
        <f t="shared" si="59"/>
        <v>#VALUE!</v>
      </c>
      <c r="T399" s="6" t="e">
        <f t="shared" si="60"/>
        <v>#VALUE!</v>
      </c>
      <c r="U399" s="2" t="e">
        <f t="shared" si="61"/>
        <v>#VALUE!</v>
      </c>
    </row>
    <row r="400" spans="2:21" x14ac:dyDescent="0.3">
      <c r="B400" s="4"/>
      <c r="C400" s="4"/>
      <c r="D400" s="4"/>
      <c r="E400" s="4"/>
      <c r="F400"/>
      <c r="G400"/>
      <c r="H400"/>
      <c r="I400"/>
      <c r="J400"/>
      <c r="O400" s="2" t="e">
        <f t="shared" si="55"/>
        <v>#VALUE!</v>
      </c>
      <c r="P400" s="6" t="e">
        <f t="shared" si="56"/>
        <v>#VALUE!</v>
      </c>
      <c r="Q400" s="6" t="e">
        <f t="shared" si="57"/>
        <v>#VALUE!</v>
      </c>
      <c r="R400" s="6" t="e">
        <f t="shared" si="58"/>
        <v>#VALUE!</v>
      </c>
      <c r="S400" s="6" t="e">
        <f t="shared" si="59"/>
        <v>#VALUE!</v>
      </c>
      <c r="T400" s="6" t="e">
        <f t="shared" si="60"/>
        <v>#VALUE!</v>
      </c>
      <c r="U400" s="2" t="e">
        <f t="shared" si="61"/>
        <v>#VALUE!</v>
      </c>
    </row>
    <row r="401" spans="2:21" x14ac:dyDescent="0.3">
      <c r="B401"/>
      <c r="C401"/>
      <c r="D401"/>
      <c r="E401"/>
      <c r="F401"/>
      <c r="G401"/>
      <c r="H401"/>
      <c r="I401"/>
      <c r="J401"/>
      <c r="O401" s="2" t="e">
        <f t="shared" si="55"/>
        <v>#VALUE!</v>
      </c>
      <c r="P401" s="6" t="e">
        <f t="shared" si="56"/>
        <v>#VALUE!</v>
      </c>
      <c r="Q401" s="6" t="e">
        <f t="shared" si="57"/>
        <v>#VALUE!</v>
      </c>
      <c r="R401" s="6" t="e">
        <f t="shared" si="58"/>
        <v>#VALUE!</v>
      </c>
      <c r="S401" s="6" t="e">
        <f t="shared" si="59"/>
        <v>#VALUE!</v>
      </c>
      <c r="T401" s="6" t="e">
        <f t="shared" si="60"/>
        <v>#VALUE!</v>
      </c>
      <c r="U401" s="2" t="e">
        <f t="shared" si="61"/>
        <v>#VALUE!</v>
      </c>
    </row>
    <row r="402" spans="2:21" x14ac:dyDescent="0.3">
      <c r="B402" s="4"/>
      <c r="C402" s="4"/>
      <c r="D402" s="4"/>
      <c r="E402" s="4"/>
      <c r="F402"/>
      <c r="G402"/>
      <c r="H402"/>
      <c r="I402"/>
      <c r="J402"/>
      <c r="K402" s="7"/>
      <c r="L402" s="7"/>
      <c r="M402" s="7"/>
      <c r="O402" s="2" t="e">
        <f t="shared" si="55"/>
        <v>#VALUE!</v>
      </c>
      <c r="P402" s="6" t="e">
        <f t="shared" si="56"/>
        <v>#VALUE!</v>
      </c>
      <c r="Q402" s="6" t="e">
        <f t="shared" si="57"/>
        <v>#VALUE!</v>
      </c>
      <c r="R402" s="6" t="e">
        <f t="shared" si="58"/>
        <v>#VALUE!</v>
      </c>
      <c r="S402" s="6" t="e">
        <f t="shared" si="59"/>
        <v>#VALUE!</v>
      </c>
      <c r="T402" s="6" t="e">
        <f t="shared" si="60"/>
        <v>#VALUE!</v>
      </c>
      <c r="U402" s="2" t="e">
        <f t="shared" si="61"/>
        <v>#VALUE!</v>
      </c>
    </row>
    <row r="403" spans="2:21" x14ac:dyDescent="0.3">
      <c r="B403"/>
      <c r="C403"/>
      <c r="D403"/>
      <c r="E403" s="4"/>
      <c r="F403"/>
      <c r="G403"/>
      <c r="H403"/>
      <c r="I403"/>
      <c r="J403"/>
      <c r="O403" s="2" t="e">
        <f t="shared" si="55"/>
        <v>#VALUE!</v>
      </c>
      <c r="P403" s="6" t="e">
        <f t="shared" si="56"/>
        <v>#VALUE!</v>
      </c>
      <c r="Q403" s="6" t="e">
        <f t="shared" si="57"/>
        <v>#VALUE!</v>
      </c>
      <c r="R403" s="6" t="e">
        <f t="shared" si="58"/>
        <v>#VALUE!</v>
      </c>
      <c r="S403" s="6" t="e">
        <f t="shared" si="59"/>
        <v>#VALUE!</v>
      </c>
      <c r="T403" s="6" t="e">
        <f t="shared" si="60"/>
        <v>#VALUE!</v>
      </c>
      <c r="U403" s="2" t="e">
        <f t="shared" si="61"/>
        <v>#VALUE!</v>
      </c>
    </row>
    <row r="404" spans="2:21" x14ac:dyDescent="0.3">
      <c r="B404"/>
      <c r="C404"/>
      <c r="D404"/>
      <c r="E404"/>
      <c r="F404"/>
      <c r="G404"/>
      <c r="H404"/>
      <c r="I404"/>
      <c r="J404"/>
      <c r="O404" s="2" t="e">
        <f t="shared" si="55"/>
        <v>#VALUE!</v>
      </c>
      <c r="P404" s="6" t="e">
        <f t="shared" si="56"/>
        <v>#VALUE!</v>
      </c>
      <c r="Q404" s="6" t="e">
        <f t="shared" si="57"/>
        <v>#VALUE!</v>
      </c>
      <c r="R404" s="6" t="e">
        <f t="shared" si="58"/>
        <v>#VALUE!</v>
      </c>
      <c r="S404" s="6" t="e">
        <f t="shared" si="59"/>
        <v>#VALUE!</v>
      </c>
      <c r="T404" s="6" t="e">
        <f t="shared" si="60"/>
        <v>#VALUE!</v>
      </c>
      <c r="U404" s="2" t="e">
        <f t="shared" si="61"/>
        <v>#VALUE!</v>
      </c>
    </row>
    <row r="405" spans="2:21" x14ac:dyDescent="0.3">
      <c r="B405"/>
      <c r="C405"/>
      <c r="D405"/>
      <c r="E405"/>
      <c r="F405"/>
      <c r="G405"/>
      <c r="H405"/>
      <c r="I405"/>
      <c r="J405"/>
      <c r="O405" s="2" t="e">
        <f t="shared" si="55"/>
        <v>#VALUE!</v>
      </c>
      <c r="P405" s="6" t="e">
        <f t="shared" si="56"/>
        <v>#VALUE!</v>
      </c>
      <c r="Q405" s="6" t="e">
        <f t="shared" si="57"/>
        <v>#VALUE!</v>
      </c>
      <c r="R405" s="6" t="e">
        <f t="shared" si="58"/>
        <v>#VALUE!</v>
      </c>
      <c r="S405" s="6" t="e">
        <f t="shared" si="59"/>
        <v>#VALUE!</v>
      </c>
      <c r="T405" s="6" t="e">
        <f t="shared" si="60"/>
        <v>#VALUE!</v>
      </c>
      <c r="U405" s="2" t="e">
        <f t="shared" si="61"/>
        <v>#VALUE!</v>
      </c>
    </row>
    <row r="406" spans="2:21" x14ac:dyDescent="0.3">
      <c r="B406" s="4"/>
      <c r="C406" s="4"/>
      <c r="D406" s="4"/>
      <c r="E406" s="4"/>
      <c r="F406"/>
      <c r="G406"/>
      <c r="H406"/>
      <c r="I406"/>
      <c r="J406"/>
      <c r="O406" s="2" t="e">
        <f t="shared" si="55"/>
        <v>#VALUE!</v>
      </c>
      <c r="P406" s="6" t="e">
        <f t="shared" si="56"/>
        <v>#VALUE!</v>
      </c>
      <c r="Q406" s="6" t="e">
        <f t="shared" si="57"/>
        <v>#VALUE!</v>
      </c>
      <c r="R406" s="6" t="e">
        <f t="shared" si="58"/>
        <v>#VALUE!</v>
      </c>
      <c r="S406" s="6" t="e">
        <f t="shared" si="59"/>
        <v>#VALUE!</v>
      </c>
      <c r="T406" s="6" t="e">
        <f t="shared" si="60"/>
        <v>#VALUE!</v>
      </c>
      <c r="U406" s="2" t="e">
        <f t="shared" si="61"/>
        <v>#VALUE!</v>
      </c>
    </row>
    <row r="407" spans="2:21" x14ac:dyDescent="0.3">
      <c r="B407"/>
      <c r="C407"/>
      <c r="D407"/>
      <c r="E407"/>
      <c r="F407"/>
      <c r="G407"/>
      <c r="H407"/>
      <c r="I407"/>
      <c r="J407"/>
      <c r="O407" s="2" t="e">
        <f t="shared" si="55"/>
        <v>#VALUE!</v>
      </c>
      <c r="P407" s="6" t="e">
        <f t="shared" si="56"/>
        <v>#VALUE!</v>
      </c>
      <c r="Q407" s="6" t="e">
        <f t="shared" si="57"/>
        <v>#VALUE!</v>
      </c>
      <c r="R407" s="6" t="e">
        <f t="shared" si="58"/>
        <v>#VALUE!</v>
      </c>
      <c r="S407" s="6" t="e">
        <f t="shared" si="59"/>
        <v>#VALUE!</v>
      </c>
      <c r="T407" s="6" t="e">
        <f t="shared" si="60"/>
        <v>#VALUE!</v>
      </c>
      <c r="U407" s="2" t="e">
        <f t="shared" si="61"/>
        <v>#VALUE!</v>
      </c>
    </row>
    <row r="408" spans="2:21" x14ac:dyDescent="0.3">
      <c r="B408" s="4"/>
      <c r="C408" s="4"/>
      <c r="D408" s="4"/>
      <c r="E408" s="4"/>
      <c r="F408"/>
      <c r="G408"/>
      <c r="H408"/>
      <c r="I408"/>
      <c r="J408"/>
      <c r="K408" s="1"/>
      <c r="L408" s="1"/>
      <c r="M408" s="1"/>
      <c r="O408" s="2" t="e">
        <f t="shared" si="55"/>
        <v>#VALUE!</v>
      </c>
      <c r="P408" s="6" t="e">
        <f t="shared" si="56"/>
        <v>#VALUE!</v>
      </c>
      <c r="Q408" s="6" t="e">
        <f t="shared" si="57"/>
        <v>#VALUE!</v>
      </c>
      <c r="R408" s="6" t="e">
        <f t="shared" si="58"/>
        <v>#VALUE!</v>
      </c>
      <c r="S408" s="6" t="e">
        <f t="shared" si="59"/>
        <v>#VALUE!</v>
      </c>
      <c r="T408" s="6" t="e">
        <f t="shared" si="60"/>
        <v>#VALUE!</v>
      </c>
      <c r="U408" s="2" t="e">
        <f t="shared" si="61"/>
        <v>#VALUE!</v>
      </c>
    </row>
    <row r="409" spans="2:21" x14ac:dyDescent="0.3">
      <c r="B409"/>
      <c r="C409"/>
      <c r="D409"/>
      <c r="E409" s="4"/>
      <c r="F409"/>
      <c r="G409"/>
      <c r="H409"/>
      <c r="I409"/>
      <c r="J409"/>
      <c r="K409" s="1"/>
      <c r="L409" s="1"/>
      <c r="M409" s="1"/>
      <c r="O409" s="2" t="e">
        <f t="shared" si="55"/>
        <v>#VALUE!</v>
      </c>
      <c r="P409" s="6" t="e">
        <f t="shared" si="56"/>
        <v>#VALUE!</v>
      </c>
      <c r="Q409" s="6" t="e">
        <f t="shared" si="57"/>
        <v>#VALUE!</v>
      </c>
      <c r="R409" s="6" t="e">
        <f t="shared" si="58"/>
        <v>#VALUE!</v>
      </c>
      <c r="S409" s="6" t="e">
        <f t="shared" si="59"/>
        <v>#VALUE!</v>
      </c>
      <c r="T409" s="6" t="e">
        <f t="shared" si="60"/>
        <v>#VALUE!</v>
      </c>
      <c r="U409" s="2" t="e">
        <f t="shared" si="61"/>
        <v>#VALUE!</v>
      </c>
    </row>
    <row r="410" spans="2:21" x14ac:dyDescent="0.3">
      <c r="B410"/>
      <c r="C410"/>
      <c r="D410"/>
      <c r="E410"/>
      <c r="F410"/>
      <c r="G410"/>
      <c r="H410"/>
      <c r="I410"/>
      <c r="J410"/>
      <c r="O410" s="2" t="e">
        <f t="shared" si="55"/>
        <v>#VALUE!</v>
      </c>
      <c r="P410" s="6" t="e">
        <f t="shared" si="56"/>
        <v>#VALUE!</v>
      </c>
      <c r="Q410" s="6" t="e">
        <f t="shared" si="57"/>
        <v>#VALUE!</v>
      </c>
      <c r="R410" s="6" t="e">
        <f t="shared" si="58"/>
        <v>#VALUE!</v>
      </c>
      <c r="S410" s="6" t="e">
        <f t="shared" si="59"/>
        <v>#VALUE!</v>
      </c>
      <c r="T410" s="6" t="e">
        <f t="shared" si="60"/>
        <v>#VALUE!</v>
      </c>
      <c r="U410" s="2" t="e">
        <f t="shared" si="61"/>
        <v>#VALUE!</v>
      </c>
    </row>
    <row r="411" spans="2:21" x14ac:dyDescent="0.3">
      <c r="B411"/>
      <c r="C411"/>
      <c r="D411"/>
      <c r="E411"/>
      <c r="F411"/>
      <c r="G411"/>
      <c r="H411"/>
      <c r="I411"/>
      <c r="J411"/>
      <c r="O411" s="2" t="e">
        <f t="shared" si="55"/>
        <v>#VALUE!</v>
      </c>
      <c r="P411" s="6" t="e">
        <f t="shared" si="56"/>
        <v>#VALUE!</v>
      </c>
      <c r="Q411" s="6" t="e">
        <f t="shared" si="57"/>
        <v>#VALUE!</v>
      </c>
      <c r="R411" s="6" t="e">
        <f t="shared" si="58"/>
        <v>#VALUE!</v>
      </c>
      <c r="S411" s="6" t="e">
        <f t="shared" si="59"/>
        <v>#VALUE!</v>
      </c>
      <c r="T411" s="6" t="e">
        <f t="shared" si="60"/>
        <v>#VALUE!</v>
      </c>
      <c r="U411" s="2" t="e">
        <f t="shared" si="61"/>
        <v>#VALUE!</v>
      </c>
    </row>
    <row r="412" spans="2:21" x14ac:dyDescent="0.3">
      <c r="B412"/>
      <c r="C412"/>
      <c r="D412"/>
      <c r="E412"/>
      <c r="F412"/>
      <c r="G412"/>
      <c r="H412"/>
      <c r="I412"/>
      <c r="J412"/>
      <c r="O412" s="2" t="e">
        <f t="shared" si="55"/>
        <v>#VALUE!</v>
      </c>
      <c r="P412" s="6" t="e">
        <f t="shared" si="56"/>
        <v>#VALUE!</v>
      </c>
      <c r="Q412" s="6" t="e">
        <f t="shared" si="57"/>
        <v>#VALUE!</v>
      </c>
      <c r="R412" s="6" t="e">
        <f t="shared" si="58"/>
        <v>#VALUE!</v>
      </c>
      <c r="S412" s="6" t="e">
        <f t="shared" si="59"/>
        <v>#VALUE!</v>
      </c>
      <c r="T412" s="6" t="e">
        <f t="shared" si="60"/>
        <v>#VALUE!</v>
      </c>
      <c r="U412" s="2" t="e">
        <f t="shared" si="61"/>
        <v>#VALUE!</v>
      </c>
    </row>
    <row r="413" spans="2:21" x14ac:dyDescent="0.3">
      <c r="B413"/>
      <c r="C413"/>
      <c r="D413"/>
      <c r="E413"/>
      <c r="F413"/>
      <c r="G413"/>
      <c r="H413"/>
      <c r="I413"/>
      <c r="J413"/>
      <c r="O413" s="2" t="e">
        <f t="shared" si="55"/>
        <v>#VALUE!</v>
      </c>
      <c r="P413" s="6" t="e">
        <f t="shared" si="56"/>
        <v>#VALUE!</v>
      </c>
      <c r="Q413" s="6" t="e">
        <f t="shared" si="57"/>
        <v>#VALUE!</v>
      </c>
      <c r="R413" s="6" t="e">
        <f t="shared" si="58"/>
        <v>#VALUE!</v>
      </c>
      <c r="S413" s="6" t="e">
        <f t="shared" si="59"/>
        <v>#VALUE!</v>
      </c>
      <c r="T413" s="6" t="e">
        <f t="shared" si="60"/>
        <v>#VALUE!</v>
      </c>
      <c r="U413" s="2" t="e">
        <f t="shared" si="61"/>
        <v>#VALUE!</v>
      </c>
    </row>
    <row r="414" spans="2:21" x14ac:dyDescent="0.3">
      <c r="B414"/>
      <c r="C414"/>
      <c r="D414"/>
      <c r="E414"/>
      <c r="F414"/>
      <c r="G414"/>
      <c r="H414"/>
      <c r="I414"/>
      <c r="J414"/>
      <c r="O414" s="2" t="e">
        <f t="shared" si="55"/>
        <v>#VALUE!</v>
      </c>
      <c r="P414" s="6" t="e">
        <f t="shared" si="56"/>
        <v>#VALUE!</v>
      </c>
      <c r="Q414" s="6" t="e">
        <f t="shared" si="57"/>
        <v>#VALUE!</v>
      </c>
      <c r="R414" s="6" t="e">
        <f t="shared" si="58"/>
        <v>#VALUE!</v>
      </c>
      <c r="S414" s="6" t="e">
        <f t="shared" si="59"/>
        <v>#VALUE!</v>
      </c>
      <c r="T414" s="6" t="e">
        <f t="shared" si="60"/>
        <v>#VALUE!</v>
      </c>
      <c r="U414" s="2" t="e">
        <f t="shared" si="61"/>
        <v>#VALUE!</v>
      </c>
    </row>
    <row r="415" spans="2:21" x14ac:dyDescent="0.3">
      <c r="B415"/>
      <c r="C415"/>
      <c r="D415"/>
      <c r="E415"/>
      <c r="F415"/>
      <c r="G415"/>
      <c r="H415"/>
      <c r="I415"/>
      <c r="J415"/>
      <c r="O415" s="2" t="e">
        <f t="shared" si="55"/>
        <v>#VALUE!</v>
      </c>
      <c r="P415" s="6" t="e">
        <f t="shared" si="56"/>
        <v>#VALUE!</v>
      </c>
      <c r="Q415" s="6" t="e">
        <f t="shared" si="57"/>
        <v>#VALUE!</v>
      </c>
      <c r="R415" s="6" t="e">
        <f t="shared" si="58"/>
        <v>#VALUE!</v>
      </c>
      <c r="S415" s="6" t="e">
        <f t="shared" si="59"/>
        <v>#VALUE!</v>
      </c>
      <c r="T415" s="6" t="e">
        <f t="shared" si="60"/>
        <v>#VALUE!</v>
      </c>
      <c r="U415" s="2" t="e">
        <f t="shared" si="61"/>
        <v>#VALUE!</v>
      </c>
    </row>
    <row r="416" spans="2:21" x14ac:dyDescent="0.3">
      <c r="B416"/>
      <c r="C416"/>
      <c r="D416"/>
      <c r="E416"/>
      <c r="F416"/>
      <c r="G416"/>
      <c r="H416"/>
      <c r="I416"/>
      <c r="J416"/>
      <c r="O416" s="2" t="e">
        <f t="shared" si="55"/>
        <v>#VALUE!</v>
      </c>
      <c r="P416" s="6" t="e">
        <f t="shared" si="56"/>
        <v>#VALUE!</v>
      </c>
      <c r="Q416" s="6" t="e">
        <f t="shared" si="57"/>
        <v>#VALUE!</v>
      </c>
      <c r="R416" s="6" t="e">
        <f t="shared" si="58"/>
        <v>#VALUE!</v>
      </c>
      <c r="S416" s="6" t="e">
        <f t="shared" si="59"/>
        <v>#VALUE!</v>
      </c>
      <c r="T416" s="6" t="e">
        <f t="shared" si="60"/>
        <v>#VALUE!</v>
      </c>
      <c r="U416" s="2" t="e">
        <f t="shared" si="61"/>
        <v>#VALUE!</v>
      </c>
    </row>
    <row r="417" spans="2:21" x14ac:dyDescent="0.3">
      <c r="B417"/>
      <c r="C417"/>
      <c r="D417"/>
      <c r="E417"/>
      <c r="F417"/>
      <c r="G417"/>
      <c r="H417"/>
      <c r="I417"/>
      <c r="J417"/>
      <c r="O417" s="2" t="e">
        <f t="shared" si="55"/>
        <v>#VALUE!</v>
      </c>
      <c r="P417" s="6" t="e">
        <f t="shared" si="56"/>
        <v>#VALUE!</v>
      </c>
      <c r="Q417" s="6" t="e">
        <f t="shared" si="57"/>
        <v>#VALUE!</v>
      </c>
      <c r="R417" s="6" t="e">
        <f t="shared" si="58"/>
        <v>#VALUE!</v>
      </c>
      <c r="S417" s="6" t="e">
        <f t="shared" si="59"/>
        <v>#VALUE!</v>
      </c>
      <c r="T417" s="6" t="e">
        <f t="shared" si="60"/>
        <v>#VALUE!</v>
      </c>
      <c r="U417" s="2" t="e">
        <f t="shared" si="61"/>
        <v>#VALUE!</v>
      </c>
    </row>
    <row r="418" spans="2:21" x14ac:dyDescent="0.3">
      <c r="B418"/>
      <c r="C418"/>
      <c r="D418"/>
      <c r="E418"/>
      <c r="F418"/>
      <c r="G418"/>
      <c r="H418"/>
      <c r="I418"/>
      <c r="J418"/>
      <c r="O418" s="2" t="e">
        <f t="shared" si="55"/>
        <v>#VALUE!</v>
      </c>
      <c r="P418" s="6" t="e">
        <f t="shared" si="56"/>
        <v>#VALUE!</v>
      </c>
      <c r="Q418" s="6" t="e">
        <f t="shared" si="57"/>
        <v>#VALUE!</v>
      </c>
      <c r="R418" s="6" t="e">
        <f t="shared" si="58"/>
        <v>#VALUE!</v>
      </c>
      <c r="S418" s="6" t="e">
        <f t="shared" si="59"/>
        <v>#VALUE!</v>
      </c>
      <c r="T418" s="6" t="e">
        <f t="shared" si="60"/>
        <v>#VALUE!</v>
      </c>
      <c r="U418" s="2" t="e">
        <f t="shared" si="61"/>
        <v>#VALUE!</v>
      </c>
    </row>
    <row r="419" spans="2:21" x14ac:dyDescent="0.3">
      <c r="B419"/>
      <c r="C419"/>
      <c r="D419"/>
      <c r="E419"/>
      <c r="F419"/>
      <c r="G419"/>
      <c r="H419"/>
      <c r="I419"/>
      <c r="J419"/>
      <c r="O419" s="2" t="e">
        <f t="shared" si="55"/>
        <v>#VALUE!</v>
      </c>
      <c r="P419" s="6" t="e">
        <f t="shared" si="56"/>
        <v>#VALUE!</v>
      </c>
      <c r="Q419" s="6" t="e">
        <f t="shared" si="57"/>
        <v>#VALUE!</v>
      </c>
      <c r="R419" s="6" t="e">
        <f t="shared" si="58"/>
        <v>#VALUE!</v>
      </c>
      <c r="S419" s="6" t="e">
        <f t="shared" si="59"/>
        <v>#VALUE!</v>
      </c>
      <c r="T419" s="6" t="e">
        <f t="shared" si="60"/>
        <v>#VALUE!</v>
      </c>
      <c r="U419" s="2" t="e">
        <f t="shared" si="61"/>
        <v>#VALUE!</v>
      </c>
    </row>
    <row r="420" spans="2:21" x14ac:dyDescent="0.3">
      <c r="B420"/>
      <c r="C420"/>
      <c r="D420"/>
      <c r="E420"/>
      <c r="F420"/>
      <c r="G420"/>
      <c r="H420"/>
      <c r="I420"/>
      <c r="J420"/>
      <c r="O420" s="2" t="e">
        <f t="shared" si="55"/>
        <v>#VALUE!</v>
      </c>
      <c r="P420" s="6" t="e">
        <f t="shared" si="56"/>
        <v>#VALUE!</v>
      </c>
      <c r="Q420" s="6" t="e">
        <f t="shared" si="57"/>
        <v>#VALUE!</v>
      </c>
      <c r="R420" s="6" t="e">
        <f t="shared" si="58"/>
        <v>#VALUE!</v>
      </c>
      <c r="S420" s="6" t="e">
        <f t="shared" si="59"/>
        <v>#VALUE!</v>
      </c>
      <c r="T420" s="6" t="e">
        <f t="shared" si="60"/>
        <v>#VALUE!</v>
      </c>
      <c r="U420" s="2" t="e">
        <f t="shared" si="61"/>
        <v>#VALUE!</v>
      </c>
    </row>
    <row r="421" spans="2:21" x14ac:dyDescent="0.3">
      <c r="B421"/>
      <c r="C421"/>
      <c r="D421"/>
      <c r="E421" s="4"/>
      <c r="F421"/>
      <c r="G421"/>
      <c r="H421"/>
      <c r="I421"/>
      <c r="J421"/>
      <c r="O421" s="2" t="e">
        <f t="shared" si="55"/>
        <v>#VALUE!</v>
      </c>
      <c r="P421" s="6" t="e">
        <f t="shared" si="56"/>
        <v>#VALUE!</v>
      </c>
      <c r="Q421" s="6" t="e">
        <f t="shared" si="57"/>
        <v>#VALUE!</v>
      </c>
      <c r="R421" s="6" t="e">
        <f t="shared" si="58"/>
        <v>#VALUE!</v>
      </c>
      <c r="S421" s="6" t="e">
        <f t="shared" si="59"/>
        <v>#VALUE!</v>
      </c>
      <c r="T421" s="6" t="e">
        <f t="shared" si="60"/>
        <v>#VALUE!</v>
      </c>
      <c r="U421" s="2" t="e">
        <f t="shared" si="61"/>
        <v>#VALUE!</v>
      </c>
    </row>
    <row r="422" spans="2:21" x14ac:dyDescent="0.3">
      <c r="B422"/>
      <c r="C422"/>
      <c r="D422"/>
      <c r="E422"/>
      <c r="F422"/>
      <c r="G422"/>
      <c r="H422"/>
      <c r="I422"/>
      <c r="J422"/>
      <c r="O422" s="2" t="e">
        <f t="shared" si="55"/>
        <v>#VALUE!</v>
      </c>
      <c r="P422" s="6" t="e">
        <f t="shared" si="56"/>
        <v>#VALUE!</v>
      </c>
      <c r="Q422" s="6" t="e">
        <f t="shared" si="57"/>
        <v>#VALUE!</v>
      </c>
      <c r="R422" s="6" t="e">
        <f t="shared" si="58"/>
        <v>#VALUE!</v>
      </c>
      <c r="S422" s="6" t="e">
        <f t="shared" si="59"/>
        <v>#VALUE!</v>
      </c>
      <c r="T422" s="6" t="e">
        <f t="shared" si="60"/>
        <v>#VALUE!</v>
      </c>
      <c r="U422" s="2" t="e">
        <f t="shared" si="61"/>
        <v>#VALUE!</v>
      </c>
    </row>
    <row r="423" spans="2:21" x14ac:dyDescent="0.3">
      <c r="B423" s="4"/>
      <c r="C423" s="4"/>
      <c r="D423" s="4"/>
      <c r="E423" s="4"/>
      <c r="F423"/>
      <c r="G423"/>
      <c r="H423"/>
      <c r="I423"/>
      <c r="J423"/>
      <c r="O423" s="2" t="e">
        <f t="shared" si="55"/>
        <v>#VALUE!</v>
      </c>
      <c r="P423" s="6" t="e">
        <f t="shared" si="56"/>
        <v>#VALUE!</v>
      </c>
      <c r="Q423" s="6" t="e">
        <f t="shared" si="57"/>
        <v>#VALUE!</v>
      </c>
      <c r="R423" s="6" t="e">
        <f t="shared" si="58"/>
        <v>#VALUE!</v>
      </c>
      <c r="S423" s="6" t="e">
        <f t="shared" si="59"/>
        <v>#VALUE!</v>
      </c>
      <c r="T423" s="6" t="e">
        <f t="shared" si="60"/>
        <v>#VALUE!</v>
      </c>
      <c r="U423" s="2" t="e">
        <f t="shared" si="61"/>
        <v>#VALUE!</v>
      </c>
    </row>
    <row r="424" spans="2:21" x14ac:dyDescent="0.3">
      <c r="B424"/>
      <c r="C424"/>
      <c r="D424"/>
      <c r="E424"/>
      <c r="F424"/>
      <c r="G424"/>
      <c r="H424"/>
      <c r="I424"/>
      <c r="J424"/>
      <c r="O424" s="2" t="e">
        <f t="shared" si="55"/>
        <v>#VALUE!</v>
      </c>
      <c r="P424" s="6" t="e">
        <f t="shared" si="56"/>
        <v>#VALUE!</v>
      </c>
      <c r="Q424" s="6" t="e">
        <f t="shared" si="57"/>
        <v>#VALUE!</v>
      </c>
      <c r="R424" s="6" t="e">
        <f t="shared" si="58"/>
        <v>#VALUE!</v>
      </c>
      <c r="S424" s="6" t="e">
        <f t="shared" si="59"/>
        <v>#VALUE!</v>
      </c>
      <c r="T424" s="6" t="e">
        <f t="shared" si="60"/>
        <v>#VALUE!</v>
      </c>
      <c r="U424" s="2" t="e">
        <f t="shared" si="61"/>
        <v>#VALUE!</v>
      </c>
    </row>
    <row r="425" spans="2:21" x14ac:dyDescent="0.3">
      <c r="B425"/>
      <c r="C425"/>
      <c r="D425"/>
      <c r="E425"/>
      <c r="F425"/>
      <c r="G425"/>
      <c r="H425"/>
      <c r="I425"/>
      <c r="J425"/>
      <c r="O425" s="2" t="e">
        <f t="shared" si="55"/>
        <v>#VALUE!</v>
      </c>
      <c r="P425" s="6" t="e">
        <f t="shared" si="56"/>
        <v>#VALUE!</v>
      </c>
      <c r="Q425" s="6" t="e">
        <f t="shared" si="57"/>
        <v>#VALUE!</v>
      </c>
      <c r="R425" s="6" t="e">
        <f t="shared" si="58"/>
        <v>#VALUE!</v>
      </c>
      <c r="S425" s="6" t="e">
        <f t="shared" si="59"/>
        <v>#VALUE!</v>
      </c>
      <c r="T425" s="6" t="e">
        <f t="shared" si="60"/>
        <v>#VALUE!</v>
      </c>
      <c r="U425" s="2" t="e">
        <f t="shared" si="61"/>
        <v>#VALUE!</v>
      </c>
    </row>
    <row r="426" spans="2:21" x14ac:dyDescent="0.3">
      <c r="B426" s="4"/>
      <c r="C426" s="4"/>
      <c r="D426" s="4"/>
      <c r="E426" s="4"/>
      <c r="F426"/>
      <c r="G426"/>
      <c r="H426"/>
      <c r="I426"/>
      <c r="J426"/>
      <c r="O426" s="2" t="e">
        <f t="shared" si="55"/>
        <v>#VALUE!</v>
      </c>
      <c r="P426" s="6" t="e">
        <f t="shared" si="56"/>
        <v>#VALUE!</v>
      </c>
      <c r="Q426" s="6" t="e">
        <f t="shared" si="57"/>
        <v>#VALUE!</v>
      </c>
      <c r="R426" s="6" t="e">
        <f t="shared" si="58"/>
        <v>#VALUE!</v>
      </c>
      <c r="S426" s="6" t="e">
        <f t="shared" si="59"/>
        <v>#VALUE!</v>
      </c>
      <c r="T426" s="6" t="e">
        <f t="shared" si="60"/>
        <v>#VALUE!</v>
      </c>
      <c r="U426" s="2" t="e">
        <f t="shared" si="61"/>
        <v>#VALUE!</v>
      </c>
    </row>
    <row r="427" spans="2:21" x14ac:dyDescent="0.3">
      <c r="B427"/>
      <c r="C427"/>
      <c r="D427"/>
      <c r="E427"/>
      <c r="F427"/>
      <c r="G427"/>
      <c r="H427"/>
      <c r="I427"/>
      <c r="J427"/>
      <c r="O427" s="2" t="e">
        <f t="shared" si="55"/>
        <v>#VALUE!</v>
      </c>
      <c r="P427" s="6" t="e">
        <f t="shared" si="56"/>
        <v>#VALUE!</v>
      </c>
      <c r="Q427" s="6" t="e">
        <f t="shared" si="57"/>
        <v>#VALUE!</v>
      </c>
      <c r="R427" s="6" t="e">
        <f t="shared" si="58"/>
        <v>#VALUE!</v>
      </c>
      <c r="S427" s="6" t="e">
        <f t="shared" si="59"/>
        <v>#VALUE!</v>
      </c>
      <c r="T427" s="6" t="e">
        <f t="shared" si="60"/>
        <v>#VALUE!</v>
      </c>
      <c r="U427" s="2" t="e">
        <f t="shared" si="61"/>
        <v>#VALUE!</v>
      </c>
    </row>
    <row r="428" spans="2:21" x14ac:dyDescent="0.3">
      <c r="B428"/>
      <c r="C428"/>
      <c r="D428"/>
      <c r="E428"/>
      <c r="F428"/>
      <c r="G428"/>
      <c r="H428"/>
      <c r="I428"/>
      <c r="J428"/>
      <c r="O428" s="2" t="e">
        <f t="shared" si="55"/>
        <v>#VALUE!</v>
      </c>
      <c r="P428" s="6" t="e">
        <f t="shared" si="56"/>
        <v>#VALUE!</v>
      </c>
      <c r="Q428" s="6" t="e">
        <f t="shared" si="57"/>
        <v>#VALUE!</v>
      </c>
      <c r="R428" s="6" t="e">
        <f t="shared" si="58"/>
        <v>#VALUE!</v>
      </c>
      <c r="S428" s="6" t="e">
        <f t="shared" si="59"/>
        <v>#VALUE!</v>
      </c>
      <c r="T428" s="6" t="e">
        <f t="shared" si="60"/>
        <v>#VALUE!</v>
      </c>
      <c r="U428" s="2" t="e">
        <f t="shared" si="61"/>
        <v>#VALUE!</v>
      </c>
    </row>
    <row r="429" spans="2:21" x14ac:dyDescent="0.3">
      <c r="B429"/>
      <c r="C429"/>
      <c r="D429"/>
      <c r="E429"/>
      <c r="F429"/>
      <c r="G429"/>
      <c r="H429"/>
      <c r="I429"/>
      <c r="J429"/>
      <c r="O429" s="2" t="e">
        <f t="shared" si="55"/>
        <v>#VALUE!</v>
      </c>
      <c r="P429" s="6" t="e">
        <f t="shared" si="56"/>
        <v>#VALUE!</v>
      </c>
      <c r="Q429" s="6" t="e">
        <f t="shared" si="57"/>
        <v>#VALUE!</v>
      </c>
      <c r="R429" s="6" t="e">
        <f t="shared" si="58"/>
        <v>#VALUE!</v>
      </c>
      <c r="S429" s="6" t="e">
        <f t="shared" si="59"/>
        <v>#VALUE!</v>
      </c>
      <c r="T429" s="6" t="e">
        <f t="shared" si="60"/>
        <v>#VALUE!</v>
      </c>
      <c r="U429" s="2" t="e">
        <f t="shared" si="61"/>
        <v>#VALUE!</v>
      </c>
    </row>
    <row r="430" spans="2:21" x14ac:dyDescent="0.3">
      <c r="B430"/>
      <c r="C430"/>
      <c r="D430"/>
      <c r="E430"/>
      <c r="F430"/>
      <c r="G430"/>
      <c r="H430"/>
      <c r="I430"/>
      <c r="J430"/>
      <c r="O430" s="2" t="e">
        <f t="shared" si="55"/>
        <v>#VALUE!</v>
      </c>
      <c r="P430" s="6" t="e">
        <f t="shared" si="56"/>
        <v>#VALUE!</v>
      </c>
      <c r="Q430" s="6" t="e">
        <f t="shared" si="57"/>
        <v>#VALUE!</v>
      </c>
      <c r="R430" s="6" t="e">
        <f t="shared" si="58"/>
        <v>#VALUE!</v>
      </c>
      <c r="S430" s="6" t="e">
        <f t="shared" si="59"/>
        <v>#VALUE!</v>
      </c>
      <c r="T430" s="6" t="e">
        <f t="shared" si="60"/>
        <v>#VALUE!</v>
      </c>
      <c r="U430" s="2" t="e">
        <f t="shared" si="61"/>
        <v>#VALUE!</v>
      </c>
    </row>
    <row r="431" spans="2:21" x14ac:dyDescent="0.3">
      <c r="B431"/>
      <c r="C431"/>
      <c r="D431"/>
      <c r="E431" s="4"/>
      <c r="F431"/>
      <c r="G431"/>
      <c r="H431"/>
      <c r="I431"/>
      <c r="J431"/>
      <c r="K431" s="7"/>
      <c r="L431" s="7"/>
      <c r="M431" s="7"/>
      <c r="O431" s="2" t="e">
        <f t="shared" si="55"/>
        <v>#VALUE!</v>
      </c>
      <c r="P431" s="6" t="e">
        <f t="shared" si="56"/>
        <v>#VALUE!</v>
      </c>
      <c r="Q431" s="6" t="e">
        <f t="shared" si="57"/>
        <v>#VALUE!</v>
      </c>
      <c r="R431" s="6" t="e">
        <f t="shared" si="58"/>
        <v>#VALUE!</v>
      </c>
      <c r="S431" s="6" t="e">
        <f t="shared" si="59"/>
        <v>#VALUE!</v>
      </c>
      <c r="T431" s="6" t="e">
        <f t="shared" si="60"/>
        <v>#VALUE!</v>
      </c>
      <c r="U431" s="2" t="e">
        <f t="shared" si="61"/>
        <v>#VALUE!</v>
      </c>
    </row>
    <row r="432" spans="2:21" x14ac:dyDescent="0.3">
      <c r="B432"/>
      <c r="C432"/>
      <c r="D432"/>
      <c r="E432"/>
      <c r="F432"/>
      <c r="G432"/>
      <c r="H432"/>
      <c r="I432"/>
      <c r="J432"/>
      <c r="O432" s="2" t="e">
        <f t="shared" ref="O432:O455" si="62">SUBSTITUTE(MID(A432,53,FIND("GBHS",A432)-54), ".", ",")</f>
        <v>#VALUE!</v>
      </c>
      <c r="P432" s="6" t="e">
        <f t="shared" ref="P432:P455" si="63">MID(O432,1,4)</f>
        <v>#VALUE!</v>
      </c>
      <c r="Q432" s="6" t="e">
        <f t="shared" ref="Q432:Q455" si="64">MID(O432,6,4)</f>
        <v>#VALUE!</v>
      </c>
      <c r="R432" s="6" t="e">
        <f t="shared" ref="R432:R455" si="65">MID(O432,11,4)</f>
        <v>#VALUE!</v>
      </c>
      <c r="S432" s="6" t="e">
        <f t="shared" ref="S432:S455" si="66">MID(O432,16,4)</f>
        <v>#VALUE!</v>
      </c>
      <c r="T432" s="6" t="e">
        <f t="shared" ref="T432:T455" si="67">MID(O432,21,4)</f>
        <v>#VALUE!</v>
      </c>
      <c r="U432" s="2" t="e">
        <f t="shared" si="61"/>
        <v>#VALUE!</v>
      </c>
    </row>
    <row r="433" spans="2:21" x14ac:dyDescent="0.3">
      <c r="B433"/>
      <c r="C433"/>
      <c r="D433"/>
      <c r="E433"/>
      <c r="F433"/>
      <c r="G433"/>
      <c r="H433"/>
      <c r="I433"/>
      <c r="J433"/>
      <c r="O433" s="2" t="e">
        <f t="shared" si="62"/>
        <v>#VALUE!</v>
      </c>
      <c r="P433" s="6" t="e">
        <f t="shared" si="63"/>
        <v>#VALUE!</v>
      </c>
      <c r="Q433" s="6" t="e">
        <f t="shared" si="64"/>
        <v>#VALUE!</v>
      </c>
      <c r="R433" s="6" t="e">
        <f t="shared" si="65"/>
        <v>#VALUE!</v>
      </c>
      <c r="S433" s="6" t="e">
        <f t="shared" si="66"/>
        <v>#VALUE!</v>
      </c>
      <c r="T433" s="6" t="e">
        <f t="shared" si="67"/>
        <v>#VALUE!</v>
      </c>
      <c r="U433" s="2" t="e">
        <f t="shared" si="61"/>
        <v>#VALUE!</v>
      </c>
    </row>
    <row r="434" spans="2:21" x14ac:dyDescent="0.3">
      <c r="B434"/>
      <c r="C434"/>
      <c r="D434"/>
      <c r="E434"/>
      <c r="F434"/>
      <c r="G434"/>
      <c r="H434"/>
      <c r="I434"/>
      <c r="J434"/>
      <c r="O434" s="2" t="e">
        <f t="shared" si="62"/>
        <v>#VALUE!</v>
      </c>
      <c r="P434" s="6" t="e">
        <f t="shared" si="63"/>
        <v>#VALUE!</v>
      </c>
      <c r="Q434" s="6" t="e">
        <f t="shared" si="64"/>
        <v>#VALUE!</v>
      </c>
      <c r="R434" s="6" t="e">
        <f t="shared" si="65"/>
        <v>#VALUE!</v>
      </c>
      <c r="S434" s="6" t="e">
        <f t="shared" si="66"/>
        <v>#VALUE!</v>
      </c>
      <c r="T434" s="6" t="e">
        <f t="shared" si="67"/>
        <v>#VALUE!</v>
      </c>
      <c r="U434" s="2" t="e">
        <f t="shared" si="61"/>
        <v>#VALUE!</v>
      </c>
    </row>
    <row r="435" spans="2:21" x14ac:dyDescent="0.3">
      <c r="B435"/>
      <c r="C435"/>
      <c r="D435"/>
      <c r="E435"/>
      <c r="F435"/>
      <c r="G435"/>
      <c r="H435"/>
      <c r="I435"/>
      <c r="J435"/>
      <c r="O435" s="2" t="e">
        <f t="shared" si="62"/>
        <v>#VALUE!</v>
      </c>
      <c r="P435" s="6" t="e">
        <f t="shared" si="63"/>
        <v>#VALUE!</v>
      </c>
      <c r="Q435" s="6" t="e">
        <f t="shared" si="64"/>
        <v>#VALUE!</v>
      </c>
      <c r="R435" s="6" t="e">
        <f t="shared" si="65"/>
        <v>#VALUE!</v>
      </c>
      <c r="S435" s="6" t="e">
        <f t="shared" si="66"/>
        <v>#VALUE!</v>
      </c>
      <c r="T435" s="6" t="e">
        <f t="shared" si="67"/>
        <v>#VALUE!</v>
      </c>
      <c r="U435" s="2" t="e">
        <f t="shared" si="61"/>
        <v>#VALUE!</v>
      </c>
    </row>
    <row r="436" spans="2:21" x14ac:dyDescent="0.3">
      <c r="B436"/>
      <c r="C436"/>
      <c r="D436"/>
      <c r="E436"/>
      <c r="F436"/>
      <c r="G436"/>
      <c r="H436"/>
      <c r="I436"/>
      <c r="J436"/>
      <c r="O436" s="2" t="e">
        <f t="shared" si="62"/>
        <v>#VALUE!</v>
      </c>
      <c r="P436" s="6" t="e">
        <f t="shared" si="63"/>
        <v>#VALUE!</v>
      </c>
      <c r="Q436" s="6" t="e">
        <f t="shared" si="64"/>
        <v>#VALUE!</v>
      </c>
      <c r="R436" s="6" t="e">
        <f t="shared" si="65"/>
        <v>#VALUE!</v>
      </c>
      <c r="S436" s="6" t="e">
        <f t="shared" si="66"/>
        <v>#VALUE!</v>
      </c>
      <c r="T436" s="6" t="e">
        <f t="shared" si="67"/>
        <v>#VALUE!</v>
      </c>
      <c r="U436" s="2" t="e">
        <f t="shared" si="61"/>
        <v>#VALUE!</v>
      </c>
    </row>
    <row r="437" spans="2:21" x14ac:dyDescent="0.3">
      <c r="B437"/>
      <c r="C437"/>
      <c r="D437"/>
      <c r="E437" s="4"/>
      <c r="F437"/>
      <c r="G437"/>
      <c r="H437"/>
      <c r="I437"/>
      <c r="J437"/>
      <c r="K437" s="7"/>
      <c r="L437" s="7"/>
      <c r="M437" s="7"/>
      <c r="O437" s="2" t="e">
        <f t="shared" si="62"/>
        <v>#VALUE!</v>
      </c>
      <c r="P437" s="6" t="e">
        <f t="shared" si="63"/>
        <v>#VALUE!</v>
      </c>
      <c r="Q437" s="6" t="e">
        <f t="shared" si="64"/>
        <v>#VALUE!</v>
      </c>
      <c r="R437" s="6" t="e">
        <f t="shared" si="65"/>
        <v>#VALUE!</v>
      </c>
      <c r="S437" s="6" t="e">
        <f t="shared" si="66"/>
        <v>#VALUE!</v>
      </c>
      <c r="T437" s="6" t="e">
        <f t="shared" si="67"/>
        <v>#VALUE!</v>
      </c>
      <c r="U437" s="2" t="e">
        <f t="shared" si="61"/>
        <v>#VALUE!</v>
      </c>
    </row>
    <row r="438" spans="2:21" x14ac:dyDescent="0.3">
      <c r="B438"/>
      <c r="C438"/>
      <c r="D438"/>
      <c r="E438" s="4"/>
      <c r="F438"/>
      <c r="G438"/>
      <c r="H438"/>
      <c r="I438"/>
      <c r="J438"/>
      <c r="K438" s="7"/>
      <c r="L438" s="7"/>
      <c r="M438" s="7"/>
      <c r="O438" s="2" t="e">
        <f t="shared" si="62"/>
        <v>#VALUE!</v>
      </c>
      <c r="P438" s="6" t="e">
        <f t="shared" si="63"/>
        <v>#VALUE!</v>
      </c>
      <c r="Q438" s="6" t="e">
        <f t="shared" si="64"/>
        <v>#VALUE!</v>
      </c>
      <c r="R438" s="6" t="e">
        <f t="shared" si="65"/>
        <v>#VALUE!</v>
      </c>
      <c r="S438" s="6" t="e">
        <f t="shared" si="66"/>
        <v>#VALUE!</v>
      </c>
      <c r="T438" s="6" t="e">
        <f t="shared" si="67"/>
        <v>#VALUE!</v>
      </c>
      <c r="U438" s="2" t="e">
        <f t="shared" si="61"/>
        <v>#VALUE!</v>
      </c>
    </row>
    <row r="439" spans="2:21" x14ac:dyDescent="0.3">
      <c r="B439"/>
      <c r="C439"/>
      <c r="D439"/>
      <c r="E439"/>
      <c r="F439"/>
      <c r="G439"/>
      <c r="H439"/>
      <c r="I439"/>
      <c r="J439"/>
      <c r="O439" s="2" t="e">
        <f t="shared" si="62"/>
        <v>#VALUE!</v>
      </c>
      <c r="P439" s="6" t="e">
        <f t="shared" si="63"/>
        <v>#VALUE!</v>
      </c>
      <c r="Q439" s="6" t="e">
        <f t="shared" si="64"/>
        <v>#VALUE!</v>
      </c>
      <c r="R439" s="6" t="e">
        <f t="shared" si="65"/>
        <v>#VALUE!</v>
      </c>
      <c r="S439" s="6" t="e">
        <f t="shared" si="66"/>
        <v>#VALUE!</v>
      </c>
      <c r="T439" s="6" t="e">
        <f t="shared" si="67"/>
        <v>#VALUE!</v>
      </c>
      <c r="U439" s="2" t="e">
        <f t="shared" si="61"/>
        <v>#VALUE!</v>
      </c>
    </row>
    <row r="440" spans="2:21" x14ac:dyDescent="0.3">
      <c r="B440"/>
      <c r="C440"/>
      <c r="D440"/>
      <c r="E440"/>
      <c r="F440"/>
      <c r="G440"/>
      <c r="H440"/>
      <c r="I440"/>
      <c r="J440"/>
      <c r="O440" s="2" t="e">
        <f t="shared" si="62"/>
        <v>#VALUE!</v>
      </c>
      <c r="P440" s="6" t="e">
        <f t="shared" si="63"/>
        <v>#VALUE!</v>
      </c>
      <c r="Q440" s="6" t="e">
        <f t="shared" si="64"/>
        <v>#VALUE!</v>
      </c>
      <c r="R440" s="6" t="e">
        <f t="shared" si="65"/>
        <v>#VALUE!</v>
      </c>
      <c r="S440" s="6" t="e">
        <f t="shared" si="66"/>
        <v>#VALUE!</v>
      </c>
      <c r="T440" s="6" t="e">
        <f t="shared" si="67"/>
        <v>#VALUE!</v>
      </c>
      <c r="U440" s="2" t="e">
        <f t="shared" si="61"/>
        <v>#VALUE!</v>
      </c>
    </row>
    <row r="441" spans="2:21" x14ac:dyDescent="0.3">
      <c r="B441"/>
      <c r="C441"/>
      <c r="D441"/>
      <c r="E441"/>
      <c r="F441"/>
      <c r="G441"/>
      <c r="H441"/>
      <c r="I441"/>
      <c r="J441"/>
      <c r="O441" s="2" t="e">
        <f t="shared" si="62"/>
        <v>#VALUE!</v>
      </c>
      <c r="P441" s="6" t="e">
        <f t="shared" si="63"/>
        <v>#VALUE!</v>
      </c>
      <c r="Q441" s="6" t="e">
        <f t="shared" si="64"/>
        <v>#VALUE!</v>
      </c>
      <c r="R441" s="6" t="e">
        <f t="shared" si="65"/>
        <v>#VALUE!</v>
      </c>
      <c r="S441" s="6" t="e">
        <f t="shared" si="66"/>
        <v>#VALUE!</v>
      </c>
      <c r="T441" s="6" t="e">
        <f t="shared" si="67"/>
        <v>#VALUE!</v>
      </c>
      <c r="U441" s="2" t="e">
        <f t="shared" si="61"/>
        <v>#VALUE!</v>
      </c>
    </row>
    <row r="442" spans="2:21" x14ac:dyDescent="0.3">
      <c r="B442"/>
      <c r="C442"/>
      <c r="D442"/>
      <c r="E442"/>
      <c r="F442"/>
      <c r="G442"/>
      <c r="H442"/>
      <c r="I442"/>
      <c r="J442"/>
      <c r="O442" s="2" t="e">
        <f t="shared" si="62"/>
        <v>#VALUE!</v>
      </c>
      <c r="P442" s="6" t="e">
        <f t="shared" si="63"/>
        <v>#VALUE!</v>
      </c>
      <c r="Q442" s="6" t="e">
        <f t="shared" si="64"/>
        <v>#VALUE!</v>
      </c>
      <c r="R442" s="6" t="e">
        <f t="shared" si="65"/>
        <v>#VALUE!</v>
      </c>
      <c r="S442" s="6" t="e">
        <f t="shared" si="66"/>
        <v>#VALUE!</v>
      </c>
      <c r="T442" s="6" t="e">
        <f t="shared" si="67"/>
        <v>#VALUE!</v>
      </c>
      <c r="U442" s="2" t="e">
        <f t="shared" si="61"/>
        <v>#VALUE!</v>
      </c>
    </row>
    <row r="443" spans="2:21" x14ac:dyDescent="0.3">
      <c r="B443"/>
      <c r="C443"/>
      <c r="D443"/>
      <c r="E443"/>
      <c r="F443"/>
      <c r="G443"/>
      <c r="H443"/>
      <c r="I443"/>
      <c r="J443"/>
      <c r="O443" s="2" t="e">
        <f t="shared" si="62"/>
        <v>#VALUE!</v>
      </c>
      <c r="P443" s="6" t="e">
        <f t="shared" si="63"/>
        <v>#VALUE!</v>
      </c>
      <c r="Q443" s="6" t="e">
        <f t="shared" si="64"/>
        <v>#VALUE!</v>
      </c>
      <c r="R443" s="6" t="e">
        <f t="shared" si="65"/>
        <v>#VALUE!</v>
      </c>
      <c r="S443" s="6" t="e">
        <f t="shared" si="66"/>
        <v>#VALUE!</v>
      </c>
      <c r="T443" s="6" t="e">
        <f t="shared" si="67"/>
        <v>#VALUE!</v>
      </c>
      <c r="U443" s="2" t="e">
        <f t="shared" si="61"/>
        <v>#VALUE!</v>
      </c>
    </row>
    <row r="444" spans="2:21" x14ac:dyDescent="0.3">
      <c r="B444"/>
      <c r="C444"/>
      <c r="D444"/>
      <c r="E444"/>
      <c r="F444"/>
      <c r="G444"/>
      <c r="H444"/>
      <c r="I444"/>
      <c r="J444"/>
      <c r="O444" s="2" t="e">
        <f t="shared" si="62"/>
        <v>#VALUE!</v>
      </c>
      <c r="P444" s="6" t="e">
        <f t="shared" si="63"/>
        <v>#VALUE!</v>
      </c>
      <c r="Q444" s="6" t="e">
        <f t="shared" si="64"/>
        <v>#VALUE!</v>
      </c>
      <c r="R444" s="6" t="e">
        <f t="shared" si="65"/>
        <v>#VALUE!</v>
      </c>
      <c r="S444" s="6" t="e">
        <f t="shared" si="66"/>
        <v>#VALUE!</v>
      </c>
      <c r="T444" s="6" t="e">
        <f t="shared" si="67"/>
        <v>#VALUE!</v>
      </c>
      <c r="U444" s="2" t="e">
        <f t="shared" si="61"/>
        <v>#VALUE!</v>
      </c>
    </row>
    <row r="445" spans="2:21" x14ac:dyDescent="0.3">
      <c r="B445"/>
      <c r="C445"/>
      <c r="D445"/>
      <c r="E445"/>
      <c r="F445"/>
      <c r="G445"/>
      <c r="H445"/>
      <c r="I445"/>
      <c r="J445"/>
      <c r="O445" s="2" t="e">
        <f t="shared" si="62"/>
        <v>#VALUE!</v>
      </c>
      <c r="P445" s="6" t="e">
        <f t="shared" si="63"/>
        <v>#VALUE!</v>
      </c>
      <c r="Q445" s="6" t="e">
        <f t="shared" si="64"/>
        <v>#VALUE!</v>
      </c>
      <c r="R445" s="6" t="e">
        <f t="shared" si="65"/>
        <v>#VALUE!</v>
      </c>
      <c r="S445" s="6" t="e">
        <f t="shared" si="66"/>
        <v>#VALUE!</v>
      </c>
      <c r="T445" s="6" t="e">
        <f t="shared" si="67"/>
        <v>#VALUE!</v>
      </c>
      <c r="U445" s="2" t="e">
        <f t="shared" si="61"/>
        <v>#VALUE!</v>
      </c>
    </row>
    <row r="446" spans="2:21" x14ac:dyDescent="0.3">
      <c r="B446" s="4"/>
      <c r="C446" s="4"/>
      <c r="D446" s="4"/>
      <c r="E446" s="4"/>
      <c r="F446"/>
      <c r="G446"/>
      <c r="H446"/>
      <c r="I446"/>
      <c r="J446"/>
      <c r="O446" s="2" t="e">
        <f t="shared" si="62"/>
        <v>#VALUE!</v>
      </c>
      <c r="P446" s="6" t="e">
        <f t="shared" si="63"/>
        <v>#VALUE!</v>
      </c>
      <c r="Q446" s="6" t="e">
        <f t="shared" si="64"/>
        <v>#VALUE!</v>
      </c>
      <c r="R446" s="6" t="e">
        <f t="shared" si="65"/>
        <v>#VALUE!</v>
      </c>
      <c r="S446" s="6" t="e">
        <f t="shared" si="66"/>
        <v>#VALUE!</v>
      </c>
      <c r="T446" s="6" t="e">
        <f t="shared" si="67"/>
        <v>#VALUE!</v>
      </c>
      <c r="U446" s="2" t="e">
        <f t="shared" si="61"/>
        <v>#VALUE!</v>
      </c>
    </row>
    <row r="447" spans="2:21" x14ac:dyDescent="0.3">
      <c r="B447" s="4"/>
      <c r="C447" s="4"/>
      <c r="D447" s="4"/>
      <c r="E447" s="4"/>
      <c r="F447"/>
      <c r="G447"/>
      <c r="H447"/>
      <c r="I447"/>
      <c r="J447"/>
      <c r="O447" s="2" t="e">
        <f t="shared" si="62"/>
        <v>#VALUE!</v>
      </c>
      <c r="P447" s="6" t="e">
        <f t="shared" si="63"/>
        <v>#VALUE!</v>
      </c>
      <c r="Q447" s="6" t="e">
        <f t="shared" si="64"/>
        <v>#VALUE!</v>
      </c>
      <c r="R447" s="6" t="e">
        <f t="shared" si="65"/>
        <v>#VALUE!</v>
      </c>
      <c r="S447" s="6" t="e">
        <f t="shared" si="66"/>
        <v>#VALUE!</v>
      </c>
      <c r="T447" s="6" t="e">
        <f t="shared" si="67"/>
        <v>#VALUE!</v>
      </c>
      <c r="U447" s="2" t="e">
        <f t="shared" si="61"/>
        <v>#VALUE!</v>
      </c>
    </row>
    <row r="448" spans="2:21" x14ac:dyDescent="0.3">
      <c r="B448"/>
      <c r="C448"/>
      <c r="D448"/>
      <c r="E448"/>
      <c r="F448"/>
      <c r="G448"/>
      <c r="H448"/>
      <c r="I448"/>
      <c r="J448"/>
      <c r="O448" s="2" t="e">
        <f t="shared" si="62"/>
        <v>#VALUE!</v>
      </c>
      <c r="P448" s="6" t="e">
        <f t="shared" si="63"/>
        <v>#VALUE!</v>
      </c>
      <c r="Q448" s="6" t="e">
        <f t="shared" si="64"/>
        <v>#VALUE!</v>
      </c>
      <c r="R448" s="6" t="e">
        <f t="shared" si="65"/>
        <v>#VALUE!</v>
      </c>
      <c r="S448" s="6" t="e">
        <f t="shared" si="66"/>
        <v>#VALUE!</v>
      </c>
      <c r="T448" s="6" t="e">
        <f t="shared" si="67"/>
        <v>#VALUE!</v>
      </c>
      <c r="U448" s="2" t="e">
        <f t="shared" si="61"/>
        <v>#VALUE!</v>
      </c>
    </row>
    <row r="449" spans="2:21" x14ac:dyDescent="0.3">
      <c r="B449"/>
      <c r="C449"/>
      <c r="D449"/>
      <c r="E449"/>
      <c r="F449"/>
      <c r="G449"/>
      <c r="H449"/>
      <c r="I449"/>
      <c r="J449"/>
      <c r="O449" s="2" t="e">
        <f t="shared" si="62"/>
        <v>#VALUE!</v>
      </c>
      <c r="P449" s="6" t="e">
        <f t="shared" si="63"/>
        <v>#VALUE!</v>
      </c>
      <c r="Q449" s="6" t="e">
        <f t="shared" si="64"/>
        <v>#VALUE!</v>
      </c>
      <c r="R449" s="6" t="e">
        <f t="shared" si="65"/>
        <v>#VALUE!</v>
      </c>
      <c r="S449" s="6" t="e">
        <f t="shared" si="66"/>
        <v>#VALUE!</v>
      </c>
      <c r="T449" s="6" t="e">
        <f t="shared" si="67"/>
        <v>#VALUE!</v>
      </c>
      <c r="U449" s="2" t="e">
        <f t="shared" ref="U449:U512" si="68">SUBSTITUTE(CONCATENATE("&lt;Parametros&gt;","&lt;Alfa&gt;",P449,"&lt;/Alfa&gt;","&lt;Beta&gt;",Q449,"&lt;/Beta&gt;","&lt;Gamma&gt;",R449,"&lt;/Gamma&gt;","&lt;Delta&gt;",S449,"&lt;/Delta&gt;","&lt;Ro&gt;",T449,"&lt;/Ro&gt;","&lt;/Parametros&gt;"),",",".")</f>
        <v>#VALUE!</v>
      </c>
    </row>
    <row r="450" spans="2:21" x14ac:dyDescent="0.3">
      <c r="B450" s="4"/>
      <c r="C450" s="4"/>
      <c r="D450" s="4"/>
      <c r="E450" s="4"/>
      <c r="F450"/>
      <c r="G450"/>
      <c r="H450"/>
      <c r="I450"/>
      <c r="J450"/>
      <c r="O450" s="2" t="e">
        <f t="shared" si="62"/>
        <v>#VALUE!</v>
      </c>
      <c r="P450" s="6" t="e">
        <f t="shared" si="63"/>
        <v>#VALUE!</v>
      </c>
      <c r="Q450" s="6" t="e">
        <f t="shared" si="64"/>
        <v>#VALUE!</v>
      </c>
      <c r="R450" s="6" t="e">
        <f t="shared" si="65"/>
        <v>#VALUE!</v>
      </c>
      <c r="S450" s="6" t="e">
        <f t="shared" si="66"/>
        <v>#VALUE!</v>
      </c>
      <c r="T450" s="6" t="e">
        <f t="shared" si="67"/>
        <v>#VALUE!</v>
      </c>
      <c r="U450" s="2" t="e">
        <f t="shared" si="68"/>
        <v>#VALUE!</v>
      </c>
    </row>
    <row r="451" spans="2:21" x14ac:dyDescent="0.3">
      <c r="B451"/>
      <c r="C451"/>
      <c r="D451"/>
      <c r="E451"/>
      <c r="F451"/>
      <c r="G451"/>
      <c r="H451"/>
      <c r="I451"/>
      <c r="J451"/>
      <c r="O451" s="2" t="e">
        <f t="shared" si="62"/>
        <v>#VALUE!</v>
      </c>
      <c r="P451" s="6" t="e">
        <f t="shared" si="63"/>
        <v>#VALUE!</v>
      </c>
      <c r="Q451" s="6" t="e">
        <f t="shared" si="64"/>
        <v>#VALUE!</v>
      </c>
      <c r="R451" s="6" t="e">
        <f t="shared" si="65"/>
        <v>#VALUE!</v>
      </c>
      <c r="S451" s="6" t="e">
        <f t="shared" si="66"/>
        <v>#VALUE!</v>
      </c>
      <c r="T451" s="6" t="e">
        <f t="shared" si="67"/>
        <v>#VALUE!</v>
      </c>
      <c r="U451" s="2" t="e">
        <f t="shared" si="68"/>
        <v>#VALUE!</v>
      </c>
    </row>
    <row r="452" spans="2:21" x14ac:dyDescent="0.3">
      <c r="B452"/>
      <c r="C452"/>
      <c r="D452"/>
      <c r="E452"/>
      <c r="F452"/>
      <c r="G452"/>
      <c r="H452"/>
      <c r="I452"/>
      <c r="J452"/>
      <c r="O452" s="2" t="e">
        <f t="shared" si="62"/>
        <v>#VALUE!</v>
      </c>
      <c r="P452" s="6" t="e">
        <f t="shared" si="63"/>
        <v>#VALUE!</v>
      </c>
      <c r="Q452" s="6" t="e">
        <f t="shared" si="64"/>
        <v>#VALUE!</v>
      </c>
      <c r="R452" s="6" t="e">
        <f t="shared" si="65"/>
        <v>#VALUE!</v>
      </c>
      <c r="S452" s="6" t="e">
        <f t="shared" si="66"/>
        <v>#VALUE!</v>
      </c>
      <c r="T452" s="6" t="e">
        <f t="shared" si="67"/>
        <v>#VALUE!</v>
      </c>
      <c r="U452" s="2" t="e">
        <f t="shared" si="68"/>
        <v>#VALUE!</v>
      </c>
    </row>
    <row r="453" spans="2:21" x14ac:dyDescent="0.3">
      <c r="B453"/>
      <c r="C453"/>
      <c r="D453"/>
      <c r="E453"/>
      <c r="F453"/>
      <c r="G453"/>
      <c r="H453"/>
      <c r="I453"/>
      <c r="J453"/>
      <c r="O453" s="2" t="e">
        <f t="shared" si="62"/>
        <v>#VALUE!</v>
      </c>
      <c r="P453" s="6" t="e">
        <f t="shared" si="63"/>
        <v>#VALUE!</v>
      </c>
      <c r="Q453" s="6" t="e">
        <f t="shared" si="64"/>
        <v>#VALUE!</v>
      </c>
      <c r="R453" s="6" t="e">
        <f t="shared" si="65"/>
        <v>#VALUE!</v>
      </c>
      <c r="S453" s="6" t="e">
        <f t="shared" si="66"/>
        <v>#VALUE!</v>
      </c>
      <c r="T453" s="6" t="e">
        <f t="shared" si="67"/>
        <v>#VALUE!</v>
      </c>
      <c r="U453" s="2" t="e">
        <f t="shared" si="68"/>
        <v>#VALUE!</v>
      </c>
    </row>
    <row r="454" spans="2:21" x14ac:dyDescent="0.3">
      <c r="B454"/>
      <c r="C454"/>
      <c r="D454"/>
      <c r="E454"/>
      <c r="F454"/>
      <c r="G454"/>
      <c r="H454"/>
      <c r="I454"/>
      <c r="J454"/>
      <c r="O454" s="2" t="e">
        <f t="shared" si="62"/>
        <v>#VALUE!</v>
      </c>
      <c r="P454" s="6" t="e">
        <f t="shared" si="63"/>
        <v>#VALUE!</v>
      </c>
      <c r="Q454" s="6" t="e">
        <f t="shared" si="64"/>
        <v>#VALUE!</v>
      </c>
      <c r="R454" s="6" t="e">
        <f t="shared" si="65"/>
        <v>#VALUE!</v>
      </c>
      <c r="S454" s="6" t="e">
        <f t="shared" si="66"/>
        <v>#VALUE!</v>
      </c>
      <c r="T454" s="6" t="e">
        <f t="shared" si="67"/>
        <v>#VALUE!</v>
      </c>
      <c r="U454" s="2" t="e">
        <f t="shared" si="68"/>
        <v>#VALUE!</v>
      </c>
    </row>
    <row r="455" spans="2:21" x14ac:dyDescent="0.3">
      <c r="B455"/>
      <c r="C455"/>
      <c r="D455"/>
      <c r="E455"/>
      <c r="F455"/>
      <c r="G455"/>
      <c r="H455"/>
      <c r="I455"/>
      <c r="J455"/>
      <c r="O455" s="2" t="e">
        <f t="shared" si="62"/>
        <v>#VALUE!</v>
      </c>
      <c r="P455" s="6" t="e">
        <f t="shared" si="63"/>
        <v>#VALUE!</v>
      </c>
      <c r="Q455" s="6" t="e">
        <f t="shared" si="64"/>
        <v>#VALUE!</v>
      </c>
      <c r="R455" s="6" t="e">
        <f t="shared" si="65"/>
        <v>#VALUE!</v>
      </c>
      <c r="S455" s="6" t="e">
        <f t="shared" si="66"/>
        <v>#VALUE!</v>
      </c>
      <c r="T455" s="6" t="e">
        <f t="shared" si="67"/>
        <v>#VALUE!</v>
      </c>
      <c r="U455" s="2" t="e">
        <f t="shared" si="68"/>
        <v>#VALUE!</v>
      </c>
    </row>
    <row r="456" spans="2:21" x14ac:dyDescent="0.3">
      <c r="B456"/>
      <c r="C456"/>
      <c r="D456"/>
      <c r="E456"/>
      <c r="F456"/>
      <c r="G456"/>
      <c r="H456"/>
      <c r="I456"/>
      <c r="J456"/>
      <c r="O456" s="2" t="e">
        <f t="shared" ref="O456:O519" si="69">SUBSTITUTE(MID(A456,53,FIND("GBHS",A456)-54), ".", ",")</f>
        <v>#VALUE!</v>
      </c>
      <c r="P456" s="6" t="e">
        <f t="shared" ref="P456:P519" si="70">MID(O456,1,4)</f>
        <v>#VALUE!</v>
      </c>
      <c r="Q456" s="6" t="e">
        <f t="shared" ref="Q456:Q519" si="71">MID(O456,6,4)</f>
        <v>#VALUE!</v>
      </c>
      <c r="R456" s="6" t="e">
        <f t="shared" ref="R456:R519" si="72">MID(O456,11,4)</f>
        <v>#VALUE!</v>
      </c>
      <c r="S456" s="6" t="e">
        <f t="shared" ref="S456:S519" si="73">MID(O456,16,4)</f>
        <v>#VALUE!</v>
      </c>
      <c r="T456" s="6" t="e">
        <f t="shared" ref="T456:T519" si="74">MID(O456,21,4)</f>
        <v>#VALUE!</v>
      </c>
      <c r="U456" s="2" t="e">
        <f t="shared" si="68"/>
        <v>#VALUE!</v>
      </c>
    </row>
    <row r="457" spans="2:21" x14ac:dyDescent="0.3">
      <c r="B457"/>
      <c r="C457"/>
      <c r="D457"/>
      <c r="E457"/>
      <c r="F457"/>
      <c r="G457"/>
      <c r="H457"/>
      <c r="I457"/>
      <c r="J457"/>
      <c r="O457" s="2" t="e">
        <f t="shared" si="69"/>
        <v>#VALUE!</v>
      </c>
      <c r="P457" s="6" t="e">
        <f t="shared" si="70"/>
        <v>#VALUE!</v>
      </c>
      <c r="Q457" s="6" t="e">
        <f t="shared" si="71"/>
        <v>#VALUE!</v>
      </c>
      <c r="R457" s="6" t="e">
        <f t="shared" si="72"/>
        <v>#VALUE!</v>
      </c>
      <c r="S457" s="6" t="e">
        <f t="shared" si="73"/>
        <v>#VALUE!</v>
      </c>
      <c r="T457" s="6" t="e">
        <f t="shared" si="74"/>
        <v>#VALUE!</v>
      </c>
      <c r="U457" s="2" t="e">
        <f t="shared" si="68"/>
        <v>#VALUE!</v>
      </c>
    </row>
    <row r="458" spans="2:21" x14ac:dyDescent="0.3">
      <c r="B458"/>
      <c r="C458"/>
      <c r="D458"/>
      <c r="E458"/>
      <c r="F458"/>
      <c r="G458"/>
      <c r="H458"/>
      <c r="I458"/>
      <c r="J458"/>
      <c r="O458" s="2" t="e">
        <f t="shared" si="69"/>
        <v>#VALUE!</v>
      </c>
      <c r="P458" s="6" t="e">
        <f t="shared" si="70"/>
        <v>#VALUE!</v>
      </c>
      <c r="Q458" s="6" t="e">
        <f t="shared" si="71"/>
        <v>#VALUE!</v>
      </c>
      <c r="R458" s="6" t="e">
        <f t="shared" si="72"/>
        <v>#VALUE!</v>
      </c>
      <c r="S458" s="6" t="e">
        <f t="shared" si="73"/>
        <v>#VALUE!</v>
      </c>
      <c r="T458" s="6" t="e">
        <f t="shared" si="74"/>
        <v>#VALUE!</v>
      </c>
      <c r="U458" s="2" t="e">
        <f t="shared" si="68"/>
        <v>#VALUE!</v>
      </c>
    </row>
    <row r="459" spans="2:21" x14ac:dyDescent="0.3">
      <c r="B459"/>
      <c r="C459"/>
      <c r="D459"/>
      <c r="E459"/>
      <c r="F459"/>
      <c r="G459"/>
      <c r="H459"/>
      <c r="I459"/>
      <c r="J459"/>
      <c r="O459" s="2" t="e">
        <f t="shared" si="69"/>
        <v>#VALUE!</v>
      </c>
      <c r="P459" s="6" t="e">
        <f t="shared" si="70"/>
        <v>#VALUE!</v>
      </c>
      <c r="Q459" s="6" t="e">
        <f t="shared" si="71"/>
        <v>#VALUE!</v>
      </c>
      <c r="R459" s="6" t="e">
        <f t="shared" si="72"/>
        <v>#VALUE!</v>
      </c>
      <c r="S459" s="6" t="e">
        <f t="shared" si="73"/>
        <v>#VALUE!</v>
      </c>
      <c r="T459" s="6" t="e">
        <f t="shared" si="74"/>
        <v>#VALUE!</v>
      </c>
      <c r="U459" s="2" t="e">
        <f t="shared" si="68"/>
        <v>#VALUE!</v>
      </c>
    </row>
    <row r="460" spans="2:21" x14ac:dyDescent="0.3">
      <c r="B460"/>
      <c r="C460"/>
      <c r="D460"/>
      <c r="E460"/>
      <c r="F460"/>
      <c r="G460"/>
      <c r="H460"/>
      <c r="I460"/>
      <c r="J460"/>
      <c r="O460" s="2" t="e">
        <f t="shared" si="69"/>
        <v>#VALUE!</v>
      </c>
      <c r="P460" s="6" t="e">
        <f t="shared" si="70"/>
        <v>#VALUE!</v>
      </c>
      <c r="Q460" s="6" t="e">
        <f t="shared" si="71"/>
        <v>#VALUE!</v>
      </c>
      <c r="R460" s="6" t="e">
        <f t="shared" si="72"/>
        <v>#VALUE!</v>
      </c>
      <c r="S460" s="6" t="e">
        <f t="shared" si="73"/>
        <v>#VALUE!</v>
      </c>
      <c r="T460" s="6" t="e">
        <f t="shared" si="74"/>
        <v>#VALUE!</v>
      </c>
      <c r="U460" s="2" t="e">
        <f t="shared" si="68"/>
        <v>#VALUE!</v>
      </c>
    </row>
    <row r="461" spans="2:21" x14ac:dyDescent="0.3">
      <c r="B461" s="4"/>
      <c r="C461" s="4"/>
      <c r="D461" s="4"/>
      <c r="E461" s="4"/>
      <c r="F461"/>
      <c r="G461"/>
      <c r="H461"/>
      <c r="I461"/>
      <c r="J461"/>
      <c r="O461" s="2" t="e">
        <f t="shared" si="69"/>
        <v>#VALUE!</v>
      </c>
      <c r="P461" s="6" t="e">
        <f t="shared" si="70"/>
        <v>#VALUE!</v>
      </c>
      <c r="Q461" s="6" t="e">
        <f t="shared" si="71"/>
        <v>#VALUE!</v>
      </c>
      <c r="R461" s="6" t="e">
        <f t="shared" si="72"/>
        <v>#VALUE!</v>
      </c>
      <c r="S461" s="6" t="e">
        <f t="shared" si="73"/>
        <v>#VALUE!</v>
      </c>
      <c r="T461" s="6" t="e">
        <f t="shared" si="74"/>
        <v>#VALUE!</v>
      </c>
      <c r="U461" s="2" t="e">
        <f t="shared" si="68"/>
        <v>#VALUE!</v>
      </c>
    </row>
    <row r="462" spans="2:21" x14ac:dyDescent="0.3">
      <c r="B462"/>
      <c r="C462"/>
      <c r="D462"/>
      <c r="E462"/>
      <c r="F462"/>
      <c r="G462"/>
      <c r="H462"/>
      <c r="I462"/>
      <c r="J462"/>
      <c r="O462" s="2" t="e">
        <f t="shared" si="69"/>
        <v>#VALUE!</v>
      </c>
      <c r="P462" s="6" t="e">
        <f t="shared" si="70"/>
        <v>#VALUE!</v>
      </c>
      <c r="Q462" s="6" t="e">
        <f t="shared" si="71"/>
        <v>#VALUE!</v>
      </c>
      <c r="R462" s="6" t="e">
        <f t="shared" si="72"/>
        <v>#VALUE!</v>
      </c>
      <c r="S462" s="6" t="e">
        <f t="shared" si="73"/>
        <v>#VALUE!</v>
      </c>
      <c r="T462" s="6" t="e">
        <f t="shared" si="74"/>
        <v>#VALUE!</v>
      </c>
      <c r="U462" s="2" t="e">
        <f t="shared" si="68"/>
        <v>#VALUE!</v>
      </c>
    </row>
    <row r="463" spans="2:21" x14ac:dyDescent="0.3">
      <c r="B463" s="4"/>
      <c r="C463" s="4"/>
      <c r="D463" s="4"/>
      <c r="E463" s="4"/>
      <c r="F463"/>
      <c r="G463"/>
      <c r="H463"/>
      <c r="I463"/>
      <c r="J463"/>
      <c r="O463" s="2" t="e">
        <f t="shared" si="69"/>
        <v>#VALUE!</v>
      </c>
      <c r="P463" s="6" t="e">
        <f t="shared" si="70"/>
        <v>#VALUE!</v>
      </c>
      <c r="Q463" s="6" t="e">
        <f t="shared" si="71"/>
        <v>#VALUE!</v>
      </c>
      <c r="R463" s="6" t="e">
        <f t="shared" si="72"/>
        <v>#VALUE!</v>
      </c>
      <c r="S463" s="6" t="e">
        <f t="shared" si="73"/>
        <v>#VALUE!</v>
      </c>
      <c r="T463" s="6" t="e">
        <f t="shared" si="74"/>
        <v>#VALUE!</v>
      </c>
      <c r="U463" s="2" t="e">
        <f t="shared" si="68"/>
        <v>#VALUE!</v>
      </c>
    </row>
    <row r="464" spans="2:21" x14ac:dyDescent="0.3">
      <c r="B464"/>
      <c r="C464"/>
      <c r="D464"/>
      <c r="E464" s="4"/>
      <c r="F464"/>
      <c r="G464"/>
      <c r="H464"/>
      <c r="I464"/>
      <c r="J464"/>
      <c r="K464" s="1"/>
      <c r="L464" s="1"/>
      <c r="M464" s="1"/>
      <c r="O464" s="2" t="e">
        <f t="shared" si="69"/>
        <v>#VALUE!</v>
      </c>
      <c r="P464" s="6" t="e">
        <f t="shared" si="70"/>
        <v>#VALUE!</v>
      </c>
      <c r="Q464" s="6" t="e">
        <f t="shared" si="71"/>
        <v>#VALUE!</v>
      </c>
      <c r="R464" s="6" t="e">
        <f t="shared" si="72"/>
        <v>#VALUE!</v>
      </c>
      <c r="S464" s="6" t="e">
        <f t="shared" si="73"/>
        <v>#VALUE!</v>
      </c>
      <c r="T464" s="6" t="e">
        <f t="shared" si="74"/>
        <v>#VALUE!</v>
      </c>
      <c r="U464" s="2" t="e">
        <f t="shared" si="68"/>
        <v>#VALUE!</v>
      </c>
    </row>
    <row r="465" spans="2:21" x14ac:dyDescent="0.3">
      <c r="B465"/>
      <c r="C465"/>
      <c r="D465"/>
      <c r="E465"/>
      <c r="F465"/>
      <c r="G465"/>
      <c r="H465"/>
      <c r="I465"/>
      <c r="J465"/>
      <c r="O465" s="2" t="e">
        <f t="shared" si="69"/>
        <v>#VALUE!</v>
      </c>
      <c r="P465" s="6" t="e">
        <f t="shared" si="70"/>
        <v>#VALUE!</v>
      </c>
      <c r="Q465" s="6" t="e">
        <f t="shared" si="71"/>
        <v>#VALUE!</v>
      </c>
      <c r="R465" s="6" t="e">
        <f t="shared" si="72"/>
        <v>#VALUE!</v>
      </c>
      <c r="S465" s="6" t="e">
        <f t="shared" si="73"/>
        <v>#VALUE!</v>
      </c>
      <c r="T465" s="6" t="e">
        <f t="shared" si="74"/>
        <v>#VALUE!</v>
      </c>
      <c r="U465" s="2" t="e">
        <f t="shared" si="68"/>
        <v>#VALUE!</v>
      </c>
    </row>
    <row r="466" spans="2:21" x14ac:dyDescent="0.3">
      <c r="B466"/>
      <c r="C466"/>
      <c r="D466"/>
      <c r="E466"/>
      <c r="F466"/>
      <c r="G466"/>
      <c r="H466"/>
      <c r="I466"/>
      <c r="J466"/>
      <c r="O466" s="2" t="e">
        <f t="shared" si="69"/>
        <v>#VALUE!</v>
      </c>
      <c r="P466" s="6" t="e">
        <f t="shared" si="70"/>
        <v>#VALUE!</v>
      </c>
      <c r="Q466" s="6" t="e">
        <f t="shared" si="71"/>
        <v>#VALUE!</v>
      </c>
      <c r="R466" s="6" t="e">
        <f t="shared" si="72"/>
        <v>#VALUE!</v>
      </c>
      <c r="S466" s="6" t="e">
        <f t="shared" si="73"/>
        <v>#VALUE!</v>
      </c>
      <c r="T466" s="6" t="e">
        <f t="shared" si="74"/>
        <v>#VALUE!</v>
      </c>
      <c r="U466" s="2" t="e">
        <f t="shared" si="68"/>
        <v>#VALUE!</v>
      </c>
    </row>
    <row r="467" spans="2:21" x14ac:dyDescent="0.3">
      <c r="B467"/>
      <c r="C467"/>
      <c r="D467"/>
      <c r="E467"/>
      <c r="F467"/>
      <c r="G467"/>
      <c r="H467"/>
      <c r="I467"/>
      <c r="J467"/>
      <c r="O467" s="2" t="e">
        <f t="shared" si="69"/>
        <v>#VALUE!</v>
      </c>
      <c r="P467" s="6" t="e">
        <f t="shared" si="70"/>
        <v>#VALUE!</v>
      </c>
      <c r="Q467" s="6" t="e">
        <f t="shared" si="71"/>
        <v>#VALUE!</v>
      </c>
      <c r="R467" s="6" t="e">
        <f t="shared" si="72"/>
        <v>#VALUE!</v>
      </c>
      <c r="S467" s="6" t="e">
        <f t="shared" si="73"/>
        <v>#VALUE!</v>
      </c>
      <c r="T467" s="6" t="e">
        <f t="shared" si="74"/>
        <v>#VALUE!</v>
      </c>
      <c r="U467" s="2" t="e">
        <f t="shared" si="68"/>
        <v>#VALUE!</v>
      </c>
    </row>
    <row r="468" spans="2:21" x14ac:dyDescent="0.3">
      <c r="B468"/>
      <c r="C468"/>
      <c r="D468"/>
      <c r="E468"/>
      <c r="F468"/>
      <c r="G468"/>
      <c r="H468"/>
      <c r="I468"/>
      <c r="J468"/>
      <c r="O468" s="2" t="e">
        <f t="shared" si="69"/>
        <v>#VALUE!</v>
      </c>
      <c r="P468" s="6" t="e">
        <f t="shared" si="70"/>
        <v>#VALUE!</v>
      </c>
      <c r="Q468" s="6" t="e">
        <f t="shared" si="71"/>
        <v>#VALUE!</v>
      </c>
      <c r="R468" s="6" t="e">
        <f t="shared" si="72"/>
        <v>#VALUE!</v>
      </c>
      <c r="S468" s="6" t="e">
        <f t="shared" si="73"/>
        <v>#VALUE!</v>
      </c>
      <c r="T468" s="6" t="e">
        <f t="shared" si="74"/>
        <v>#VALUE!</v>
      </c>
      <c r="U468" s="2" t="e">
        <f t="shared" si="68"/>
        <v>#VALUE!</v>
      </c>
    </row>
    <row r="469" spans="2:21" x14ac:dyDescent="0.3">
      <c r="B469"/>
      <c r="C469"/>
      <c r="D469"/>
      <c r="E469"/>
      <c r="F469"/>
      <c r="G469"/>
      <c r="H469"/>
      <c r="I469"/>
      <c r="J469"/>
      <c r="O469" s="2" t="e">
        <f t="shared" si="69"/>
        <v>#VALUE!</v>
      </c>
      <c r="P469" s="6" t="e">
        <f t="shared" si="70"/>
        <v>#VALUE!</v>
      </c>
      <c r="Q469" s="6" t="e">
        <f t="shared" si="71"/>
        <v>#VALUE!</v>
      </c>
      <c r="R469" s="6" t="e">
        <f t="shared" si="72"/>
        <v>#VALUE!</v>
      </c>
      <c r="S469" s="6" t="e">
        <f t="shared" si="73"/>
        <v>#VALUE!</v>
      </c>
      <c r="T469" s="6" t="e">
        <f t="shared" si="74"/>
        <v>#VALUE!</v>
      </c>
      <c r="U469" s="2" t="e">
        <f t="shared" si="68"/>
        <v>#VALUE!</v>
      </c>
    </row>
    <row r="470" spans="2:21" x14ac:dyDescent="0.3">
      <c r="B470"/>
      <c r="C470"/>
      <c r="D470"/>
      <c r="E470"/>
      <c r="F470"/>
      <c r="G470"/>
      <c r="H470"/>
      <c r="I470"/>
      <c r="J470"/>
      <c r="O470" s="2" t="e">
        <f t="shared" si="69"/>
        <v>#VALUE!</v>
      </c>
      <c r="P470" s="6" t="e">
        <f t="shared" si="70"/>
        <v>#VALUE!</v>
      </c>
      <c r="Q470" s="6" t="e">
        <f t="shared" si="71"/>
        <v>#VALUE!</v>
      </c>
      <c r="R470" s="6" t="e">
        <f t="shared" si="72"/>
        <v>#VALUE!</v>
      </c>
      <c r="S470" s="6" t="e">
        <f t="shared" si="73"/>
        <v>#VALUE!</v>
      </c>
      <c r="T470" s="6" t="e">
        <f t="shared" si="74"/>
        <v>#VALUE!</v>
      </c>
      <c r="U470" s="2" t="e">
        <f t="shared" si="68"/>
        <v>#VALUE!</v>
      </c>
    </row>
    <row r="471" spans="2:21" x14ac:dyDescent="0.3">
      <c r="B471"/>
      <c r="C471"/>
      <c r="D471"/>
      <c r="E471"/>
      <c r="F471"/>
      <c r="G471"/>
      <c r="H471"/>
      <c r="I471"/>
      <c r="J471"/>
      <c r="O471" s="2" t="e">
        <f t="shared" si="69"/>
        <v>#VALUE!</v>
      </c>
      <c r="P471" s="6" t="e">
        <f t="shared" si="70"/>
        <v>#VALUE!</v>
      </c>
      <c r="Q471" s="6" t="e">
        <f t="shared" si="71"/>
        <v>#VALUE!</v>
      </c>
      <c r="R471" s="6" t="e">
        <f t="shared" si="72"/>
        <v>#VALUE!</v>
      </c>
      <c r="S471" s="6" t="e">
        <f t="shared" si="73"/>
        <v>#VALUE!</v>
      </c>
      <c r="T471" s="6" t="e">
        <f t="shared" si="74"/>
        <v>#VALUE!</v>
      </c>
      <c r="U471" s="2" t="e">
        <f t="shared" si="68"/>
        <v>#VALUE!</v>
      </c>
    </row>
    <row r="472" spans="2:21" x14ac:dyDescent="0.3">
      <c r="B472"/>
      <c r="C472"/>
      <c r="D472"/>
      <c r="E472"/>
      <c r="F472"/>
      <c r="G472"/>
      <c r="H472"/>
      <c r="I472"/>
      <c r="J472"/>
      <c r="O472" s="2" t="e">
        <f t="shared" si="69"/>
        <v>#VALUE!</v>
      </c>
      <c r="P472" s="6" t="e">
        <f t="shared" si="70"/>
        <v>#VALUE!</v>
      </c>
      <c r="Q472" s="6" t="e">
        <f t="shared" si="71"/>
        <v>#VALUE!</v>
      </c>
      <c r="R472" s="6" t="e">
        <f t="shared" si="72"/>
        <v>#VALUE!</v>
      </c>
      <c r="S472" s="6" t="e">
        <f t="shared" si="73"/>
        <v>#VALUE!</v>
      </c>
      <c r="T472" s="6" t="e">
        <f t="shared" si="74"/>
        <v>#VALUE!</v>
      </c>
      <c r="U472" s="2" t="e">
        <f t="shared" si="68"/>
        <v>#VALUE!</v>
      </c>
    </row>
    <row r="473" spans="2:21" x14ac:dyDescent="0.3">
      <c r="B473"/>
      <c r="C473"/>
      <c r="D473"/>
      <c r="E473"/>
      <c r="F473"/>
      <c r="G473"/>
      <c r="H473"/>
      <c r="I473"/>
      <c r="J473"/>
      <c r="O473" s="2" t="e">
        <f t="shared" si="69"/>
        <v>#VALUE!</v>
      </c>
      <c r="P473" s="6" t="e">
        <f t="shared" si="70"/>
        <v>#VALUE!</v>
      </c>
      <c r="Q473" s="6" t="e">
        <f t="shared" si="71"/>
        <v>#VALUE!</v>
      </c>
      <c r="R473" s="6" t="e">
        <f t="shared" si="72"/>
        <v>#VALUE!</v>
      </c>
      <c r="S473" s="6" t="e">
        <f t="shared" si="73"/>
        <v>#VALUE!</v>
      </c>
      <c r="T473" s="6" t="e">
        <f t="shared" si="74"/>
        <v>#VALUE!</v>
      </c>
      <c r="U473" s="2" t="e">
        <f t="shared" si="68"/>
        <v>#VALUE!</v>
      </c>
    </row>
    <row r="474" spans="2:21" x14ac:dyDescent="0.3">
      <c r="B474"/>
      <c r="C474"/>
      <c r="D474"/>
      <c r="E474"/>
      <c r="F474"/>
      <c r="G474"/>
      <c r="H474"/>
      <c r="I474"/>
      <c r="J474"/>
      <c r="O474" s="2" t="e">
        <f t="shared" si="69"/>
        <v>#VALUE!</v>
      </c>
      <c r="P474" s="6" t="e">
        <f t="shared" si="70"/>
        <v>#VALUE!</v>
      </c>
      <c r="Q474" s="6" t="e">
        <f t="shared" si="71"/>
        <v>#VALUE!</v>
      </c>
      <c r="R474" s="6" t="e">
        <f t="shared" si="72"/>
        <v>#VALUE!</v>
      </c>
      <c r="S474" s="6" t="e">
        <f t="shared" si="73"/>
        <v>#VALUE!</v>
      </c>
      <c r="T474" s="6" t="e">
        <f t="shared" si="74"/>
        <v>#VALUE!</v>
      </c>
      <c r="U474" s="2" t="e">
        <f t="shared" si="68"/>
        <v>#VALUE!</v>
      </c>
    </row>
    <row r="475" spans="2:21" x14ac:dyDescent="0.3">
      <c r="B475"/>
      <c r="C475"/>
      <c r="D475"/>
      <c r="E475"/>
      <c r="F475"/>
      <c r="G475"/>
      <c r="H475"/>
      <c r="I475"/>
      <c r="J475"/>
      <c r="O475" s="2" t="e">
        <f t="shared" si="69"/>
        <v>#VALUE!</v>
      </c>
      <c r="P475" s="6" t="e">
        <f t="shared" si="70"/>
        <v>#VALUE!</v>
      </c>
      <c r="Q475" s="6" t="e">
        <f t="shared" si="71"/>
        <v>#VALUE!</v>
      </c>
      <c r="R475" s="6" t="e">
        <f t="shared" si="72"/>
        <v>#VALUE!</v>
      </c>
      <c r="S475" s="6" t="e">
        <f t="shared" si="73"/>
        <v>#VALUE!</v>
      </c>
      <c r="T475" s="6" t="e">
        <f t="shared" si="74"/>
        <v>#VALUE!</v>
      </c>
      <c r="U475" s="2" t="e">
        <f t="shared" si="68"/>
        <v>#VALUE!</v>
      </c>
    </row>
    <row r="476" spans="2:21" x14ac:dyDescent="0.3">
      <c r="B476"/>
      <c r="C476"/>
      <c r="D476"/>
      <c r="E476"/>
      <c r="F476"/>
      <c r="G476"/>
      <c r="H476"/>
      <c r="I476"/>
      <c r="J476"/>
      <c r="O476" s="2" t="e">
        <f t="shared" si="69"/>
        <v>#VALUE!</v>
      </c>
      <c r="P476" s="6" t="e">
        <f t="shared" si="70"/>
        <v>#VALUE!</v>
      </c>
      <c r="Q476" s="6" t="e">
        <f t="shared" si="71"/>
        <v>#VALUE!</v>
      </c>
      <c r="R476" s="6" t="e">
        <f t="shared" si="72"/>
        <v>#VALUE!</v>
      </c>
      <c r="S476" s="6" t="e">
        <f t="shared" si="73"/>
        <v>#VALUE!</v>
      </c>
      <c r="T476" s="6" t="e">
        <f t="shared" si="74"/>
        <v>#VALUE!</v>
      </c>
      <c r="U476" s="2" t="e">
        <f t="shared" si="68"/>
        <v>#VALUE!</v>
      </c>
    </row>
    <row r="477" spans="2:21" x14ac:dyDescent="0.3">
      <c r="B477"/>
      <c r="C477"/>
      <c r="D477"/>
      <c r="E477"/>
      <c r="F477"/>
      <c r="G477"/>
      <c r="H477"/>
      <c r="I477"/>
      <c r="J477"/>
      <c r="O477" s="2" t="e">
        <f t="shared" si="69"/>
        <v>#VALUE!</v>
      </c>
      <c r="P477" s="6" t="e">
        <f t="shared" si="70"/>
        <v>#VALUE!</v>
      </c>
      <c r="Q477" s="6" t="e">
        <f t="shared" si="71"/>
        <v>#VALUE!</v>
      </c>
      <c r="R477" s="6" t="e">
        <f t="shared" si="72"/>
        <v>#VALUE!</v>
      </c>
      <c r="S477" s="6" t="e">
        <f t="shared" si="73"/>
        <v>#VALUE!</v>
      </c>
      <c r="T477" s="6" t="e">
        <f t="shared" si="74"/>
        <v>#VALUE!</v>
      </c>
      <c r="U477" s="2" t="e">
        <f t="shared" si="68"/>
        <v>#VALUE!</v>
      </c>
    </row>
    <row r="478" spans="2:21" x14ac:dyDescent="0.3">
      <c r="B478"/>
      <c r="C478"/>
      <c r="D478"/>
      <c r="E478"/>
      <c r="F478"/>
      <c r="G478"/>
      <c r="H478"/>
      <c r="I478"/>
      <c r="J478"/>
      <c r="O478" s="2" t="e">
        <f t="shared" si="69"/>
        <v>#VALUE!</v>
      </c>
      <c r="P478" s="6" t="e">
        <f t="shared" si="70"/>
        <v>#VALUE!</v>
      </c>
      <c r="Q478" s="6" t="e">
        <f t="shared" si="71"/>
        <v>#VALUE!</v>
      </c>
      <c r="R478" s="6" t="e">
        <f t="shared" si="72"/>
        <v>#VALUE!</v>
      </c>
      <c r="S478" s="6" t="e">
        <f t="shared" si="73"/>
        <v>#VALUE!</v>
      </c>
      <c r="T478" s="6" t="e">
        <f t="shared" si="74"/>
        <v>#VALUE!</v>
      </c>
      <c r="U478" s="2" t="e">
        <f t="shared" si="68"/>
        <v>#VALUE!</v>
      </c>
    </row>
    <row r="479" spans="2:21" x14ac:dyDescent="0.3">
      <c r="B479" s="4"/>
      <c r="C479" s="4"/>
      <c r="D479" s="4"/>
      <c r="E479" s="4"/>
      <c r="F479"/>
      <c r="G479"/>
      <c r="H479"/>
      <c r="I479"/>
      <c r="J479"/>
      <c r="K479" s="7"/>
      <c r="L479" s="7"/>
      <c r="M479" s="7"/>
      <c r="O479" s="2" t="e">
        <f t="shared" si="69"/>
        <v>#VALUE!</v>
      </c>
      <c r="P479" s="6" t="e">
        <f t="shared" si="70"/>
        <v>#VALUE!</v>
      </c>
      <c r="Q479" s="6" t="e">
        <f t="shared" si="71"/>
        <v>#VALUE!</v>
      </c>
      <c r="R479" s="6" t="e">
        <f t="shared" si="72"/>
        <v>#VALUE!</v>
      </c>
      <c r="S479" s="6" t="e">
        <f t="shared" si="73"/>
        <v>#VALUE!</v>
      </c>
      <c r="T479" s="6" t="e">
        <f t="shared" si="74"/>
        <v>#VALUE!</v>
      </c>
      <c r="U479" s="2" t="e">
        <f t="shared" si="68"/>
        <v>#VALUE!</v>
      </c>
    </row>
    <row r="480" spans="2:21" x14ac:dyDescent="0.3">
      <c r="B480"/>
      <c r="C480"/>
      <c r="D480"/>
      <c r="E480"/>
      <c r="F480"/>
      <c r="G480"/>
      <c r="H480"/>
      <c r="I480"/>
      <c r="J480"/>
      <c r="O480" s="2" t="e">
        <f t="shared" si="69"/>
        <v>#VALUE!</v>
      </c>
      <c r="P480" s="6" t="e">
        <f t="shared" si="70"/>
        <v>#VALUE!</v>
      </c>
      <c r="Q480" s="6" t="e">
        <f t="shared" si="71"/>
        <v>#VALUE!</v>
      </c>
      <c r="R480" s="6" t="e">
        <f t="shared" si="72"/>
        <v>#VALUE!</v>
      </c>
      <c r="S480" s="6" t="e">
        <f t="shared" si="73"/>
        <v>#VALUE!</v>
      </c>
      <c r="T480" s="6" t="e">
        <f t="shared" si="74"/>
        <v>#VALUE!</v>
      </c>
      <c r="U480" s="2" t="e">
        <f t="shared" si="68"/>
        <v>#VALUE!</v>
      </c>
    </row>
    <row r="481" spans="2:21" x14ac:dyDescent="0.3">
      <c r="B481"/>
      <c r="C481"/>
      <c r="D481"/>
      <c r="E481"/>
      <c r="F481"/>
      <c r="G481"/>
      <c r="H481"/>
      <c r="I481"/>
      <c r="J481"/>
      <c r="O481" s="2" t="e">
        <f t="shared" si="69"/>
        <v>#VALUE!</v>
      </c>
      <c r="P481" s="6" t="e">
        <f t="shared" si="70"/>
        <v>#VALUE!</v>
      </c>
      <c r="Q481" s="6" t="e">
        <f t="shared" si="71"/>
        <v>#VALUE!</v>
      </c>
      <c r="R481" s="6" t="e">
        <f t="shared" si="72"/>
        <v>#VALUE!</v>
      </c>
      <c r="S481" s="6" t="e">
        <f t="shared" si="73"/>
        <v>#VALUE!</v>
      </c>
      <c r="T481" s="6" t="e">
        <f t="shared" si="74"/>
        <v>#VALUE!</v>
      </c>
      <c r="U481" s="2" t="e">
        <f t="shared" si="68"/>
        <v>#VALUE!</v>
      </c>
    </row>
    <row r="482" spans="2:21" x14ac:dyDescent="0.3">
      <c r="B482"/>
      <c r="C482"/>
      <c r="D482"/>
      <c r="E482"/>
      <c r="F482"/>
      <c r="G482"/>
      <c r="H482"/>
      <c r="I482"/>
      <c r="J482"/>
      <c r="O482" s="2" t="e">
        <f t="shared" si="69"/>
        <v>#VALUE!</v>
      </c>
      <c r="P482" s="6" t="e">
        <f t="shared" si="70"/>
        <v>#VALUE!</v>
      </c>
      <c r="Q482" s="6" t="e">
        <f t="shared" si="71"/>
        <v>#VALUE!</v>
      </c>
      <c r="R482" s="6" t="e">
        <f t="shared" si="72"/>
        <v>#VALUE!</v>
      </c>
      <c r="S482" s="6" t="e">
        <f t="shared" si="73"/>
        <v>#VALUE!</v>
      </c>
      <c r="T482" s="6" t="e">
        <f t="shared" si="74"/>
        <v>#VALUE!</v>
      </c>
      <c r="U482" s="2" t="e">
        <f t="shared" si="68"/>
        <v>#VALUE!</v>
      </c>
    </row>
    <row r="483" spans="2:21" x14ac:dyDescent="0.3">
      <c r="B483"/>
      <c r="C483"/>
      <c r="D483"/>
      <c r="E483"/>
      <c r="F483"/>
      <c r="G483"/>
      <c r="H483"/>
      <c r="I483"/>
      <c r="J483"/>
      <c r="O483" s="2" t="e">
        <f t="shared" si="69"/>
        <v>#VALUE!</v>
      </c>
      <c r="P483" s="6" t="e">
        <f t="shared" si="70"/>
        <v>#VALUE!</v>
      </c>
      <c r="Q483" s="6" t="e">
        <f t="shared" si="71"/>
        <v>#VALUE!</v>
      </c>
      <c r="R483" s="6" t="e">
        <f t="shared" si="72"/>
        <v>#VALUE!</v>
      </c>
      <c r="S483" s="6" t="e">
        <f t="shared" si="73"/>
        <v>#VALUE!</v>
      </c>
      <c r="T483" s="6" t="e">
        <f t="shared" si="74"/>
        <v>#VALUE!</v>
      </c>
      <c r="U483" s="2" t="e">
        <f t="shared" si="68"/>
        <v>#VALUE!</v>
      </c>
    </row>
    <row r="484" spans="2:21" x14ac:dyDescent="0.3">
      <c r="B484"/>
      <c r="C484"/>
      <c r="D484"/>
      <c r="E484"/>
      <c r="F484"/>
      <c r="G484"/>
      <c r="H484"/>
      <c r="I484"/>
      <c r="J484"/>
      <c r="O484" s="2" t="e">
        <f t="shared" si="69"/>
        <v>#VALUE!</v>
      </c>
      <c r="P484" s="6" t="e">
        <f t="shared" si="70"/>
        <v>#VALUE!</v>
      </c>
      <c r="Q484" s="6" t="e">
        <f t="shared" si="71"/>
        <v>#VALUE!</v>
      </c>
      <c r="R484" s="6" t="e">
        <f t="shared" si="72"/>
        <v>#VALUE!</v>
      </c>
      <c r="S484" s="6" t="e">
        <f t="shared" si="73"/>
        <v>#VALUE!</v>
      </c>
      <c r="T484" s="6" t="e">
        <f t="shared" si="74"/>
        <v>#VALUE!</v>
      </c>
      <c r="U484" s="2" t="e">
        <f t="shared" si="68"/>
        <v>#VALUE!</v>
      </c>
    </row>
    <row r="485" spans="2:21" x14ac:dyDescent="0.3">
      <c r="B485"/>
      <c r="C485"/>
      <c r="D485"/>
      <c r="E485"/>
      <c r="F485"/>
      <c r="G485"/>
      <c r="H485"/>
      <c r="I485"/>
      <c r="J485"/>
      <c r="O485" s="2" t="e">
        <f t="shared" si="69"/>
        <v>#VALUE!</v>
      </c>
      <c r="P485" s="6" t="e">
        <f t="shared" si="70"/>
        <v>#VALUE!</v>
      </c>
      <c r="Q485" s="6" t="e">
        <f t="shared" si="71"/>
        <v>#VALUE!</v>
      </c>
      <c r="R485" s="6" t="e">
        <f t="shared" si="72"/>
        <v>#VALUE!</v>
      </c>
      <c r="S485" s="6" t="e">
        <f t="shared" si="73"/>
        <v>#VALUE!</v>
      </c>
      <c r="T485" s="6" t="e">
        <f t="shared" si="74"/>
        <v>#VALUE!</v>
      </c>
      <c r="U485" s="2" t="e">
        <f t="shared" si="68"/>
        <v>#VALUE!</v>
      </c>
    </row>
    <row r="486" spans="2:21" x14ac:dyDescent="0.3">
      <c r="B486"/>
      <c r="C486"/>
      <c r="D486"/>
      <c r="E486"/>
      <c r="F486"/>
      <c r="G486"/>
      <c r="H486"/>
      <c r="I486"/>
      <c r="J486"/>
      <c r="O486" s="2" t="e">
        <f t="shared" si="69"/>
        <v>#VALUE!</v>
      </c>
      <c r="P486" s="6" t="e">
        <f t="shared" si="70"/>
        <v>#VALUE!</v>
      </c>
      <c r="Q486" s="6" t="e">
        <f t="shared" si="71"/>
        <v>#VALUE!</v>
      </c>
      <c r="R486" s="6" t="e">
        <f t="shared" si="72"/>
        <v>#VALUE!</v>
      </c>
      <c r="S486" s="6" t="e">
        <f t="shared" si="73"/>
        <v>#VALUE!</v>
      </c>
      <c r="T486" s="6" t="e">
        <f t="shared" si="74"/>
        <v>#VALUE!</v>
      </c>
      <c r="U486" s="2" t="e">
        <f t="shared" si="68"/>
        <v>#VALUE!</v>
      </c>
    </row>
    <row r="487" spans="2:21" x14ac:dyDescent="0.3">
      <c r="B487"/>
      <c r="C487"/>
      <c r="D487"/>
      <c r="E487"/>
      <c r="F487"/>
      <c r="G487"/>
      <c r="H487"/>
      <c r="I487"/>
      <c r="J487"/>
      <c r="O487" s="2" t="e">
        <f t="shared" si="69"/>
        <v>#VALUE!</v>
      </c>
      <c r="P487" s="6" t="e">
        <f t="shared" si="70"/>
        <v>#VALUE!</v>
      </c>
      <c r="Q487" s="6" t="e">
        <f t="shared" si="71"/>
        <v>#VALUE!</v>
      </c>
      <c r="R487" s="6" t="e">
        <f t="shared" si="72"/>
        <v>#VALUE!</v>
      </c>
      <c r="S487" s="6" t="e">
        <f t="shared" si="73"/>
        <v>#VALUE!</v>
      </c>
      <c r="T487" s="6" t="e">
        <f t="shared" si="74"/>
        <v>#VALUE!</v>
      </c>
      <c r="U487" s="2" t="e">
        <f t="shared" si="68"/>
        <v>#VALUE!</v>
      </c>
    </row>
    <row r="488" spans="2:21" x14ac:dyDescent="0.3">
      <c r="B488"/>
      <c r="C488"/>
      <c r="D488"/>
      <c r="E488"/>
      <c r="F488"/>
      <c r="G488"/>
      <c r="H488"/>
      <c r="I488"/>
      <c r="J488"/>
      <c r="O488" s="2" t="e">
        <f t="shared" si="69"/>
        <v>#VALUE!</v>
      </c>
      <c r="P488" s="6" t="e">
        <f t="shared" si="70"/>
        <v>#VALUE!</v>
      </c>
      <c r="Q488" s="6" t="e">
        <f t="shared" si="71"/>
        <v>#VALUE!</v>
      </c>
      <c r="R488" s="6" t="e">
        <f t="shared" si="72"/>
        <v>#VALUE!</v>
      </c>
      <c r="S488" s="6" t="e">
        <f t="shared" si="73"/>
        <v>#VALUE!</v>
      </c>
      <c r="T488" s="6" t="e">
        <f t="shared" si="74"/>
        <v>#VALUE!</v>
      </c>
      <c r="U488" s="2" t="e">
        <f t="shared" si="68"/>
        <v>#VALUE!</v>
      </c>
    </row>
    <row r="489" spans="2:21" x14ac:dyDescent="0.3">
      <c r="B489" s="4"/>
      <c r="C489" s="4"/>
      <c r="D489" s="4"/>
      <c r="E489" s="4"/>
      <c r="F489"/>
      <c r="G489"/>
      <c r="H489"/>
      <c r="I489"/>
      <c r="J489"/>
      <c r="O489" s="2" t="e">
        <f t="shared" si="69"/>
        <v>#VALUE!</v>
      </c>
      <c r="P489" s="6" t="e">
        <f t="shared" si="70"/>
        <v>#VALUE!</v>
      </c>
      <c r="Q489" s="6" t="e">
        <f t="shared" si="71"/>
        <v>#VALUE!</v>
      </c>
      <c r="R489" s="6" t="e">
        <f t="shared" si="72"/>
        <v>#VALUE!</v>
      </c>
      <c r="S489" s="6" t="e">
        <f t="shared" si="73"/>
        <v>#VALUE!</v>
      </c>
      <c r="T489" s="6" t="e">
        <f t="shared" si="74"/>
        <v>#VALUE!</v>
      </c>
      <c r="U489" s="2" t="e">
        <f t="shared" si="68"/>
        <v>#VALUE!</v>
      </c>
    </row>
    <row r="490" spans="2:21" x14ac:dyDescent="0.3">
      <c r="B490"/>
      <c r="C490"/>
      <c r="D490"/>
      <c r="E490"/>
      <c r="F490"/>
      <c r="G490"/>
      <c r="H490"/>
      <c r="I490"/>
      <c r="J490"/>
      <c r="O490" s="2" t="e">
        <f t="shared" si="69"/>
        <v>#VALUE!</v>
      </c>
      <c r="P490" s="6" t="e">
        <f t="shared" si="70"/>
        <v>#VALUE!</v>
      </c>
      <c r="Q490" s="6" t="e">
        <f t="shared" si="71"/>
        <v>#VALUE!</v>
      </c>
      <c r="R490" s="6" t="e">
        <f t="shared" si="72"/>
        <v>#VALUE!</v>
      </c>
      <c r="S490" s="6" t="e">
        <f t="shared" si="73"/>
        <v>#VALUE!</v>
      </c>
      <c r="T490" s="6" t="e">
        <f t="shared" si="74"/>
        <v>#VALUE!</v>
      </c>
      <c r="U490" s="2" t="e">
        <f t="shared" si="68"/>
        <v>#VALUE!</v>
      </c>
    </row>
    <row r="491" spans="2:21" x14ac:dyDescent="0.3">
      <c r="B491" s="4"/>
      <c r="C491" s="4"/>
      <c r="D491" s="4"/>
      <c r="E491" s="4"/>
      <c r="F491"/>
      <c r="G491"/>
      <c r="H491"/>
      <c r="I491"/>
      <c r="J491"/>
      <c r="O491" s="2" t="e">
        <f t="shared" si="69"/>
        <v>#VALUE!</v>
      </c>
      <c r="P491" s="6" t="e">
        <f t="shared" si="70"/>
        <v>#VALUE!</v>
      </c>
      <c r="Q491" s="6" t="e">
        <f t="shared" si="71"/>
        <v>#VALUE!</v>
      </c>
      <c r="R491" s="6" t="e">
        <f t="shared" si="72"/>
        <v>#VALUE!</v>
      </c>
      <c r="S491" s="6" t="e">
        <f t="shared" si="73"/>
        <v>#VALUE!</v>
      </c>
      <c r="T491" s="6" t="e">
        <f t="shared" si="74"/>
        <v>#VALUE!</v>
      </c>
      <c r="U491" s="2" t="e">
        <f t="shared" si="68"/>
        <v>#VALUE!</v>
      </c>
    </row>
    <row r="492" spans="2:21" x14ac:dyDescent="0.3">
      <c r="B492"/>
      <c r="C492"/>
      <c r="D492"/>
      <c r="E492"/>
      <c r="F492"/>
      <c r="G492"/>
      <c r="H492"/>
      <c r="I492"/>
      <c r="J492"/>
      <c r="O492" s="2" t="e">
        <f t="shared" si="69"/>
        <v>#VALUE!</v>
      </c>
      <c r="P492" s="6" t="e">
        <f t="shared" si="70"/>
        <v>#VALUE!</v>
      </c>
      <c r="Q492" s="6" t="e">
        <f t="shared" si="71"/>
        <v>#VALUE!</v>
      </c>
      <c r="R492" s="6" t="e">
        <f t="shared" si="72"/>
        <v>#VALUE!</v>
      </c>
      <c r="S492" s="6" t="e">
        <f t="shared" si="73"/>
        <v>#VALUE!</v>
      </c>
      <c r="T492" s="6" t="e">
        <f t="shared" si="74"/>
        <v>#VALUE!</v>
      </c>
      <c r="U492" s="2" t="e">
        <f t="shared" si="68"/>
        <v>#VALUE!</v>
      </c>
    </row>
    <row r="493" spans="2:21" x14ac:dyDescent="0.3">
      <c r="B493"/>
      <c r="C493"/>
      <c r="D493"/>
      <c r="E493"/>
      <c r="F493"/>
      <c r="G493"/>
      <c r="H493"/>
      <c r="I493"/>
      <c r="J493"/>
      <c r="O493" s="2" t="e">
        <f t="shared" si="69"/>
        <v>#VALUE!</v>
      </c>
      <c r="P493" s="6" t="e">
        <f t="shared" si="70"/>
        <v>#VALUE!</v>
      </c>
      <c r="Q493" s="6" t="e">
        <f t="shared" si="71"/>
        <v>#VALUE!</v>
      </c>
      <c r="R493" s="6" t="e">
        <f t="shared" si="72"/>
        <v>#VALUE!</v>
      </c>
      <c r="S493" s="6" t="e">
        <f t="shared" si="73"/>
        <v>#VALUE!</v>
      </c>
      <c r="T493" s="6" t="e">
        <f t="shared" si="74"/>
        <v>#VALUE!</v>
      </c>
      <c r="U493" s="2" t="e">
        <f t="shared" si="68"/>
        <v>#VALUE!</v>
      </c>
    </row>
    <row r="494" spans="2:21" x14ac:dyDescent="0.3">
      <c r="B494"/>
      <c r="C494"/>
      <c r="D494"/>
      <c r="E494"/>
      <c r="F494"/>
      <c r="G494"/>
      <c r="H494"/>
      <c r="I494"/>
      <c r="J494"/>
      <c r="O494" s="2" t="e">
        <f t="shared" si="69"/>
        <v>#VALUE!</v>
      </c>
      <c r="P494" s="6" t="e">
        <f t="shared" si="70"/>
        <v>#VALUE!</v>
      </c>
      <c r="Q494" s="6" t="e">
        <f t="shared" si="71"/>
        <v>#VALUE!</v>
      </c>
      <c r="R494" s="6" t="e">
        <f t="shared" si="72"/>
        <v>#VALUE!</v>
      </c>
      <c r="S494" s="6" t="e">
        <f t="shared" si="73"/>
        <v>#VALUE!</v>
      </c>
      <c r="T494" s="6" t="e">
        <f t="shared" si="74"/>
        <v>#VALUE!</v>
      </c>
      <c r="U494" s="2" t="e">
        <f t="shared" si="68"/>
        <v>#VALUE!</v>
      </c>
    </row>
    <row r="495" spans="2:21" x14ac:dyDescent="0.3">
      <c r="B495"/>
      <c r="C495"/>
      <c r="D495"/>
      <c r="E495"/>
      <c r="F495"/>
      <c r="G495"/>
      <c r="H495"/>
      <c r="I495"/>
      <c r="J495"/>
      <c r="O495" s="2" t="e">
        <f t="shared" si="69"/>
        <v>#VALUE!</v>
      </c>
      <c r="P495" s="6" t="e">
        <f t="shared" si="70"/>
        <v>#VALUE!</v>
      </c>
      <c r="Q495" s="6" t="e">
        <f t="shared" si="71"/>
        <v>#VALUE!</v>
      </c>
      <c r="R495" s="6" t="e">
        <f t="shared" si="72"/>
        <v>#VALUE!</v>
      </c>
      <c r="S495" s="6" t="e">
        <f t="shared" si="73"/>
        <v>#VALUE!</v>
      </c>
      <c r="T495" s="6" t="e">
        <f t="shared" si="74"/>
        <v>#VALUE!</v>
      </c>
      <c r="U495" s="2" t="e">
        <f t="shared" si="68"/>
        <v>#VALUE!</v>
      </c>
    </row>
    <row r="496" spans="2:21" x14ac:dyDescent="0.3">
      <c r="B496"/>
      <c r="C496"/>
      <c r="D496"/>
      <c r="E496"/>
      <c r="F496"/>
      <c r="G496"/>
      <c r="H496"/>
      <c r="I496"/>
      <c r="J496"/>
      <c r="O496" s="2" t="e">
        <f t="shared" si="69"/>
        <v>#VALUE!</v>
      </c>
      <c r="P496" s="6" t="e">
        <f t="shared" si="70"/>
        <v>#VALUE!</v>
      </c>
      <c r="Q496" s="6" t="e">
        <f t="shared" si="71"/>
        <v>#VALUE!</v>
      </c>
      <c r="R496" s="6" t="e">
        <f t="shared" si="72"/>
        <v>#VALUE!</v>
      </c>
      <c r="S496" s="6" t="e">
        <f t="shared" si="73"/>
        <v>#VALUE!</v>
      </c>
      <c r="T496" s="6" t="e">
        <f t="shared" si="74"/>
        <v>#VALUE!</v>
      </c>
      <c r="U496" s="2" t="e">
        <f t="shared" si="68"/>
        <v>#VALUE!</v>
      </c>
    </row>
    <row r="497" spans="2:21" x14ac:dyDescent="0.3">
      <c r="B497"/>
      <c r="C497"/>
      <c r="D497"/>
      <c r="E497"/>
      <c r="F497"/>
      <c r="G497"/>
      <c r="H497"/>
      <c r="I497"/>
      <c r="J497"/>
      <c r="O497" s="2" t="e">
        <f t="shared" si="69"/>
        <v>#VALUE!</v>
      </c>
      <c r="P497" s="6" t="e">
        <f t="shared" si="70"/>
        <v>#VALUE!</v>
      </c>
      <c r="Q497" s="6" t="e">
        <f t="shared" si="71"/>
        <v>#VALUE!</v>
      </c>
      <c r="R497" s="6" t="e">
        <f t="shared" si="72"/>
        <v>#VALUE!</v>
      </c>
      <c r="S497" s="6" t="e">
        <f t="shared" si="73"/>
        <v>#VALUE!</v>
      </c>
      <c r="T497" s="6" t="e">
        <f t="shared" si="74"/>
        <v>#VALUE!</v>
      </c>
      <c r="U497" s="2" t="e">
        <f t="shared" si="68"/>
        <v>#VALUE!</v>
      </c>
    </row>
    <row r="498" spans="2:21" x14ac:dyDescent="0.3">
      <c r="B498"/>
      <c r="C498"/>
      <c r="D498"/>
      <c r="E498"/>
      <c r="F498"/>
      <c r="G498"/>
      <c r="H498"/>
      <c r="I498"/>
      <c r="J498"/>
      <c r="O498" s="2" t="e">
        <f t="shared" si="69"/>
        <v>#VALUE!</v>
      </c>
      <c r="P498" s="6" t="e">
        <f t="shared" si="70"/>
        <v>#VALUE!</v>
      </c>
      <c r="Q498" s="6" t="e">
        <f t="shared" si="71"/>
        <v>#VALUE!</v>
      </c>
      <c r="R498" s="6" t="e">
        <f t="shared" si="72"/>
        <v>#VALUE!</v>
      </c>
      <c r="S498" s="6" t="e">
        <f t="shared" si="73"/>
        <v>#VALUE!</v>
      </c>
      <c r="T498" s="6" t="e">
        <f t="shared" si="74"/>
        <v>#VALUE!</v>
      </c>
      <c r="U498" s="2" t="e">
        <f t="shared" si="68"/>
        <v>#VALUE!</v>
      </c>
    </row>
    <row r="499" spans="2:21" x14ac:dyDescent="0.3">
      <c r="B499"/>
      <c r="C499"/>
      <c r="D499"/>
      <c r="E499"/>
      <c r="F499"/>
      <c r="G499"/>
      <c r="H499"/>
      <c r="I499"/>
      <c r="J499"/>
      <c r="O499" s="2" t="e">
        <f t="shared" si="69"/>
        <v>#VALUE!</v>
      </c>
      <c r="P499" s="6" t="e">
        <f t="shared" si="70"/>
        <v>#VALUE!</v>
      </c>
      <c r="Q499" s="6" t="e">
        <f t="shared" si="71"/>
        <v>#VALUE!</v>
      </c>
      <c r="R499" s="6" t="e">
        <f t="shared" si="72"/>
        <v>#VALUE!</v>
      </c>
      <c r="S499" s="6" t="e">
        <f t="shared" si="73"/>
        <v>#VALUE!</v>
      </c>
      <c r="T499" s="6" t="e">
        <f t="shared" si="74"/>
        <v>#VALUE!</v>
      </c>
      <c r="U499" s="2" t="e">
        <f t="shared" si="68"/>
        <v>#VALUE!</v>
      </c>
    </row>
    <row r="500" spans="2:21" x14ac:dyDescent="0.3">
      <c r="B500"/>
      <c r="C500"/>
      <c r="D500"/>
      <c r="E500" s="4"/>
      <c r="F500"/>
      <c r="G500"/>
      <c r="H500"/>
      <c r="I500"/>
      <c r="J500"/>
      <c r="O500" s="2" t="e">
        <f t="shared" si="69"/>
        <v>#VALUE!</v>
      </c>
      <c r="P500" s="6" t="e">
        <f t="shared" si="70"/>
        <v>#VALUE!</v>
      </c>
      <c r="Q500" s="6" t="e">
        <f t="shared" si="71"/>
        <v>#VALUE!</v>
      </c>
      <c r="R500" s="6" t="e">
        <f t="shared" si="72"/>
        <v>#VALUE!</v>
      </c>
      <c r="S500" s="6" t="e">
        <f t="shared" si="73"/>
        <v>#VALUE!</v>
      </c>
      <c r="T500" s="6" t="e">
        <f t="shared" si="74"/>
        <v>#VALUE!</v>
      </c>
      <c r="U500" s="2" t="e">
        <f t="shared" si="68"/>
        <v>#VALUE!</v>
      </c>
    </row>
    <row r="501" spans="2:21" x14ac:dyDescent="0.3">
      <c r="B501" s="4"/>
      <c r="C501" s="4"/>
      <c r="D501" s="4"/>
      <c r="E501" s="4"/>
      <c r="F501"/>
      <c r="G501"/>
      <c r="H501"/>
      <c r="I501"/>
      <c r="J501"/>
      <c r="O501" s="2" t="e">
        <f t="shared" si="69"/>
        <v>#VALUE!</v>
      </c>
      <c r="P501" s="6" t="e">
        <f t="shared" si="70"/>
        <v>#VALUE!</v>
      </c>
      <c r="Q501" s="6" t="e">
        <f t="shared" si="71"/>
        <v>#VALUE!</v>
      </c>
      <c r="R501" s="6" t="e">
        <f t="shared" si="72"/>
        <v>#VALUE!</v>
      </c>
      <c r="S501" s="6" t="e">
        <f t="shared" si="73"/>
        <v>#VALUE!</v>
      </c>
      <c r="T501" s="6" t="e">
        <f t="shared" si="74"/>
        <v>#VALUE!</v>
      </c>
      <c r="U501" s="2" t="e">
        <f t="shared" si="68"/>
        <v>#VALUE!</v>
      </c>
    </row>
    <row r="502" spans="2:21" x14ac:dyDescent="0.3">
      <c r="B502" s="4"/>
      <c r="C502" s="4"/>
      <c r="D502" s="4"/>
      <c r="E502" s="4"/>
      <c r="F502"/>
      <c r="G502"/>
      <c r="H502"/>
      <c r="I502"/>
      <c r="J502"/>
      <c r="O502" s="2" t="e">
        <f t="shared" si="69"/>
        <v>#VALUE!</v>
      </c>
      <c r="P502" s="6" t="e">
        <f t="shared" si="70"/>
        <v>#VALUE!</v>
      </c>
      <c r="Q502" s="6" t="e">
        <f t="shared" si="71"/>
        <v>#VALUE!</v>
      </c>
      <c r="R502" s="6" t="e">
        <f t="shared" si="72"/>
        <v>#VALUE!</v>
      </c>
      <c r="S502" s="6" t="e">
        <f t="shared" si="73"/>
        <v>#VALUE!</v>
      </c>
      <c r="T502" s="6" t="e">
        <f t="shared" si="74"/>
        <v>#VALUE!</v>
      </c>
      <c r="U502" s="2" t="e">
        <f t="shared" si="68"/>
        <v>#VALUE!</v>
      </c>
    </row>
    <row r="503" spans="2:21" x14ac:dyDescent="0.3">
      <c r="B503"/>
      <c r="C503"/>
      <c r="D503"/>
      <c r="E503"/>
      <c r="F503"/>
      <c r="G503"/>
      <c r="H503"/>
      <c r="I503"/>
      <c r="J503"/>
      <c r="O503" s="2" t="e">
        <f t="shared" si="69"/>
        <v>#VALUE!</v>
      </c>
      <c r="P503" s="6" t="e">
        <f t="shared" si="70"/>
        <v>#VALUE!</v>
      </c>
      <c r="Q503" s="6" t="e">
        <f t="shared" si="71"/>
        <v>#VALUE!</v>
      </c>
      <c r="R503" s="6" t="e">
        <f t="shared" si="72"/>
        <v>#VALUE!</v>
      </c>
      <c r="S503" s="6" t="e">
        <f t="shared" si="73"/>
        <v>#VALUE!</v>
      </c>
      <c r="T503" s="6" t="e">
        <f t="shared" si="74"/>
        <v>#VALUE!</v>
      </c>
      <c r="U503" s="2" t="e">
        <f t="shared" si="68"/>
        <v>#VALUE!</v>
      </c>
    </row>
    <row r="504" spans="2:21" x14ac:dyDescent="0.3">
      <c r="B504"/>
      <c r="C504"/>
      <c r="D504"/>
      <c r="E504"/>
      <c r="F504"/>
      <c r="G504"/>
      <c r="H504"/>
      <c r="I504"/>
      <c r="J504"/>
      <c r="O504" s="2" t="e">
        <f t="shared" si="69"/>
        <v>#VALUE!</v>
      </c>
      <c r="P504" s="6" t="e">
        <f t="shared" si="70"/>
        <v>#VALUE!</v>
      </c>
      <c r="Q504" s="6" t="e">
        <f t="shared" si="71"/>
        <v>#VALUE!</v>
      </c>
      <c r="R504" s="6" t="e">
        <f t="shared" si="72"/>
        <v>#VALUE!</v>
      </c>
      <c r="S504" s="6" t="e">
        <f t="shared" si="73"/>
        <v>#VALUE!</v>
      </c>
      <c r="T504" s="6" t="e">
        <f t="shared" si="74"/>
        <v>#VALUE!</v>
      </c>
      <c r="U504" s="2" t="e">
        <f t="shared" si="68"/>
        <v>#VALUE!</v>
      </c>
    </row>
    <row r="505" spans="2:21" x14ac:dyDescent="0.3">
      <c r="B505"/>
      <c r="C505"/>
      <c r="D505"/>
      <c r="E505"/>
      <c r="F505"/>
      <c r="G505"/>
      <c r="H505"/>
      <c r="I505"/>
      <c r="J505"/>
      <c r="O505" s="2" t="e">
        <f t="shared" si="69"/>
        <v>#VALUE!</v>
      </c>
      <c r="P505" s="6" t="e">
        <f t="shared" si="70"/>
        <v>#VALUE!</v>
      </c>
      <c r="Q505" s="6" t="e">
        <f t="shared" si="71"/>
        <v>#VALUE!</v>
      </c>
      <c r="R505" s="6" t="e">
        <f t="shared" si="72"/>
        <v>#VALUE!</v>
      </c>
      <c r="S505" s="6" t="e">
        <f t="shared" si="73"/>
        <v>#VALUE!</v>
      </c>
      <c r="T505" s="6" t="e">
        <f t="shared" si="74"/>
        <v>#VALUE!</v>
      </c>
      <c r="U505" s="2" t="e">
        <f t="shared" si="68"/>
        <v>#VALUE!</v>
      </c>
    </row>
    <row r="506" spans="2:21" x14ac:dyDescent="0.3">
      <c r="B506"/>
      <c r="C506"/>
      <c r="D506"/>
      <c r="E506"/>
      <c r="F506"/>
      <c r="G506"/>
      <c r="H506"/>
      <c r="I506"/>
      <c r="J506"/>
      <c r="O506" s="2" t="e">
        <f t="shared" si="69"/>
        <v>#VALUE!</v>
      </c>
      <c r="P506" s="6" t="e">
        <f t="shared" si="70"/>
        <v>#VALUE!</v>
      </c>
      <c r="Q506" s="6" t="e">
        <f t="shared" si="71"/>
        <v>#VALUE!</v>
      </c>
      <c r="R506" s="6" t="e">
        <f t="shared" si="72"/>
        <v>#VALUE!</v>
      </c>
      <c r="S506" s="6" t="e">
        <f t="shared" si="73"/>
        <v>#VALUE!</v>
      </c>
      <c r="T506" s="6" t="e">
        <f t="shared" si="74"/>
        <v>#VALUE!</v>
      </c>
      <c r="U506" s="2" t="e">
        <f t="shared" si="68"/>
        <v>#VALUE!</v>
      </c>
    </row>
    <row r="507" spans="2:21" x14ac:dyDescent="0.3">
      <c r="B507"/>
      <c r="C507"/>
      <c r="D507"/>
      <c r="E507"/>
      <c r="F507"/>
      <c r="G507"/>
      <c r="H507"/>
      <c r="I507"/>
      <c r="J507"/>
      <c r="O507" s="2" t="e">
        <f t="shared" si="69"/>
        <v>#VALUE!</v>
      </c>
      <c r="P507" s="6" t="e">
        <f t="shared" si="70"/>
        <v>#VALUE!</v>
      </c>
      <c r="Q507" s="6" t="e">
        <f t="shared" si="71"/>
        <v>#VALUE!</v>
      </c>
      <c r="R507" s="6" t="e">
        <f t="shared" si="72"/>
        <v>#VALUE!</v>
      </c>
      <c r="S507" s="6" t="e">
        <f t="shared" si="73"/>
        <v>#VALUE!</v>
      </c>
      <c r="T507" s="6" t="e">
        <f t="shared" si="74"/>
        <v>#VALUE!</v>
      </c>
      <c r="U507" s="2" t="e">
        <f t="shared" si="68"/>
        <v>#VALUE!</v>
      </c>
    </row>
    <row r="508" spans="2:21" x14ac:dyDescent="0.3">
      <c r="B508"/>
      <c r="C508"/>
      <c r="D508"/>
      <c r="E508"/>
      <c r="F508"/>
      <c r="G508"/>
      <c r="H508"/>
      <c r="I508"/>
      <c r="J508"/>
      <c r="O508" s="2" t="e">
        <f t="shared" si="69"/>
        <v>#VALUE!</v>
      </c>
      <c r="P508" s="6" t="e">
        <f t="shared" si="70"/>
        <v>#VALUE!</v>
      </c>
      <c r="Q508" s="6" t="e">
        <f t="shared" si="71"/>
        <v>#VALUE!</v>
      </c>
      <c r="R508" s="6" t="e">
        <f t="shared" si="72"/>
        <v>#VALUE!</v>
      </c>
      <c r="S508" s="6" t="e">
        <f t="shared" si="73"/>
        <v>#VALUE!</v>
      </c>
      <c r="T508" s="6" t="e">
        <f t="shared" si="74"/>
        <v>#VALUE!</v>
      </c>
      <c r="U508" s="2" t="e">
        <f t="shared" si="68"/>
        <v>#VALUE!</v>
      </c>
    </row>
    <row r="509" spans="2:21" x14ac:dyDescent="0.3">
      <c r="B509"/>
      <c r="C509"/>
      <c r="D509"/>
      <c r="E509" s="4"/>
      <c r="F509"/>
      <c r="G509"/>
      <c r="H509"/>
      <c r="I509"/>
      <c r="J509"/>
      <c r="O509" s="2" t="e">
        <f t="shared" si="69"/>
        <v>#VALUE!</v>
      </c>
      <c r="P509" s="6" t="e">
        <f t="shared" si="70"/>
        <v>#VALUE!</v>
      </c>
      <c r="Q509" s="6" t="e">
        <f t="shared" si="71"/>
        <v>#VALUE!</v>
      </c>
      <c r="R509" s="6" t="e">
        <f t="shared" si="72"/>
        <v>#VALUE!</v>
      </c>
      <c r="S509" s="6" t="e">
        <f t="shared" si="73"/>
        <v>#VALUE!</v>
      </c>
      <c r="T509" s="6" t="e">
        <f t="shared" si="74"/>
        <v>#VALUE!</v>
      </c>
      <c r="U509" s="2" t="e">
        <f t="shared" si="68"/>
        <v>#VALUE!</v>
      </c>
    </row>
    <row r="510" spans="2:21" x14ac:dyDescent="0.3">
      <c r="B510"/>
      <c r="C510"/>
      <c r="D510"/>
      <c r="E510" s="4"/>
      <c r="F510"/>
      <c r="G510"/>
      <c r="H510"/>
      <c r="I510"/>
      <c r="J510"/>
      <c r="O510" s="2" t="e">
        <f t="shared" si="69"/>
        <v>#VALUE!</v>
      </c>
      <c r="P510" s="6" t="e">
        <f t="shared" si="70"/>
        <v>#VALUE!</v>
      </c>
      <c r="Q510" s="6" t="e">
        <f t="shared" si="71"/>
        <v>#VALUE!</v>
      </c>
      <c r="R510" s="6" t="e">
        <f t="shared" si="72"/>
        <v>#VALUE!</v>
      </c>
      <c r="S510" s="6" t="e">
        <f t="shared" si="73"/>
        <v>#VALUE!</v>
      </c>
      <c r="T510" s="6" t="e">
        <f t="shared" si="74"/>
        <v>#VALUE!</v>
      </c>
      <c r="U510" s="2" t="e">
        <f t="shared" si="68"/>
        <v>#VALUE!</v>
      </c>
    </row>
    <row r="511" spans="2:21" x14ac:dyDescent="0.3">
      <c r="B511"/>
      <c r="C511"/>
      <c r="D511"/>
      <c r="E511" s="4"/>
      <c r="F511"/>
      <c r="G511"/>
      <c r="H511"/>
      <c r="I511"/>
      <c r="J511"/>
      <c r="O511" s="2" t="e">
        <f t="shared" si="69"/>
        <v>#VALUE!</v>
      </c>
      <c r="P511" s="6" t="e">
        <f t="shared" si="70"/>
        <v>#VALUE!</v>
      </c>
      <c r="Q511" s="6" t="e">
        <f t="shared" si="71"/>
        <v>#VALUE!</v>
      </c>
      <c r="R511" s="6" t="e">
        <f t="shared" si="72"/>
        <v>#VALUE!</v>
      </c>
      <c r="S511" s="6" t="e">
        <f t="shared" si="73"/>
        <v>#VALUE!</v>
      </c>
      <c r="T511" s="6" t="e">
        <f t="shared" si="74"/>
        <v>#VALUE!</v>
      </c>
      <c r="U511" s="2" t="e">
        <f t="shared" si="68"/>
        <v>#VALUE!</v>
      </c>
    </row>
    <row r="512" spans="2:21" x14ac:dyDescent="0.3">
      <c r="B512"/>
      <c r="C512"/>
      <c r="D512"/>
      <c r="E512"/>
      <c r="F512"/>
      <c r="G512"/>
      <c r="H512"/>
      <c r="I512"/>
      <c r="J512"/>
      <c r="O512" s="2" t="e">
        <f t="shared" si="69"/>
        <v>#VALUE!</v>
      </c>
      <c r="P512" s="6" t="e">
        <f t="shared" si="70"/>
        <v>#VALUE!</v>
      </c>
      <c r="Q512" s="6" t="e">
        <f t="shared" si="71"/>
        <v>#VALUE!</v>
      </c>
      <c r="R512" s="6" t="e">
        <f t="shared" si="72"/>
        <v>#VALUE!</v>
      </c>
      <c r="S512" s="6" t="e">
        <f t="shared" si="73"/>
        <v>#VALUE!</v>
      </c>
      <c r="T512" s="6" t="e">
        <f t="shared" si="74"/>
        <v>#VALUE!</v>
      </c>
      <c r="U512" s="2" t="e">
        <f t="shared" si="68"/>
        <v>#VALUE!</v>
      </c>
    </row>
    <row r="513" spans="2:21" x14ac:dyDescent="0.3">
      <c r="B513"/>
      <c r="C513"/>
      <c r="D513"/>
      <c r="E513"/>
      <c r="F513"/>
      <c r="G513"/>
      <c r="H513"/>
      <c r="I513"/>
      <c r="J513"/>
      <c r="O513" s="2" t="e">
        <f t="shared" si="69"/>
        <v>#VALUE!</v>
      </c>
      <c r="P513" s="6" t="e">
        <f t="shared" si="70"/>
        <v>#VALUE!</v>
      </c>
      <c r="Q513" s="6" t="e">
        <f t="shared" si="71"/>
        <v>#VALUE!</v>
      </c>
      <c r="R513" s="6" t="e">
        <f t="shared" si="72"/>
        <v>#VALUE!</v>
      </c>
      <c r="S513" s="6" t="e">
        <f t="shared" si="73"/>
        <v>#VALUE!</v>
      </c>
      <c r="T513" s="6" t="e">
        <f t="shared" si="74"/>
        <v>#VALUE!</v>
      </c>
      <c r="U513" s="2" t="e">
        <f t="shared" ref="U513:U576" si="75">SUBSTITUTE(CONCATENATE("&lt;Parametros&gt;","&lt;Alfa&gt;",P513,"&lt;/Alfa&gt;","&lt;Beta&gt;",Q513,"&lt;/Beta&gt;","&lt;Gamma&gt;",R513,"&lt;/Gamma&gt;","&lt;Delta&gt;",S513,"&lt;/Delta&gt;","&lt;Ro&gt;",T513,"&lt;/Ro&gt;","&lt;/Parametros&gt;"),",",".")</f>
        <v>#VALUE!</v>
      </c>
    </row>
    <row r="514" spans="2:21" x14ac:dyDescent="0.3">
      <c r="B514"/>
      <c r="C514"/>
      <c r="D514"/>
      <c r="E514"/>
      <c r="F514"/>
      <c r="G514"/>
      <c r="H514"/>
      <c r="I514"/>
      <c r="J514"/>
      <c r="O514" s="2" t="e">
        <f t="shared" si="69"/>
        <v>#VALUE!</v>
      </c>
      <c r="P514" s="6" t="e">
        <f t="shared" si="70"/>
        <v>#VALUE!</v>
      </c>
      <c r="Q514" s="6" t="e">
        <f t="shared" si="71"/>
        <v>#VALUE!</v>
      </c>
      <c r="R514" s="6" t="e">
        <f t="shared" si="72"/>
        <v>#VALUE!</v>
      </c>
      <c r="S514" s="6" t="e">
        <f t="shared" si="73"/>
        <v>#VALUE!</v>
      </c>
      <c r="T514" s="6" t="e">
        <f t="shared" si="74"/>
        <v>#VALUE!</v>
      </c>
      <c r="U514" s="2" t="e">
        <f t="shared" si="75"/>
        <v>#VALUE!</v>
      </c>
    </row>
    <row r="515" spans="2:21" x14ac:dyDescent="0.3">
      <c r="B515" s="4"/>
      <c r="C515" s="4"/>
      <c r="D515" s="4"/>
      <c r="E515" s="4"/>
      <c r="F515"/>
      <c r="G515"/>
      <c r="H515"/>
      <c r="I515"/>
      <c r="J515"/>
      <c r="O515" s="2" t="e">
        <f t="shared" si="69"/>
        <v>#VALUE!</v>
      </c>
      <c r="P515" s="6" t="e">
        <f t="shared" si="70"/>
        <v>#VALUE!</v>
      </c>
      <c r="Q515" s="6" t="e">
        <f t="shared" si="71"/>
        <v>#VALUE!</v>
      </c>
      <c r="R515" s="6" t="e">
        <f t="shared" si="72"/>
        <v>#VALUE!</v>
      </c>
      <c r="S515" s="6" t="e">
        <f t="shared" si="73"/>
        <v>#VALUE!</v>
      </c>
      <c r="T515" s="6" t="e">
        <f t="shared" si="74"/>
        <v>#VALUE!</v>
      </c>
      <c r="U515" s="2" t="e">
        <f t="shared" si="75"/>
        <v>#VALUE!</v>
      </c>
    </row>
    <row r="516" spans="2:21" x14ac:dyDescent="0.3">
      <c r="B516"/>
      <c r="C516"/>
      <c r="D516"/>
      <c r="E516" s="4"/>
      <c r="F516"/>
      <c r="G516"/>
      <c r="H516"/>
      <c r="I516"/>
      <c r="J516"/>
      <c r="O516" s="2" t="e">
        <f t="shared" si="69"/>
        <v>#VALUE!</v>
      </c>
      <c r="P516" s="6" t="e">
        <f t="shared" si="70"/>
        <v>#VALUE!</v>
      </c>
      <c r="Q516" s="6" t="e">
        <f t="shared" si="71"/>
        <v>#VALUE!</v>
      </c>
      <c r="R516" s="6" t="e">
        <f t="shared" si="72"/>
        <v>#VALUE!</v>
      </c>
      <c r="S516" s="6" t="e">
        <f t="shared" si="73"/>
        <v>#VALUE!</v>
      </c>
      <c r="T516" s="6" t="e">
        <f t="shared" si="74"/>
        <v>#VALUE!</v>
      </c>
      <c r="U516" s="2" t="e">
        <f t="shared" si="75"/>
        <v>#VALUE!</v>
      </c>
    </row>
    <row r="517" spans="2:21" x14ac:dyDescent="0.3">
      <c r="B517"/>
      <c r="C517"/>
      <c r="D517"/>
      <c r="E517"/>
      <c r="F517"/>
      <c r="G517"/>
      <c r="H517"/>
      <c r="I517"/>
      <c r="J517"/>
      <c r="O517" s="2" t="e">
        <f t="shared" si="69"/>
        <v>#VALUE!</v>
      </c>
      <c r="P517" s="6" t="e">
        <f t="shared" si="70"/>
        <v>#VALUE!</v>
      </c>
      <c r="Q517" s="6" t="e">
        <f t="shared" si="71"/>
        <v>#VALUE!</v>
      </c>
      <c r="R517" s="6" t="e">
        <f t="shared" si="72"/>
        <v>#VALUE!</v>
      </c>
      <c r="S517" s="6" t="e">
        <f t="shared" si="73"/>
        <v>#VALUE!</v>
      </c>
      <c r="T517" s="6" t="e">
        <f t="shared" si="74"/>
        <v>#VALUE!</v>
      </c>
      <c r="U517" s="2" t="e">
        <f t="shared" si="75"/>
        <v>#VALUE!</v>
      </c>
    </row>
    <row r="518" spans="2:21" x14ac:dyDescent="0.3">
      <c r="B518"/>
      <c r="C518"/>
      <c r="D518"/>
      <c r="E518"/>
      <c r="F518"/>
      <c r="G518"/>
      <c r="H518"/>
      <c r="I518"/>
      <c r="J518"/>
      <c r="O518" s="2" t="e">
        <f t="shared" si="69"/>
        <v>#VALUE!</v>
      </c>
      <c r="P518" s="6" t="e">
        <f t="shared" si="70"/>
        <v>#VALUE!</v>
      </c>
      <c r="Q518" s="6" t="e">
        <f t="shared" si="71"/>
        <v>#VALUE!</v>
      </c>
      <c r="R518" s="6" t="e">
        <f t="shared" si="72"/>
        <v>#VALUE!</v>
      </c>
      <c r="S518" s="6" t="e">
        <f t="shared" si="73"/>
        <v>#VALUE!</v>
      </c>
      <c r="T518" s="6" t="e">
        <f t="shared" si="74"/>
        <v>#VALUE!</v>
      </c>
      <c r="U518" s="2" t="e">
        <f t="shared" si="75"/>
        <v>#VALUE!</v>
      </c>
    </row>
    <row r="519" spans="2:21" x14ac:dyDescent="0.3">
      <c r="B519"/>
      <c r="C519"/>
      <c r="D519"/>
      <c r="E519"/>
      <c r="F519"/>
      <c r="G519"/>
      <c r="H519"/>
      <c r="I519"/>
      <c r="J519"/>
      <c r="O519" s="2" t="e">
        <f t="shared" si="69"/>
        <v>#VALUE!</v>
      </c>
      <c r="P519" s="6" t="e">
        <f t="shared" si="70"/>
        <v>#VALUE!</v>
      </c>
      <c r="Q519" s="6" t="e">
        <f t="shared" si="71"/>
        <v>#VALUE!</v>
      </c>
      <c r="R519" s="6" t="e">
        <f t="shared" si="72"/>
        <v>#VALUE!</v>
      </c>
      <c r="S519" s="6" t="e">
        <f t="shared" si="73"/>
        <v>#VALUE!</v>
      </c>
      <c r="T519" s="6" t="e">
        <f t="shared" si="74"/>
        <v>#VALUE!</v>
      </c>
      <c r="U519" s="2" t="e">
        <f t="shared" si="75"/>
        <v>#VALUE!</v>
      </c>
    </row>
    <row r="520" spans="2:21" x14ac:dyDescent="0.3">
      <c r="B520"/>
      <c r="C520"/>
      <c r="D520"/>
      <c r="E520"/>
      <c r="F520"/>
      <c r="G520"/>
      <c r="H520"/>
      <c r="I520"/>
      <c r="J520"/>
      <c r="O520" s="2" t="e">
        <f t="shared" ref="O520:O568" si="76">SUBSTITUTE(MID(A520,53,FIND("GBHS",A520)-54), ".", ",")</f>
        <v>#VALUE!</v>
      </c>
      <c r="P520" s="6" t="e">
        <f t="shared" ref="P520:P568" si="77">MID(O520,1,4)</f>
        <v>#VALUE!</v>
      </c>
      <c r="Q520" s="6" t="e">
        <f t="shared" ref="Q520:Q568" si="78">MID(O520,6,4)</f>
        <v>#VALUE!</v>
      </c>
      <c r="R520" s="6" t="e">
        <f t="shared" ref="R520:R568" si="79">MID(O520,11,4)</f>
        <v>#VALUE!</v>
      </c>
      <c r="S520" s="6" t="e">
        <f t="shared" ref="S520:S568" si="80">MID(O520,16,4)</f>
        <v>#VALUE!</v>
      </c>
      <c r="T520" s="6" t="e">
        <f t="shared" ref="T520:T568" si="81">MID(O520,21,4)</f>
        <v>#VALUE!</v>
      </c>
      <c r="U520" s="2" t="e">
        <f t="shared" si="75"/>
        <v>#VALUE!</v>
      </c>
    </row>
    <row r="521" spans="2:21" x14ac:dyDescent="0.3">
      <c r="B521"/>
      <c r="C521"/>
      <c r="D521"/>
      <c r="E521"/>
      <c r="F521"/>
      <c r="G521"/>
      <c r="H521"/>
      <c r="I521"/>
      <c r="J521"/>
      <c r="O521" s="2" t="e">
        <f t="shared" si="76"/>
        <v>#VALUE!</v>
      </c>
      <c r="P521" s="6" t="e">
        <f t="shared" si="77"/>
        <v>#VALUE!</v>
      </c>
      <c r="Q521" s="6" t="e">
        <f t="shared" si="78"/>
        <v>#VALUE!</v>
      </c>
      <c r="R521" s="6" t="e">
        <f t="shared" si="79"/>
        <v>#VALUE!</v>
      </c>
      <c r="S521" s="6" t="e">
        <f t="shared" si="80"/>
        <v>#VALUE!</v>
      </c>
      <c r="T521" s="6" t="e">
        <f t="shared" si="81"/>
        <v>#VALUE!</v>
      </c>
      <c r="U521" s="2" t="e">
        <f t="shared" si="75"/>
        <v>#VALUE!</v>
      </c>
    </row>
    <row r="522" spans="2:21" x14ac:dyDescent="0.3">
      <c r="B522"/>
      <c r="C522"/>
      <c r="D522"/>
      <c r="E522"/>
      <c r="F522"/>
      <c r="G522"/>
      <c r="H522"/>
      <c r="I522"/>
      <c r="J522"/>
      <c r="O522" s="2" t="e">
        <f t="shared" si="76"/>
        <v>#VALUE!</v>
      </c>
      <c r="P522" s="6" t="e">
        <f t="shared" si="77"/>
        <v>#VALUE!</v>
      </c>
      <c r="Q522" s="6" t="e">
        <f t="shared" si="78"/>
        <v>#VALUE!</v>
      </c>
      <c r="R522" s="6" t="e">
        <f t="shared" si="79"/>
        <v>#VALUE!</v>
      </c>
      <c r="S522" s="6" t="e">
        <f t="shared" si="80"/>
        <v>#VALUE!</v>
      </c>
      <c r="T522" s="6" t="e">
        <f t="shared" si="81"/>
        <v>#VALUE!</v>
      </c>
      <c r="U522" s="2" t="e">
        <f t="shared" si="75"/>
        <v>#VALUE!</v>
      </c>
    </row>
    <row r="523" spans="2:21" x14ac:dyDescent="0.3">
      <c r="B523"/>
      <c r="C523"/>
      <c r="D523"/>
      <c r="E523"/>
      <c r="F523"/>
      <c r="G523"/>
      <c r="H523"/>
      <c r="I523"/>
      <c r="J523"/>
      <c r="O523" s="2" t="e">
        <f t="shared" si="76"/>
        <v>#VALUE!</v>
      </c>
      <c r="P523" s="6" t="e">
        <f t="shared" si="77"/>
        <v>#VALUE!</v>
      </c>
      <c r="Q523" s="6" t="e">
        <f t="shared" si="78"/>
        <v>#VALUE!</v>
      </c>
      <c r="R523" s="6" t="e">
        <f t="shared" si="79"/>
        <v>#VALUE!</v>
      </c>
      <c r="S523" s="6" t="e">
        <f t="shared" si="80"/>
        <v>#VALUE!</v>
      </c>
      <c r="T523" s="6" t="e">
        <f t="shared" si="81"/>
        <v>#VALUE!</v>
      </c>
      <c r="U523" s="2" t="e">
        <f t="shared" si="75"/>
        <v>#VALUE!</v>
      </c>
    </row>
    <row r="524" spans="2:21" x14ac:dyDescent="0.3">
      <c r="B524"/>
      <c r="C524"/>
      <c r="D524"/>
      <c r="E524" s="4"/>
      <c r="F524"/>
      <c r="G524"/>
      <c r="H524"/>
      <c r="I524"/>
      <c r="J524"/>
      <c r="K524" s="1"/>
      <c r="L524" s="1"/>
      <c r="M524" s="1"/>
      <c r="O524" s="2" t="e">
        <f t="shared" si="76"/>
        <v>#VALUE!</v>
      </c>
      <c r="P524" s="6" t="e">
        <f t="shared" si="77"/>
        <v>#VALUE!</v>
      </c>
      <c r="Q524" s="6" t="e">
        <f t="shared" si="78"/>
        <v>#VALUE!</v>
      </c>
      <c r="R524" s="6" t="e">
        <f t="shared" si="79"/>
        <v>#VALUE!</v>
      </c>
      <c r="S524" s="6" t="e">
        <f t="shared" si="80"/>
        <v>#VALUE!</v>
      </c>
      <c r="T524" s="6" t="e">
        <f t="shared" si="81"/>
        <v>#VALUE!</v>
      </c>
      <c r="U524" s="2" t="e">
        <f t="shared" si="75"/>
        <v>#VALUE!</v>
      </c>
    </row>
    <row r="525" spans="2:21" x14ac:dyDescent="0.3">
      <c r="B525"/>
      <c r="C525"/>
      <c r="D525"/>
      <c r="E525"/>
      <c r="F525"/>
      <c r="G525"/>
      <c r="H525"/>
      <c r="I525"/>
      <c r="J525"/>
      <c r="O525" s="2" t="e">
        <f t="shared" si="76"/>
        <v>#VALUE!</v>
      </c>
      <c r="P525" s="6" t="e">
        <f t="shared" si="77"/>
        <v>#VALUE!</v>
      </c>
      <c r="Q525" s="6" t="e">
        <f t="shared" si="78"/>
        <v>#VALUE!</v>
      </c>
      <c r="R525" s="6" t="e">
        <f t="shared" si="79"/>
        <v>#VALUE!</v>
      </c>
      <c r="S525" s="6" t="e">
        <f t="shared" si="80"/>
        <v>#VALUE!</v>
      </c>
      <c r="T525" s="6" t="e">
        <f t="shared" si="81"/>
        <v>#VALUE!</v>
      </c>
      <c r="U525" s="2" t="e">
        <f t="shared" si="75"/>
        <v>#VALUE!</v>
      </c>
    </row>
    <row r="526" spans="2:21" x14ac:dyDescent="0.3">
      <c r="B526"/>
      <c r="C526"/>
      <c r="D526"/>
      <c r="E526"/>
      <c r="F526"/>
      <c r="G526"/>
      <c r="H526"/>
      <c r="I526"/>
      <c r="J526"/>
      <c r="O526" s="2" t="e">
        <f t="shared" si="76"/>
        <v>#VALUE!</v>
      </c>
      <c r="P526" s="6" t="e">
        <f t="shared" si="77"/>
        <v>#VALUE!</v>
      </c>
      <c r="Q526" s="6" t="e">
        <f t="shared" si="78"/>
        <v>#VALUE!</v>
      </c>
      <c r="R526" s="6" t="e">
        <f t="shared" si="79"/>
        <v>#VALUE!</v>
      </c>
      <c r="S526" s="6" t="e">
        <f t="shared" si="80"/>
        <v>#VALUE!</v>
      </c>
      <c r="T526" s="6" t="e">
        <f t="shared" si="81"/>
        <v>#VALUE!</v>
      </c>
      <c r="U526" s="2" t="e">
        <f t="shared" si="75"/>
        <v>#VALUE!</v>
      </c>
    </row>
    <row r="527" spans="2:21" x14ac:dyDescent="0.3">
      <c r="B527"/>
      <c r="C527"/>
      <c r="D527"/>
      <c r="E527" s="4"/>
      <c r="F527"/>
      <c r="G527"/>
      <c r="H527"/>
      <c r="I527"/>
      <c r="J527"/>
      <c r="O527" s="2" t="e">
        <f t="shared" si="76"/>
        <v>#VALUE!</v>
      </c>
      <c r="P527" s="6" t="e">
        <f t="shared" si="77"/>
        <v>#VALUE!</v>
      </c>
      <c r="Q527" s="6" t="e">
        <f t="shared" si="78"/>
        <v>#VALUE!</v>
      </c>
      <c r="R527" s="6" t="e">
        <f t="shared" si="79"/>
        <v>#VALUE!</v>
      </c>
      <c r="S527" s="6" t="e">
        <f t="shared" si="80"/>
        <v>#VALUE!</v>
      </c>
      <c r="T527" s="6" t="e">
        <f t="shared" si="81"/>
        <v>#VALUE!</v>
      </c>
      <c r="U527" s="2" t="e">
        <f t="shared" si="75"/>
        <v>#VALUE!</v>
      </c>
    </row>
    <row r="528" spans="2:21" x14ac:dyDescent="0.3">
      <c r="B528"/>
      <c r="C528"/>
      <c r="D528"/>
      <c r="E528" s="4"/>
      <c r="F528"/>
      <c r="G528"/>
      <c r="H528"/>
      <c r="I528"/>
      <c r="J528"/>
      <c r="O528" s="2" t="e">
        <f t="shared" si="76"/>
        <v>#VALUE!</v>
      </c>
      <c r="P528" s="6" t="e">
        <f t="shared" si="77"/>
        <v>#VALUE!</v>
      </c>
      <c r="Q528" s="6" t="e">
        <f t="shared" si="78"/>
        <v>#VALUE!</v>
      </c>
      <c r="R528" s="6" t="e">
        <f t="shared" si="79"/>
        <v>#VALUE!</v>
      </c>
      <c r="S528" s="6" t="e">
        <f t="shared" si="80"/>
        <v>#VALUE!</v>
      </c>
      <c r="T528" s="6" t="e">
        <f t="shared" si="81"/>
        <v>#VALUE!</v>
      </c>
      <c r="U528" s="2" t="e">
        <f t="shared" si="75"/>
        <v>#VALUE!</v>
      </c>
    </row>
    <row r="529" spans="2:21" x14ac:dyDescent="0.3">
      <c r="B529"/>
      <c r="C529"/>
      <c r="D529"/>
      <c r="E529"/>
      <c r="F529"/>
      <c r="G529"/>
      <c r="H529"/>
      <c r="I529"/>
      <c r="J529"/>
      <c r="O529" s="2" t="e">
        <f t="shared" si="76"/>
        <v>#VALUE!</v>
      </c>
      <c r="P529" s="6" t="e">
        <f t="shared" si="77"/>
        <v>#VALUE!</v>
      </c>
      <c r="Q529" s="6" t="e">
        <f t="shared" si="78"/>
        <v>#VALUE!</v>
      </c>
      <c r="R529" s="6" t="e">
        <f t="shared" si="79"/>
        <v>#VALUE!</v>
      </c>
      <c r="S529" s="6" t="e">
        <f t="shared" si="80"/>
        <v>#VALUE!</v>
      </c>
      <c r="T529" s="6" t="e">
        <f t="shared" si="81"/>
        <v>#VALUE!</v>
      </c>
      <c r="U529" s="2" t="e">
        <f t="shared" si="75"/>
        <v>#VALUE!</v>
      </c>
    </row>
    <row r="530" spans="2:21" x14ac:dyDescent="0.3">
      <c r="B530"/>
      <c r="C530"/>
      <c r="D530"/>
      <c r="E530"/>
      <c r="F530"/>
      <c r="G530"/>
      <c r="H530"/>
      <c r="I530"/>
      <c r="J530"/>
      <c r="O530" s="2" t="e">
        <f t="shared" si="76"/>
        <v>#VALUE!</v>
      </c>
      <c r="P530" s="6" t="e">
        <f t="shared" si="77"/>
        <v>#VALUE!</v>
      </c>
      <c r="Q530" s="6" t="e">
        <f t="shared" si="78"/>
        <v>#VALUE!</v>
      </c>
      <c r="R530" s="6" t="e">
        <f t="shared" si="79"/>
        <v>#VALUE!</v>
      </c>
      <c r="S530" s="6" t="e">
        <f t="shared" si="80"/>
        <v>#VALUE!</v>
      </c>
      <c r="T530" s="6" t="e">
        <f t="shared" si="81"/>
        <v>#VALUE!</v>
      </c>
      <c r="U530" s="2" t="e">
        <f t="shared" si="75"/>
        <v>#VALUE!</v>
      </c>
    </row>
    <row r="531" spans="2:21" x14ac:dyDescent="0.3">
      <c r="B531"/>
      <c r="C531"/>
      <c r="D531"/>
      <c r="E531"/>
      <c r="F531"/>
      <c r="G531"/>
      <c r="H531"/>
      <c r="I531"/>
      <c r="J531"/>
      <c r="O531" s="2" t="e">
        <f t="shared" si="76"/>
        <v>#VALUE!</v>
      </c>
      <c r="P531" s="6" t="e">
        <f t="shared" si="77"/>
        <v>#VALUE!</v>
      </c>
      <c r="Q531" s="6" t="e">
        <f t="shared" si="78"/>
        <v>#VALUE!</v>
      </c>
      <c r="R531" s="6" t="e">
        <f t="shared" si="79"/>
        <v>#VALUE!</v>
      </c>
      <c r="S531" s="6" t="e">
        <f t="shared" si="80"/>
        <v>#VALUE!</v>
      </c>
      <c r="T531" s="6" t="e">
        <f t="shared" si="81"/>
        <v>#VALUE!</v>
      </c>
      <c r="U531" s="2" t="e">
        <f t="shared" si="75"/>
        <v>#VALUE!</v>
      </c>
    </row>
    <row r="532" spans="2:21" x14ac:dyDescent="0.3">
      <c r="B532"/>
      <c r="C532"/>
      <c r="D532"/>
      <c r="E532" s="4"/>
      <c r="F532"/>
      <c r="G532"/>
      <c r="H532"/>
      <c r="I532"/>
      <c r="J532"/>
      <c r="K532" s="1"/>
      <c r="L532" s="1"/>
      <c r="M532" s="1"/>
      <c r="O532" s="2" t="e">
        <f t="shared" si="76"/>
        <v>#VALUE!</v>
      </c>
      <c r="P532" s="6" t="e">
        <f t="shared" si="77"/>
        <v>#VALUE!</v>
      </c>
      <c r="Q532" s="6" t="e">
        <f t="shared" si="78"/>
        <v>#VALUE!</v>
      </c>
      <c r="R532" s="6" t="e">
        <f t="shared" si="79"/>
        <v>#VALUE!</v>
      </c>
      <c r="S532" s="6" t="e">
        <f t="shared" si="80"/>
        <v>#VALUE!</v>
      </c>
      <c r="T532" s="6" t="e">
        <f t="shared" si="81"/>
        <v>#VALUE!</v>
      </c>
      <c r="U532" s="2" t="e">
        <f t="shared" si="75"/>
        <v>#VALUE!</v>
      </c>
    </row>
    <row r="533" spans="2:21" x14ac:dyDescent="0.3">
      <c r="B533"/>
      <c r="C533"/>
      <c r="D533"/>
      <c r="E533" s="4"/>
      <c r="F533"/>
      <c r="G533"/>
      <c r="H533"/>
      <c r="I533"/>
      <c r="J533"/>
      <c r="K533" s="1"/>
      <c r="L533" s="1"/>
      <c r="M533" s="1"/>
      <c r="O533" s="2" t="e">
        <f t="shared" si="76"/>
        <v>#VALUE!</v>
      </c>
      <c r="P533" s="6" t="e">
        <f t="shared" si="77"/>
        <v>#VALUE!</v>
      </c>
      <c r="Q533" s="6" t="e">
        <f t="shared" si="78"/>
        <v>#VALUE!</v>
      </c>
      <c r="R533" s="6" t="e">
        <f t="shared" si="79"/>
        <v>#VALUE!</v>
      </c>
      <c r="S533" s="6" t="e">
        <f t="shared" si="80"/>
        <v>#VALUE!</v>
      </c>
      <c r="T533" s="6" t="e">
        <f t="shared" si="81"/>
        <v>#VALUE!</v>
      </c>
      <c r="U533" s="2" t="e">
        <f t="shared" si="75"/>
        <v>#VALUE!</v>
      </c>
    </row>
    <row r="534" spans="2:21" x14ac:dyDescent="0.3">
      <c r="B534"/>
      <c r="C534"/>
      <c r="D534"/>
      <c r="E534" s="4"/>
      <c r="F534"/>
      <c r="G534"/>
      <c r="H534"/>
      <c r="I534"/>
      <c r="J534"/>
      <c r="K534" s="1"/>
      <c r="L534" s="1"/>
      <c r="M534" s="1"/>
      <c r="O534" s="2" t="e">
        <f t="shared" si="76"/>
        <v>#VALUE!</v>
      </c>
      <c r="P534" s="6" t="e">
        <f t="shared" si="77"/>
        <v>#VALUE!</v>
      </c>
      <c r="Q534" s="6" t="e">
        <f t="shared" si="78"/>
        <v>#VALUE!</v>
      </c>
      <c r="R534" s="6" t="e">
        <f t="shared" si="79"/>
        <v>#VALUE!</v>
      </c>
      <c r="S534" s="6" t="e">
        <f t="shared" si="80"/>
        <v>#VALUE!</v>
      </c>
      <c r="T534" s="6" t="e">
        <f t="shared" si="81"/>
        <v>#VALUE!</v>
      </c>
      <c r="U534" s="2" t="e">
        <f t="shared" si="75"/>
        <v>#VALUE!</v>
      </c>
    </row>
    <row r="535" spans="2:21" x14ac:dyDescent="0.3">
      <c r="B535"/>
      <c r="C535"/>
      <c r="D535"/>
      <c r="E535" s="4"/>
      <c r="F535"/>
      <c r="G535"/>
      <c r="H535"/>
      <c r="I535"/>
      <c r="J535"/>
      <c r="O535" s="2" t="e">
        <f t="shared" si="76"/>
        <v>#VALUE!</v>
      </c>
      <c r="P535" s="6" t="e">
        <f t="shared" si="77"/>
        <v>#VALUE!</v>
      </c>
      <c r="Q535" s="6" t="e">
        <f t="shared" si="78"/>
        <v>#VALUE!</v>
      </c>
      <c r="R535" s="6" t="e">
        <f t="shared" si="79"/>
        <v>#VALUE!</v>
      </c>
      <c r="S535" s="6" t="e">
        <f t="shared" si="80"/>
        <v>#VALUE!</v>
      </c>
      <c r="T535" s="6" t="e">
        <f t="shared" si="81"/>
        <v>#VALUE!</v>
      </c>
      <c r="U535" s="2" t="e">
        <f t="shared" si="75"/>
        <v>#VALUE!</v>
      </c>
    </row>
    <row r="536" spans="2:21" x14ac:dyDescent="0.3">
      <c r="B536"/>
      <c r="C536"/>
      <c r="D536"/>
      <c r="E536"/>
      <c r="F536"/>
      <c r="G536"/>
      <c r="H536"/>
      <c r="I536"/>
      <c r="J536"/>
      <c r="O536" s="2" t="e">
        <f t="shared" si="76"/>
        <v>#VALUE!</v>
      </c>
      <c r="P536" s="6" t="e">
        <f t="shared" si="77"/>
        <v>#VALUE!</v>
      </c>
      <c r="Q536" s="6" t="e">
        <f t="shared" si="78"/>
        <v>#VALUE!</v>
      </c>
      <c r="R536" s="6" t="e">
        <f t="shared" si="79"/>
        <v>#VALUE!</v>
      </c>
      <c r="S536" s="6" t="e">
        <f t="shared" si="80"/>
        <v>#VALUE!</v>
      </c>
      <c r="T536" s="6" t="e">
        <f t="shared" si="81"/>
        <v>#VALUE!</v>
      </c>
      <c r="U536" s="2" t="e">
        <f t="shared" si="75"/>
        <v>#VALUE!</v>
      </c>
    </row>
    <row r="537" spans="2:21" x14ac:dyDescent="0.3">
      <c r="B537"/>
      <c r="C537"/>
      <c r="D537"/>
      <c r="E537"/>
      <c r="F537"/>
      <c r="G537"/>
      <c r="H537"/>
      <c r="I537"/>
      <c r="J537"/>
      <c r="O537" s="2" t="e">
        <f t="shared" si="76"/>
        <v>#VALUE!</v>
      </c>
      <c r="P537" s="6" t="e">
        <f t="shared" si="77"/>
        <v>#VALUE!</v>
      </c>
      <c r="Q537" s="6" t="e">
        <f t="shared" si="78"/>
        <v>#VALUE!</v>
      </c>
      <c r="R537" s="6" t="e">
        <f t="shared" si="79"/>
        <v>#VALUE!</v>
      </c>
      <c r="S537" s="6" t="e">
        <f t="shared" si="80"/>
        <v>#VALUE!</v>
      </c>
      <c r="T537" s="6" t="e">
        <f t="shared" si="81"/>
        <v>#VALUE!</v>
      </c>
      <c r="U537" s="2" t="e">
        <f t="shared" si="75"/>
        <v>#VALUE!</v>
      </c>
    </row>
    <row r="538" spans="2:21" x14ac:dyDescent="0.3">
      <c r="B538"/>
      <c r="C538"/>
      <c r="D538"/>
      <c r="E538"/>
      <c r="F538"/>
      <c r="G538"/>
      <c r="H538"/>
      <c r="I538"/>
      <c r="J538"/>
      <c r="O538" s="2" t="e">
        <f t="shared" si="76"/>
        <v>#VALUE!</v>
      </c>
      <c r="P538" s="6" t="e">
        <f t="shared" si="77"/>
        <v>#VALUE!</v>
      </c>
      <c r="Q538" s="6" t="e">
        <f t="shared" si="78"/>
        <v>#VALUE!</v>
      </c>
      <c r="R538" s="6" t="e">
        <f t="shared" si="79"/>
        <v>#VALUE!</v>
      </c>
      <c r="S538" s="6" t="e">
        <f t="shared" si="80"/>
        <v>#VALUE!</v>
      </c>
      <c r="T538" s="6" t="e">
        <f t="shared" si="81"/>
        <v>#VALUE!</v>
      </c>
      <c r="U538" s="2" t="e">
        <f t="shared" si="75"/>
        <v>#VALUE!</v>
      </c>
    </row>
    <row r="539" spans="2:21" x14ac:dyDescent="0.3">
      <c r="B539"/>
      <c r="C539"/>
      <c r="D539"/>
      <c r="E539"/>
      <c r="F539"/>
      <c r="G539"/>
      <c r="H539"/>
      <c r="I539"/>
      <c r="J539"/>
      <c r="O539" s="2" t="e">
        <f t="shared" si="76"/>
        <v>#VALUE!</v>
      </c>
      <c r="P539" s="6" t="e">
        <f t="shared" si="77"/>
        <v>#VALUE!</v>
      </c>
      <c r="Q539" s="6" t="e">
        <f t="shared" si="78"/>
        <v>#VALUE!</v>
      </c>
      <c r="R539" s="6" t="e">
        <f t="shared" si="79"/>
        <v>#VALUE!</v>
      </c>
      <c r="S539" s="6" t="e">
        <f t="shared" si="80"/>
        <v>#VALUE!</v>
      </c>
      <c r="T539" s="6" t="e">
        <f t="shared" si="81"/>
        <v>#VALUE!</v>
      </c>
      <c r="U539" s="2" t="e">
        <f t="shared" si="75"/>
        <v>#VALUE!</v>
      </c>
    </row>
    <row r="540" spans="2:21" x14ac:dyDescent="0.3">
      <c r="B540"/>
      <c r="C540"/>
      <c r="D540"/>
      <c r="E540"/>
      <c r="F540"/>
      <c r="G540"/>
      <c r="H540"/>
      <c r="I540"/>
      <c r="J540"/>
      <c r="O540" s="2" t="e">
        <f t="shared" si="76"/>
        <v>#VALUE!</v>
      </c>
      <c r="P540" s="6" t="e">
        <f t="shared" si="77"/>
        <v>#VALUE!</v>
      </c>
      <c r="Q540" s="6" t="e">
        <f t="shared" si="78"/>
        <v>#VALUE!</v>
      </c>
      <c r="R540" s="6" t="e">
        <f t="shared" si="79"/>
        <v>#VALUE!</v>
      </c>
      <c r="S540" s="6" t="e">
        <f t="shared" si="80"/>
        <v>#VALUE!</v>
      </c>
      <c r="T540" s="6" t="e">
        <f t="shared" si="81"/>
        <v>#VALUE!</v>
      </c>
      <c r="U540" s="2" t="e">
        <f t="shared" si="75"/>
        <v>#VALUE!</v>
      </c>
    </row>
    <row r="541" spans="2:21" x14ac:dyDescent="0.3">
      <c r="B541"/>
      <c r="C541"/>
      <c r="D541"/>
      <c r="E541"/>
      <c r="F541"/>
      <c r="G541"/>
      <c r="H541"/>
      <c r="I541"/>
      <c r="J541"/>
      <c r="O541" s="2" t="e">
        <f t="shared" si="76"/>
        <v>#VALUE!</v>
      </c>
      <c r="P541" s="6" t="e">
        <f t="shared" si="77"/>
        <v>#VALUE!</v>
      </c>
      <c r="Q541" s="6" t="e">
        <f t="shared" si="78"/>
        <v>#VALUE!</v>
      </c>
      <c r="R541" s="6" t="e">
        <f t="shared" si="79"/>
        <v>#VALUE!</v>
      </c>
      <c r="S541" s="6" t="e">
        <f t="shared" si="80"/>
        <v>#VALUE!</v>
      </c>
      <c r="T541" s="6" t="e">
        <f t="shared" si="81"/>
        <v>#VALUE!</v>
      </c>
      <c r="U541" s="2" t="e">
        <f t="shared" si="75"/>
        <v>#VALUE!</v>
      </c>
    </row>
    <row r="542" spans="2:21" x14ac:dyDescent="0.3">
      <c r="B542"/>
      <c r="C542"/>
      <c r="D542"/>
      <c r="E542"/>
      <c r="F542"/>
      <c r="G542"/>
      <c r="H542"/>
      <c r="I542"/>
      <c r="J542"/>
      <c r="O542" s="2" t="e">
        <f t="shared" si="76"/>
        <v>#VALUE!</v>
      </c>
      <c r="P542" s="6" t="e">
        <f t="shared" si="77"/>
        <v>#VALUE!</v>
      </c>
      <c r="Q542" s="6" t="e">
        <f t="shared" si="78"/>
        <v>#VALUE!</v>
      </c>
      <c r="R542" s="6" t="e">
        <f t="shared" si="79"/>
        <v>#VALUE!</v>
      </c>
      <c r="S542" s="6" t="e">
        <f t="shared" si="80"/>
        <v>#VALUE!</v>
      </c>
      <c r="T542" s="6" t="e">
        <f t="shared" si="81"/>
        <v>#VALUE!</v>
      </c>
      <c r="U542" s="2" t="e">
        <f t="shared" si="75"/>
        <v>#VALUE!</v>
      </c>
    </row>
    <row r="543" spans="2:21" x14ac:dyDescent="0.3">
      <c r="B543"/>
      <c r="C543"/>
      <c r="D543"/>
      <c r="E543" s="4"/>
      <c r="F543"/>
      <c r="G543"/>
      <c r="H543"/>
      <c r="I543"/>
      <c r="J543"/>
      <c r="K543" s="7"/>
      <c r="L543" s="7"/>
      <c r="M543" s="7"/>
      <c r="O543" s="2" t="e">
        <f t="shared" si="76"/>
        <v>#VALUE!</v>
      </c>
      <c r="P543" s="6" t="e">
        <f t="shared" si="77"/>
        <v>#VALUE!</v>
      </c>
      <c r="Q543" s="6" t="e">
        <f t="shared" si="78"/>
        <v>#VALUE!</v>
      </c>
      <c r="R543" s="6" t="e">
        <f t="shared" si="79"/>
        <v>#VALUE!</v>
      </c>
      <c r="S543" s="6" t="e">
        <f t="shared" si="80"/>
        <v>#VALUE!</v>
      </c>
      <c r="T543" s="6" t="e">
        <f t="shared" si="81"/>
        <v>#VALUE!</v>
      </c>
      <c r="U543" s="2" t="e">
        <f t="shared" si="75"/>
        <v>#VALUE!</v>
      </c>
    </row>
    <row r="544" spans="2:21" x14ac:dyDescent="0.3">
      <c r="B544"/>
      <c r="C544"/>
      <c r="D544"/>
      <c r="E544"/>
      <c r="F544"/>
      <c r="G544"/>
      <c r="H544"/>
      <c r="I544"/>
      <c r="J544"/>
      <c r="O544" s="2" t="e">
        <f t="shared" si="76"/>
        <v>#VALUE!</v>
      </c>
      <c r="P544" s="6" t="e">
        <f t="shared" si="77"/>
        <v>#VALUE!</v>
      </c>
      <c r="Q544" s="6" t="e">
        <f t="shared" si="78"/>
        <v>#VALUE!</v>
      </c>
      <c r="R544" s="6" t="e">
        <f t="shared" si="79"/>
        <v>#VALUE!</v>
      </c>
      <c r="S544" s="6" t="e">
        <f t="shared" si="80"/>
        <v>#VALUE!</v>
      </c>
      <c r="T544" s="6" t="e">
        <f t="shared" si="81"/>
        <v>#VALUE!</v>
      </c>
      <c r="U544" s="2" t="e">
        <f t="shared" si="75"/>
        <v>#VALUE!</v>
      </c>
    </row>
    <row r="545" spans="2:21" x14ac:dyDescent="0.3">
      <c r="B545"/>
      <c r="C545"/>
      <c r="D545"/>
      <c r="E545"/>
      <c r="F545"/>
      <c r="G545"/>
      <c r="H545"/>
      <c r="I545"/>
      <c r="J545"/>
      <c r="O545" s="2" t="e">
        <f t="shared" si="76"/>
        <v>#VALUE!</v>
      </c>
      <c r="P545" s="6" t="e">
        <f t="shared" si="77"/>
        <v>#VALUE!</v>
      </c>
      <c r="Q545" s="6" t="e">
        <f t="shared" si="78"/>
        <v>#VALUE!</v>
      </c>
      <c r="R545" s="6" t="e">
        <f t="shared" si="79"/>
        <v>#VALUE!</v>
      </c>
      <c r="S545" s="6" t="e">
        <f t="shared" si="80"/>
        <v>#VALUE!</v>
      </c>
      <c r="T545" s="6" t="e">
        <f t="shared" si="81"/>
        <v>#VALUE!</v>
      </c>
      <c r="U545" s="2" t="e">
        <f t="shared" si="75"/>
        <v>#VALUE!</v>
      </c>
    </row>
    <row r="546" spans="2:21" x14ac:dyDescent="0.3">
      <c r="B546"/>
      <c r="C546"/>
      <c r="D546"/>
      <c r="E546"/>
      <c r="F546"/>
      <c r="G546"/>
      <c r="H546"/>
      <c r="I546"/>
      <c r="J546"/>
      <c r="O546" s="2" t="e">
        <f t="shared" si="76"/>
        <v>#VALUE!</v>
      </c>
      <c r="P546" s="6" t="e">
        <f t="shared" si="77"/>
        <v>#VALUE!</v>
      </c>
      <c r="Q546" s="6" t="e">
        <f t="shared" si="78"/>
        <v>#VALUE!</v>
      </c>
      <c r="R546" s="6" t="e">
        <f t="shared" si="79"/>
        <v>#VALUE!</v>
      </c>
      <c r="S546" s="6" t="e">
        <f t="shared" si="80"/>
        <v>#VALUE!</v>
      </c>
      <c r="T546" s="6" t="e">
        <f t="shared" si="81"/>
        <v>#VALUE!</v>
      </c>
      <c r="U546" s="2" t="e">
        <f t="shared" si="75"/>
        <v>#VALUE!</v>
      </c>
    </row>
    <row r="547" spans="2:21" x14ac:dyDescent="0.3">
      <c r="B547"/>
      <c r="C547"/>
      <c r="D547"/>
      <c r="E547" s="4"/>
      <c r="F547"/>
      <c r="G547"/>
      <c r="H547"/>
      <c r="I547"/>
      <c r="J547"/>
      <c r="O547" s="2" t="e">
        <f t="shared" si="76"/>
        <v>#VALUE!</v>
      </c>
      <c r="P547" s="6" t="e">
        <f t="shared" si="77"/>
        <v>#VALUE!</v>
      </c>
      <c r="Q547" s="6" t="e">
        <f t="shared" si="78"/>
        <v>#VALUE!</v>
      </c>
      <c r="R547" s="6" t="e">
        <f t="shared" si="79"/>
        <v>#VALUE!</v>
      </c>
      <c r="S547" s="6" t="e">
        <f t="shared" si="80"/>
        <v>#VALUE!</v>
      </c>
      <c r="T547" s="6" t="e">
        <f t="shared" si="81"/>
        <v>#VALUE!</v>
      </c>
      <c r="U547" s="2" t="e">
        <f t="shared" si="75"/>
        <v>#VALUE!</v>
      </c>
    </row>
    <row r="548" spans="2:21" x14ac:dyDescent="0.3">
      <c r="B548"/>
      <c r="C548"/>
      <c r="D548"/>
      <c r="E548"/>
      <c r="F548"/>
      <c r="G548"/>
      <c r="H548"/>
      <c r="I548"/>
      <c r="J548"/>
      <c r="O548" s="2" t="e">
        <f t="shared" si="76"/>
        <v>#VALUE!</v>
      </c>
      <c r="P548" s="6" t="e">
        <f t="shared" si="77"/>
        <v>#VALUE!</v>
      </c>
      <c r="Q548" s="6" t="e">
        <f t="shared" si="78"/>
        <v>#VALUE!</v>
      </c>
      <c r="R548" s="6" t="e">
        <f t="shared" si="79"/>
        <v>#VALUE!</v>
      </c>
      <c r="S548" s="6" t="e">
        <f t="shared" si="80"/>
        <v>#VALUE!</v>
      </c>
      <c r="T548" s="6" t="e">
        <f t="shared" si="81"/>
        <v>#VALUE!</v>
      </c>
      <c r="U548" s="2" t="e">
        <f t="shared" si="75"/>
        <v>#VALUE!</v>
      </c>
    </row>
    <row r="549" spans="2:21" x14ac:dyDescent="0.3">
      <c r="B549"/>
      <c r="C549"/>
      <c r="D549"/>
      <c r="E549" s="4"/>
      <c r="F549"/>
      <c r="G549"/>
      <c r="H549"/>
      <c r="I549"/>
      <c r="J549"/>
      <c r="K549" s="1"/>
      <c r="L549" s="1"/>
      <c r="M549" s="1"/>
      <c r="O549" s="2" t="e">
        <f t="shared" si="76"/>
        <v>#VALUE!</v>
      </c>
      <c r="P549" s="6" t="e">
        <f t="shared" si="77"/>
        <v>#VALUE!</v>
      </c>
      <c r="Q549" s="6" t="e">
        <f t="shared" si="78"/>
        <v>#VALUE!</v>
      </c>
      <c r="R549" s="6" t="e">
        <f t="shared" si="79"/>
        <v>#VALUE!</v>
      </c>
      <c r="S549" s="6" t="e">
        <f t="shared" si="80"/>
        <v>#VALUE!</v>
      </c>
      <c r="T549" s="6" t="e">
        <f t="shared" si="81"/>
        <v>#VALUE!</v>
      </c>
      <c r="U549" s="2" t="e">
        <f t="shared" si="75"/>
        <v>#VALUE!</v>
      </c>
    </row>
    <row r="550" spans="2:21" x14ac:dyDescent="0.3">
      <c r="B550" s="4"/>
      <c r="C550" s="4"/>
      <c r="D550" s="4"/>
      <c r="E550" s="4"/>
      <c r="F550"/>
      <c r="G550"/>
      <c r="H550"/>
      <c r="I550"/>
      <c r="J550"/>
      <c r="O550" s="2" t="e">
        <f t="shared" si="76"/>
        <v>#VALUE!</v>
      </c>
      <c r="P550" s="6" t="e">
        <f t="shared" si="77"/>
        <v>#VALUE!</v>
      </c>
      <c r="Q550" s="6" t="e">
        <f t="shared" si="78"/>
        <v>#VALUE!</v>
      </c>
      <c r="R550" s="6" t="e">
        <f t="shared" si="79"/>
        <v>#VALUE!</v>
      </c>
      <c r="S550" s="6" t="e">
        <f t="shared" si="80"/>
        <v>#VALUE!</v>
      </c>
      <c r="T550" s="6" t="e">
        <f t="shared" si="81"/>
        <v>#VALUE!</v>
      </c>
      <c r="U550" s="2" t="e">
        <f t="shared" si="75"/>
        <v>#VALUE!</v>
      </c>
    </row>
    <row r="551" spans="2:21" x14ac:dyDescent="0.3">
      <c r="B551"/>
      <c r="C551"/>
      <c r="D551"/>
      <c r="E551"/>
      <c r="F551"/>
      <c r="G551"/>
      <c r="H551"/>
      <c r="I551"/>
      <c r="J551"/>
      <c r="O551" s="2" t="e">
        <f t="shared" si="76"/>
        <v>#VALUE!</v>
      </c>
      <c r="P551" s="6" t="e">
        <f t="shared" si="77"/>
        <v>#VALUE!</v>
      </c>
      <c r="Q551" s="6" t="e">
        <f t="shared" si="78"/>
        <v>#VALUE!</v>
      </c>
      <c r="R551" s="6" t="e">
        <f t="shared" si="79"/>
        <v>#VALUE!</v>
      </c>
      <c r="S551" s="6" t="e">
        <f t="shared" si="80"/>
        <v>#VALUE!</v>
      </c>
      <c r="T551" s="6" t="e">
        <f t="shared" si="81"/>
        <v>#VALUE!</v>
      </c>
      <c r="U551" s="2" t="e">
        <f t="shared" si="75"/>
        <v>#VALUE!</v>
      </c>
    </row>
    <row r="552" spans="2:21" x14ac:dyDescent="0.3">
      <c r="B552"/>
      <c r="C552"/>
      <c r="D552"/>
      <c r="E552"/>
      <c r="F552"/>
      <c r="G552"/>
      <c r="H552"/>
      <c r="I552"/>
      <c r="J552"/>
      <c r="O552" s="2" t="e">
        <f t="shared" si="76"/>
        <v>#VALUE!</v>
      </c>
      <c r="P552" s="6" t="e">
        <f t="shared" si="77"/>
        <v>#VALUE!</v>
      </c>
      <c r="Q552" s="6" t="e">
        <f t="shared" si="78"/>
        <v>#VALUE!</v>
      </c>
      <c r="R552" s="6" t="e">
        <f t="shared" si="79"/>
        <v>#VALUE!</v>
      </c>
      <c r="S552" s="6" t="e">
        <f t="shared" si="80"/>
        <v>#VALUE!</v>
      </c>
      <c r="T552" s="6" t="e">
        <f t="shared" si="81"/>
        <v>#VALUE!</v>
      </c>
      <c r="U552" s="2" t="e">
        <f t="shared" si="75"/>
        <v>#VALUE!</v>
      </c>
    </row>
    <row r="553" spans="2:21" x14ac:dyDescent="0.3">
      <c r="B553" s="4"/>
      <c r="C553" s="4"/>
      <c r="D553" s="4"/>
      <c r="E553" s="4"/>
      <c r="F553"/>
      <c r="G553"/>
      <c r="H553"/>
      <c r="I553"/>
      <c r="J553"/>
      <c r="K553" s="7"/>
      <c r="L553" s="7"/>
      <c r="M553" s="7"/>
      <c r="O553" s="2" t="e">
        <f t="shared" si="76"/>
        <v>#VALUE!</v>
      </c>
      <c r="P553" s="6" t="e">
        <f t="shared" si="77"/>
        <v>#VALUE!</v>
      </c>
      <c r="Q553" s="6" t="e">
        <f t="shared" si="78"/>
        <v>#VALUE!</v>
      </c>
      <c r="R553" s="6" t="e">
        <f t="shared" si="79"/>
        <v>#VALUE!</v>
      </c>
      <c r="S553" s="6" t="e">
        <f t="shared" si="80"/>
        <v>#VALUE!</v>
      </c>
      <c r="T553" s="6" t="e">
        <f t="shared" si="81"/>
        <v>#VALUE!</v>
      </c>
      <c r="U553" s="2" t="e">
        <f t="shared" si="75"/>
        <v>#VALUE!</v>
      </c>
    </row>
    <row r="554" spans="2:21" x14ac:dyDescent="0.3">
      <c r="B554"/>
      <c r="C554"/>
      <c r="D554"/>
      <c r="E554"/>
      <c r="F554"/>
      <c r="G554"/>
      <c r="H554"/>
      <c r="I554"/>
      <c r="J554"/>
      <c r="O554" s="2" t="e">
        <f t="shared" si="76"/>
        <v>#VALUE!</v>
      </c>
      <c r="P554" s="6" t="e">
        <f t="shared" si="77"/>
        <v>#VALUE!</v>
      </c>
      <c r="Q554" s="6" t="e">
        <f t="shared" si="78"/>
        <v>#VALUE!</v>
      </c>
      <c r="R554" s="6" t="e">
        <f t="shared" si="79"/>
        <v>#VALUE!</v>
      </c>
      <c r="S554" s="6" t="e">
        <f t="shared" si="80"/>
        <v>#VALUE!</v>
      </c>
      <c r="T554" s="6" t="e">
        <f t="shared" si="81"/>
        <v>#VALUE!</v>
      </c>
      <c r="U554" s="2" t="e">
        <f t="shared" si="75"/>
        <v>#VALUE!</v>
      </c>
    </row>
    <row r="555" spans="2:21" x14ac:dyDescent="0.3">
      <c r="B555"/>
      <c r="C555"/>
      <c r="D555"/>
      <c r="E555"/>
      <c r="F555"/>
      <c r="G555"/>
      <c r="H555"/>
      <c r="I555"/>
      <c r="J555"/>
      <c r="O555" s="2" t="e">
        <f t="shared" si="76"/>
        <v>#VALUE!</v>
      </c>
      <c r="P555" s="6" t="e">
        <f t="shared" si="77"/>
        <v>#VALUE!</v>
      </c>
      <c r="Q555" s="6" t="e">
        <f t="shared" si="78"/>
        <v>#VALUE!</v>
      </c>
      <c r="R555" s="6" t="e">
        <f t="shared" si="79"/>
        <v>#VALUE!</v>
      </c>
      <c r="S555" s="6" t="e">
        <f t="shared" si="80"/>
        <v>#VALUE!</v>
      </c>
      <c r="T555" s="6" t="e">
        <f t="shared" si="81"/>
        <v>#VALUE!</v>
      </c>
      <c r="U555" s="2" t="e">
        <f t="shared" si="75"/>
        <v>#VALUE!</v>
      </c>
    </row>
    <row r="556" spans="2:21" x14ac:dyDescent="0.3">
      <c r="B556"/>
      <c r="C556"/>
      <c r="D556"/>
      <c r="E556" s="4"/>
      <c r="F556"/>
      <c r="G556"/>
      <c r="H556"/>
      <c r="I556"/>
      <c r="J556"/>
      <c r="K556" s="1"/>
      <c r="L556" s="1"/>
      <c r="M556" s="1"/>
      <c r="O556" s="2" t="e">
        <f t="shared" si="76"/>
        <v>#VALUE!</v>
      </c>
      <c r="P556" s="6" t="e">
        <f t="shared" si="77"/>
        <v>#VALUE!</v>
      </c>
      <c r="Q556" s="6" t="e">
        <f t="shared" si="78"/>
        <v>#VALUE!</v>
      </c>
      <c r="R556" s="6" t="e">
        <f t="shared" si="79"/>
        <v>#VALUE!</v>
      </c>
      <c r="S556" s="6" t="e">
        <f t="shared" si="80"/>
        <v>#VALUE!</v>
      </c>
      <c r="T556" s="6" t="e">
        <f t="shared" si="81"/>
        <v>#VALUE!</v>
      </c>
      <c r="U556" s="2" t="e">
        <f t="shared" si="75"/>
        <v>#VALUE!</v>
      </c>
    </row>
    <row r="557" spans="2:21" x14ac:dyDescent="0.3">
      <c r="B557"/>
      <c r="C557"/>
      <c r="D557"/>
      <c r="E557"/>
      <c r="F557"/>
      <c r="G557"/>
      <c r="H557"/>
      <c r="I557"/>
      <c r="J557"/>
      <c r="O557" s="2" t="e">
        <f t="shared" si="76"/>
        <v>#VALUE!</v>
      </c>
      <c r="P557" s="6" t="e">
        <f t="shared" si="77"/>
        <v>#VALUE!</v>
      </c>
      <c r="Q557" s="6" t="e">
        <f t="shared" si="78"/>
        <v>#VALUE!</v>
      </c>
      <c r="R557" s="6" t="e">
        <f t="shared" si="79"/>
        <v>#VALUE!</v>
      </c>
      <c r="S557" s="6" t="e">
        <f t="shared" si="80"/>
        <v>#VALUE!</v>
      </c>
      <c r="T557" s="6" t="e">
        <f t="shared" si="81"/>
        <v>#VALUE!</v>
      </c>
      <c r="U557" s="2" t="e">
        <f t="shared" si="75"/>
        <v>#VALUE!</v>
      </c>
    </row>
    <row r="558" spans="2:21" x14ac:dyDescent="0.3">
      <c r="B558"/>
      <c r="C558"/>
      <c r="D558"/>
      <c r="E558"/>
      <c r="F558"/>
      <c r="G558"/>
      <c r="H558"/>
      <c r="I558"/>
      <c r="J558"/>
      <c r="O558" s="2" t="e">
        <f t="shared" si="76"/>
        <v>#VALUE!</v>
      </c>
      <c r="P558" s="6" t="e">
        <f t="shared" si="77"/>
        <v>#VALUE!</v>
      </c>
      <c r="Q558" s="6" t="e">
        <f t="shared" si="78"/>
        <v>#VALUE!</v>
      </c>
      <c r="R558" s="6" t="e">
        <f t="shared" si="79"/>
        <v>#VALUE!</v>
      </c>
      <c r="S558" s="6" t="e">
        <f t="shared" si="80"/>
        <v>#VALUE!</v>
      </c>
      <c r="T558" s="6" t="e">
        <f t="shared" si="81"/>
        <v>#VALUE!</v>
      </c>
      <c r="U558" s="2" t="e">
        <f t="shared" si="75"/>
        <v>#VALUE!</v>
      </c>
    </row>
    <row r="559" spans="2:21" x14ac:dyDescent="0.3">
      <c r="B559"/>
      <c r="C559"/>
      <c r="D559"/>
      <c r="E559"/>
      <c r="F559"/>
      <c r="G559"/>
      <c r="H559"/>
      <c r="I559"/>
      <c r="J559"/>
      <c r="O559" s="2" t="e">
        <f t="shared" si="76"/>
        <v>#VALUE!</v>
      </c>
      <c r="P559" s="6" t="e">
        <f t="shared" si="77"/>
        <v>#VALUE!</v>
      </c>
      <c r="Q559" s="6" t="e">
        <f t="shared" si="78"/>
        <v>#VALUE!</v>
      </c>
      <c r="R559" s="6" t="e">
        <f t="shared" si="79"/>
        <v>#VALUE!</v>
      </c>
      <c r="S559" s="6" t="e">
        <f t="shared" si="80"/>
        <v>#VALUE!</v>
      </c>
      <c r="T559" s="6" t="e">
        <f t="shared" si="81"/>
        <v>#VALUE!</v>
      </c>
      <c r="U559" s="2" t="e">
        <f t="shared" si="75"/>
        <v>#VALUE!</v>
      </c>
    </row>
    <row r="560" spans="2:21" x14ac:dyDescent="0.3">
      <c r="B560" s="4"/>
      <c r="C560" s="4"/>
      <c r="D560" s="4"/>
      <c r="E560" s="4"/>
      <c r="F560"/>
      <c r="G560"/>
      <c r="H560"/>
      <c r="I560"/>
      <c r="J560"/>
      <c r="O560" s="2" t="e">
        <f t="shared" si="76"/>
        <v>#VALUE!</v>
      </c>
      <c r="P560" s="6" t="e">
        <f t="shared" si="77"/>
        <v>#VALUE!</v>
      </c>
      <c r="Q560" s="6" t="e">
        <f t="shared" si="78"/>
        <v>#VALUE!</v>
      </c>
      <c r="R560" s="6" t="e">
        <f t="shared" si="79"/>
        <v>#VALUE!</v>
      </c>
      <c r="S560" s="6" t="e">
        <f t="shared" si="80"/>
        <v>#VALUE!</v>
      </c>
      <c r="T560" s="6" t="e">
        <f t="shared" si="81"/>
        <v>#VALUE!</v>
      </c>
      <c r="U560" s="2" t="e">
        <f t="shared" si="75"/>
        <v>#VALUE!</v>
      </c>
    </row>
    <row r="561" spans="2:21" x14ac:dyDescent="0.3">
      <c r="B561"/>
      <c r="C561"/>
      <c r="D561"/>
      <c r="E561" s="4"/>
      <c r="F561"/>
      <c r="G561"/>
      <c r="H561"/>
      <c r="I561"/>
      <c r="J561"/>
      <c r="O561" s="2" t="e">
        <f t="shared" si="76"/>
        <v>#VALUE!</v>
      </c>
      <c r="P561" s="6" t="e">
        <f t="shared" si="77"/>
        <v>#VALUE!</v>
      </c>
      <c r="Q561" s="6" t="e">
        <f t="shared" si="78"/>
        <v>#VALUE!</v>
      </c>
      <c r="R561" s="6" t="e">
        <f t="shared" si="79"/>
        <v>#VALUE!</v>
      </c>
      <c r="S561" s="6" t="e">
        <f t="shared" si="80"/>
        <v>#VALUE!</v>
      </c>
      <c r="T561" s="6" t="e">
        <f t="shared" si="81"/>
        <v>#VALUE!</v>
      </c>
      <c r="U561" s="2" t="e">
        <f t="shared" si="75"/>
        <v>#VALUE!</v>
      </c>
    </row>
    <row r="562" spans="2:21" x14ac:dyDescent="0.3">
      <c r="B562"/>
      <c r="C562"/>
      <c r="D562"/>
      <c r="E562" s="4"/>
      <c r="F562"/>
      <c r="G562"/>
      <c r="H562"/>
      <c r="I562"/>
      <c r="J562"/>
      <c r="O562" s="2" t="e">
        <f t="shared" si="76"/>
        <v>#VALUE!</v>
      </c>
      <c r="P562" s="6" t="e">
        <f t="shared" si="77"/>
        <v>#VALUE!</v>
      </c>
      <c r="Q562" s="6" t="e">
        <f t="shared" si="78"/>
        <v>#VALUE!</v>
      </c>
      <c r="R562" s="6" t="e">
        <f t="shared" si="79"/>
        <v>#VALUE!</v>
      </c>
      <c r="S562" s="6" t="e">
        <f t="shared" si="80"/>
        <v>#VALUE!</v>
      </c>
      <c r="T562" s="6" t="e">
        <f t="shared" si="81"/>
        <v>#VALUE!</v>
      </c>
      <c r="U562" s="2" t="e">
        <f t="shared" si="75"/>
        <v>#VALUE!</v>
      </c>
    </row>
    <row r="563" spans="2:21" x14ac:dyDescent="0.3">
      <c r="B563"/>
      <c r="C563"/>
      <c r="D563"/>
      <c r="E563"/>
      <c r="F563"/>
      <c r="G563"/>
      <c r="H563"/>
      <c r="I563"/>
      <c r="J563"/>
      <c r="O563" s="2" t="e">
        <f t="shared" si="76"/>
        <v>#VALUE!</v>
      </c>
      <c r="P563" s="6" t="e">
        <f t="shared" si="77"/>
        <v>#VALUE!</v>
      </c>
      <c r="Q563" s="6" t="e">
        <f t="shared" si="78"/>
        <v>#VALUE!</v>
      </c>
      <c r="R563" s="6" t="e">
        <f t="shared" si="79"/>
        <v>#VALUE!</v>
      </c>
      <c r="S563" s="6" t="e">
        <f t="shared" si="80"/>
        <v>#VALUE!</v>
      </c>
      <c r="T563" s="6" t="e">
        <f t="shared" si="81"/>
        <v>#VALUE!</v>
      </c>
      <c r="U563" s="2" t="e">
        <f t="shared" si="75"/>
        <v>#VALUE!</v>
      </c>
    </row>
    <row r="564" spans="2:21" x14ac:dyDescent="0.3">
      <c r="B564"/>
      <c r="C564"/>
      <c r="D564"/>
      <c r="E564"/>
      <c r="F564"/>
      <c r="G564"/>
      <c r="H564"/>
      <c r="I564"/>
      <c r="J564"/>
      <c r="O564" s="2" t="e">
        <f t="shared" si="76"/>
        <v>#VALUE!</v>
      </c>
      <c r="P564" s="6" t="e">
        <f t="shared" si="77"/>
        <v>#VALUE!</v>
      </c>
      <c r="Q564" s="6" t="e">
        <f t="shared" si="78"/>
        <v>#VALUE!</v>
      </c>
      <c r="R564" s="6" t="e">
        <f t="shared" si="79"/>
        <v>#VALUE!</v>
      </c>
      <c r="S564" s="6" t="e">
        <f t="shared" si="80"/>
        <v>#VALUE!</v>
      </c>
      <c r="T564" s="6" t="e">
        <f t="shared" si="81"/>
        <v>#VALUE!</v>
      </c>
      <c r="U564" s="2" t="e">
        <f t="shared" si="75"/>
        <v>#VALUE!</v>
      </c>
    </row>
    <row r="565" spans="2:21" x14ac:dyDescent="0.3">
      <c r="B565"/>
      <c r="C565"/>
      <c r="D565"/>
      <c r="E565" s="4"/>
      <c r="F565"/>
      <c r="G565"/>
      <c r="H565"/>
      <c r="I565"/>
      <c r="J565"/>
      <c r="O565" s="2" t="e">
        <f t="shared" si="76"/>
        <v>#VALUE!</v>
      </c>
      <c r="P565" s="6" t="e">
        <f t="shared" si="77"/>
        <v>#VALUE!</v>
      </c>
      <c r="Q565" s="6" t="e">
        <f t="shared" si="78"/>
        <v>#VALUE!</v>
      </c>
      <c r="R565" s="6" t="e">
        <f t="shared" si="79"/>
        <v>#VALUE!</v>
      </c>
      <c r="S565" s="6" t="e">
        <f t="shared" si="80"/>
        <v>#VALUE!</v>
      </c>
      <c r="T565" s="6" t="e">
        <f t="shared" si="81"/>
        <v>#VALUE!</v>
      </c>
      <c r="U565" s="2" t="e">
        <f t="shared" si="75"/>
        <v>#VALUE!</v>
      </c>
    </row>
    <row r="566" spans="2:21" x14ac:dyDescent="0.3">
      <c r="B566"/>
      <c r="C566"/>
      <c r="D566"/>
      <c r="E566"/>
      <c r="F566"/>
      <c r="G566"/>
      <c r="H566"/>
      <c r="I566"/>
      <c r="J566"/>
      <c r="O566" s="2" t="e">
        <f t="shared" si="76"/>
        <v>#VALUE!</v>
      </c>
      <c r="P566" s="6" t="e">
        <f t="shared" si="77"/>
        <v>#VALUE!</v>
      </c>
      <c r="Q566" s="6" t="e">
        <f t="shared" si="78"/>
        <v>#VALUE!</v>
      </c>
      <c r="R566" s="6" t="e">
        <f t="shared" si="79"/>
        <v>#VALUE!</v>
      </c>
      <c r="S566" s="6" t="e">
        <f t="shared" si="80"/>
        <v>#VALUE!</v>
      </c>
      <c r="T566" s="6" t="e">
        <f t="shared" si="81"/>
        <v>#VALUE!</v>
      </c>
      <c r="U566" s="2" t="e">
        <f t="shared" si="75"/>
        <v>#VALUE!</v>
      </c>
    </row>
    <row r="567" spans="2:21" x14ac:dyDescent="0.3">
      <c r="B567"/>
      <c r="C567"/>
      <c r="D567"/>
      <c r="E567"/>
      <c r="F567"/>
      <c r="G567"/>
      <c r="H567"/>
      <c r="I567"/>
      <c r="J567"/>
      <c r="O567" s="2" t="e">
        <f t="shared" si="76"/>
        <v>#VALUE!</v>
      </c>
      <c r="P567" s="6" t="e">
        <f t="shared" si="77"/>
        <v>#VALUE!</v>
      </c>
      <c r="Q567" s="6" t="e">
        <f t="shared" si="78"/>
        <v>#VALUE!</v>
      </c>
      <c r="R567" s="6" t="e">
        <f t="shared" si="79"/>
        <v>#VALUE!</v>
      </c>
      <c r="S567" s="6" t="e">
        <f t="shared" si="80"/>
        <v>#VALUE!</v>
      </c>
      <c r="T567" s="6" t="e">
        <f t="shared" si="81"/>
        <v>#VALUE!</v>
      </c>
      <c r="U567" s="2" t="e">
        <f t="shared" si="75"/>
        <v>#VALUE!</v>
      </c>
    </row>
    <row r="568" spans="2:21" x14ac:dyDescent="0.3">
      <c r="B568"/>
      <c r="C568"/>
      <c r="D568"/>
      <c r="E568"/>
      <c r="F568"/>
      <c r="G568"/>
      <c r="H568"/>
      <c r="I568"/>
      <c r="J568"/>
      <c r="O568" s="2" t="e">
        <f t="shared" si="76"/>
        <v>#VALUE!</v>
      </c>
      <c r="P568" s="6" t="e">
        <f t="shared" si="77"/>
        <v>#VALUE!</v>
      </c>
      <c r="Q568" s="6" t="e">
        <f t="shared" si="78"/>
        <v>#VALUE!</v>
      </c>
      <c r="R568" s="6" t="e">
        <f t="shared" si="79"/>
        <v>#VALUE!</v>
      </c>
      <c r="S568" s="6" t="e">
        <f t="shared" si="80"/>
        <v>#VALUE!</v>
      </c>
      <c r="T568" s="6" t="e">
        <f t="shared" si="81"/>
        <v>#VALUE!</v>
      </c>
      <c r="U568" s="2" t="e">
        <f t="shared" si="75"/>
        <v>#VALUE!</v>
      </c>
    </row>
    <row r="569" spans="2:21" x14ac:dyDescent="0.3">
      <c r="B569"/>
      <c r="C569"/>
      <c r="D569"/>
      <c r="E569" s="4"/>
      <c r="F569"/>
      <c r="G569"/>
      <c r="H569"/>
      <c r="I569"/>
      <c r="J569"/>
      <c r="O569" s="2" t="e">
        <f t="shared" ref="O569:O602" si="82">SUBSTITUTE(MID(A569,53,FIND("GBHS",A569)-54), ".", ",")</f>
        <v>#VALUE!</v>
      </c>
      <c r="P569" s="6" t="e">
        <f t="shared" ref="P569:P602" si="83">MID(O569,1,4)</f>
        <v>#VALUE!</v>
      </c>
      <c r="Q569" s="6" t="e">
        <f t="shared" ref="Q569:Q602" si="84">MID(O569,6,4)</f>
        <v>#VALUE!</v>
      </c>
      <c r="R569" s="6" t="e">
        <f t="shared" ref="R569:R602" si="85">MID(O569,11,4)</f>
        <v>#VALUE!</v>
      </c>
      <c r="S569" s="6" t="e">
        <f t="shared" ref="S569:S602" si="86">MID(O569,16,4)</f>
        <v>#VALUE!</v>
      </c>
      <c r="T569" s="6" t="e">
        <f t="shared" ref="T569:T602" si="87">MID(O569,21,4)</f>
        <v>#VALUE!</v>
      </c>
      <c r="U569" s="2" t="e">
        <f t="shared" si="75"/>
        <v>#VALUE!</v>
      </c>
    </row>
    <row r="570" spans="2:21" x14ac:dyDescent="0.3">
      <c r="B570"/>
      <c r="C570"/>
      <c r="D570"/>
      <c r="E570"/>
      <c r="F570"/>
      <c r="G570"/>
      <c r="H570"/>
      <c r="I570"/>
      <c r="J570"/>
      <c r="O570" s="2" t="e">
        <f t="shared" si="82"/>
        <v>#VALUE!</v>
      </c>
      <c r="P570" s="6" t="e">
        <f t="shared" si="83"/>
        <v>#VALUE!</v>
      </c>
      <c r="Q570" s="6" t="e">
        <f t="shared" si="84"/>
        <v>#VALUE!</v>
      </c>
      <c r="R570" s="6" t="e">
        <f t="shared" si="85"/>
        <v>#VALUE!</v>
      </c>
      <c r="S570" s="6" t="e">
        <f t="shared" si="86"/>
        <v>#VALUE!</v>
      </c>
      <c r="T570" s="6" t="e">
        <f t="shared" si="87"/>
        <v>#VALUE!</v>
      </c>
      <c r="U570" s="2" t="e">
        <f t="shared" si="75"/>
        <v>#VALUE!</v>
      </c>
    </row>
    <row r="571" spans="2:21" x14ac:dyDescent="0.3">
      <c r="B571"/>
      <c r="C571"/>
      <c r="D571"/>
      <c r="E571" s="4"/>
      <c r="F571"/>
      <c r="G571"/>
      <c r="H571"/>
      <c r="I571"/>
      <c r="J571"/>
      <c r="O571" s="2" t="e">
        <f t="shared" si="82"/>
        <v>#VALUE!</v>
      </c>
      <c r="P571" s="6" t="e">
        <f t="shared" si="83"/>
        <v>#VALUE!</v>
      </c>
      <c r="Q571" s="6" t="e">
        <f t="shared" si="84"/>
        <v>#VALUE!</v>
      </c>
      <c r="R571" s="6" t="e">
        <f t="shared" si="85"/>
        <v>#VALUE!</v>
      </c>
      <c r="S571" s="6" t="e">
        <f t="shared" si="86"/>
        <v>#VALUE!</v>
      </c>
      <c r="T571" s="6" t="e">
        <f t="shared" si="87"/>
        <v>#VALUE!</v>
      </c>
      <c r="U571" s="2" t="e">
        <f t="shared" si="75"/>
        <v>#VALUE!</v>
      </c>
    </row>
    <row r="572" spans="2:21" x14ac:dyDescent="0.3">
      <c r="B572"/>
      <c r="C572"/>
      <c r="D572"/>
      <c r="E572"/>
      <c r="F572"/>
      <c r="G572"/>
      <c r="H572"/>
      <c r="I572"/>
      <c r="J572"/>
      <c r="O572" s="2" t="e">
        <f t="shared" si="82"/>
        <v>#VALUE!</v>
      </c>
      <c r="P572" s="6" t="e">
        <f t="shared" si="83"/>
        <v>#VALUE!</v>
      </c>
      <c r="Q572" s="6" t="e">
        <f t="shared" si="84"/>
        <v>#VALUE!</v>
      </c>
      <c r="R572" s="6" t="e">
        <f t="shared" si="85"/>
        <v>#VALUE!</v>
      </c>
      <c r="S572" s="6" t="e">
        <f t="shared" si="86"/>
        <v>#VALUE!</v>
      </c>
      <c r="T572" s="6" t="e">
        <f t="shared" si="87"/>
        <v>#VALUE!</v>
      </c>
      <c r="U572" s="2" t="e">
        <f t="shared" si="75"/>
        <v>#VALUE!</v>
      </c>
    </row>
    <row r="573" spans="2:21" x14ac:dyDescent="0.3">
      <c r="B573"/>
      <c r="C573"/>
      <c r="D573"/>
      <c r="E573"/>
      <c r="F573"/>
      <c r="G573"/>
      <c r="H573"/>
      <c r="I573"/>
      <c r="J573"/>
      <c r="O573" s="2" t="e">
        <f t="shared" si="82"/>
        <v>#VALUE!</v>
      </c>
      <c r="P573" s="6" t="e">
        <f t="shared" si="83"/>
        <v>#VALUE!</v>
      </c>
      <c r="Q573" s="6" t="e">
        <f t="shared" si="84"/>
        <v>#VALUE!</v>
      </c>
      <c r="R573" s="6" t="e">
        <f t="shared" si="85"/>
        <v>#VALUE!</v>
      </c>
      <c r="S573" s="6" t="e">
        <f t="shared" si="86"/>
        <v>#VALUE!</v>
      </c>
      <c r="T573" s="6" t="e">
        <f t="shared" si="87"/>
        <v>#VALUE!</v>
      </c>
      <c r="U573" s="2" t="e">
        <f t="shared" si="75"/>
        <v>#VALUE!</v>
      </c>
    </row>
    <row r="574" spans="2:21" x14ac:dyDescent="0.3">
      <c r="B574"/>
      <c r="C574"/>
      <c r="D574"/>
      <c r="E574"/>
      <c r="F574"/>
      <c r="G574"/>
      <c r="H574"/>
      <c r="I574"/>
      <c r="J574"/>
      <c r="O574" s="2" t="e">
        <f t="shared" si="82"/>
        <v>#VALUE!</v>
      </c>
      <c r="P574" s="6" t="e">
        <f t="shared" si="83"/>
        <v>#VALUE!</v>
      </c>
      <c r="Q574" s="6" t="e">
        <f t="shared" si="84"/>
        <v>#VALUE!</v>
      </c>
      <c r="R574" s="6" t="e">
        <f t="shared" si="85"/>
        <v>#VALUE!</v>
      </c>
      <c r="S574" s="6" t="e">
        <f t="shared" si="86"/>
        <v>#VALUE!</v>
      </c>
      <c r="T574" s="6" t="e">
        <f t="shared" si="87"/>
        <v>#VALUE!</v>
      </c>
      <c r="U574" s="2" t="e">
        <f t="shared" si="75"/>
        <v>#VALUE!</v>
      </c>
    </row>
    <row r="575" spans="2:21" x14ac:dyDescent="0.3">
      <c r="B575" s="4"/>
      <c r="C575" s="4"/>
      <c r="D575" s="4"/>
      <c r="E575" s="4"/>
      <c r="F575"/>
      <c r="G575"/>
      <c r="H575"/>
      <c r="I575"/>
      <c r="J575"/>
      <c r="O575" s="2" t="e">
        <f t="shared" si="82"/>
        <v>#VALUE!</v>
      </c>
      <c r="P575" s="6" t="e">
        <f t="shared" si="83"/>
        <v>#VALUE!</v>
      </c>
      <c r="Q575" s="6" t="e">
        <f t="shared" si="84"/>
        <v>#VALUE!</v>
      </c>
      <c r="R575" s="6" t="e">
        <f t="shared" si="85"/>
        <v>#VALUE!</v>
      </c>
      <c r="S575" s="6" t="e">
        <f t="shared" si="86"/>
        <v>#VALUE!</v>
      </c>
      <c r="T575" s="6" t="e">
        <f t="shared" si="87"/>
        <v>#VALUE!</v>
      </c>
      <c r="U575" s="2" t="e">
        <f t="shared" si="75"/>
        <v>#VALUE!</v>
      </c>
    </row>
    <row r="576" spans="2:21" x14ac:dyDescent="0.3">
      <c r="B576"/>
      <c r="C576"/>
      <c r="D576"/>
      <c r="E576"/>
      <c r="F576"/>
      <c r="G576"/>
      <c r="H576"/>
      <c r="I576"/>
      <c r="J576"/>
      <c r="O576" s="2" t="e">
        <f t="shared" si="82"/>
        <v>#VALUE!</v>
      </c>
      <c r="P576" s="6" t="e">
        <f t="shared" si="83"/>
        <v>#VALUE!</v>
      </c>
      <c r="Q576" s="6" t="e">
        <f t="shared" si="84"/>
        <v>#VALUE!</v>
      </c>
      <c r="R576" s="6" t="e">
        <f t="shared" si="85"/>
        <v>#VALUE!</v>
      </c>
      <c r="S576" s="6" t="e">
        <f t="shared" si="86"/>
        <v>#VALUE!</v>
      </c>
      <c r="T576" s="6" t="e">
        <f t="shared" si="87"/>
        <v>#VALUE!</v>
      </c>
      <c r="U576" s="2" t="e">
        <f t="shared" si="75"/>
        <v>#VALUE!</v>
      </c>
    </row>
    <row r="577" spans="2:21" x14ac:dyDescent="0.3">
      <c r="B577"/>
      <c r="C577"/>
      <c r="D577"/>
      <c r="E577" s="4"/>
      <c r="F577"/>
      <c r="G577"/>
      <c r="H577"/>
      <c r="I577"/>
      <c r="J577"/>
      <c r="O577" s="2" t="e">
        <f t="shared" si="82"/>
        <v>#VALUE!</v>
      </c>
      <c r="P577" s="6" t="e">
        <f t="shared" si="83"/>
        <v>#VALUE!</v>
      </c>
      <c r="Q577" s="6" t="e">
        <f t="shared" si="84"/>
        <v>#VALUE!</v>
      </c>
      <c r="R577" s="6" t="e">
        <f t="shared" si="85"/>
        <v>#VALUE!</v>
      </c>
      <c r="S577" s="6" t="e">
        <f t="shared" si="86"/>
        <v>#VALUE!</v>
      </c>
      <c r="T577" s="6" t="e">
        <f t="shared" si="87"/>
        <v>#VALUE!</v>
      </c>
      <c r="U577" s="2" t="e">
        <f t="shared" ref="U577:U640" si="88">SUBSTITUTE(CONCATENATE("&lt;Parametros&gt;","&lt;Alfa&gt;",P577,"&lt;/Alfa&gt;","&lt;Beta&gt;",Q577,"&lt;/Beta&gt;","&lt;Gamma&gt;",R577,"&lt;/Gamma&gt;","&lt;Delta&gt;",S577,"&lt;/Delta&gt;","&lt;Ro&gt;",T577,"&lt;/Ro&gt;","&lt;/Parametros&gt;"),",",".")</f>
        <v>#VALUE!</v>
      </c>
    </row>
    <row r="578" spans="2:21" x14ac:dyDescent="0.3">
      <c r="B578" s="4"/>
      <c r="C578" s="4"/>
      <c r="D578" s="4"/>
      <c r="E578" s="4"/>
      <c r="F578"/>
      <c r="G578"/>
      <c r="H578"/>
      <c r="I578"/>
      <c r="J578"/>
      <c r="K578" s="1"/>
      <c r="L578" s="1"/>
      <c r="M578" s="1"/>
      <c r="O578" s="2" t="e">
        <f t="shared" si="82"/>
        <v>#VALUE!</v>
      </c>
      <c r="P578" s="6" t="e">
        <f t="shared" si="83"/>
        <v>#VALUE!</v>
      </c>
      <c r="Q578" s="6" t="e">
        <f t="shared" si="84"/>
        <v>#VALUE!</v>
      </c>
      <c r="R578" s="6" t="e">
        <f t="shared" si="85"/>
        <v>#VALUE!</v>
      </c>
      <c r="S578" s="6" t="e">
        <f t="shared" si="86"/>
        <v>#VALUE!</v>
      </c>
      <c r="T578" s="6" t="e">
        <f t="shared" si="87"/>
        <v>#VALUE!</v>
      </c>
      <c r="U578" s="2" t="e">
        <f t="shared" si="88"/>
        <v>#VALUE!</v>
      </c>
    </row>
    <row r="579" spans="2:21" x14ac:dyDescent="0.3">
      <c r="B579"/>
      <c r="C579"/>
      <c r="D579"/>
      <c r="E579"/>
      <c r="F579"/>
      <c r="G579"/>
      <c r="H579"/>
      <c r="I579"/>
      <c r="J579"/>
      <c r="O579" s="2" t="e">
        <f t="shared" si="82"/>
        <v>#VALUE!</v>
      </c>
      <c r="P579" s="6" t="e">
        <f t="shared" si="83"/>
        <v>#VALUE!</v>
      </c>
      <c r="Q579" s="6" t="e">
        <f t="shared" si="84"/>
        <v>#VALUE!</v>
      </c>
      <c r="R579" s="6" t="e">
        <f t="shared" si="85"/>
        <v>#VALUE!</v>
      </c>
      <c r="S579" s="6" t="e">
        <f t="shared" si="86"/>
        <v>#VALUE!</v>
      </c>
      <c r="T579" s="6" t="e">
        <f t="shared" si="87"/>
        <v>#VALUE!</v>
      </c>
      <c r="U579" s="2" t="e">
        <f t="shared" si="88"/>
        <v>#VALUE!</v>
      </c>
    </row>
    <row r="580" spans="2:21" x14ac:dyDescent="0.3">
      <c r="B580"/>
      <c r="C580"/>
      <c r="D580"/>
      <c r="E580"/>
      <c r="F580"/>
      <c r="G580"/>
      <c r="H580"/>
      <c r="I580"/>
      <c r="J580"/>
      <c r="O580" s="2" t="e">
        <f t="shared" si="82"/>
        <v>#VALUE!</v>
      </c>
      <c r="P580" s="6" t="e">
        <f t="shared" si="83"/>
        <v>#VALUE!</v>
      </c>
      <c r="Q580" s="6" t="e">
        <f t="shared" si="84"/>
        <v>#VALUE!</v>
      </c>
      <c r="R580" s="6" t="e">
        <f t="shared" si="85"/>
        <v>#VALUE!</v>
      </c>
      <c r="S580" s="6" t="e">
        <f t="shared" si="86"/>
        <v>#VALUE!</v>
      </c>
      <c r="T580" s="6" t="e">
        <f t="shared" si="87"/>
        <v>#VALUE!</v>
      </c>
      <c r="U580" s="2" t="e">
        <f t="shared" si="88"/>
        <v>#VALUE!</v>
      </c>
    </row>
    <row r="581" spans="2:21" x14ac:dyDescent="0.3">
      <c r="B581"/>
      <c r="C581"/>
      <c r="D581"/>
      <c r="E581"/>
      <c r="F581"/>
      <c r="G581"/>
      <c r="H581"/>
      <c r="I581"/>
      <c r="J581"/>
      <c r="O581" s="2" t="e">
        <f t="shared" si="82"/>
        <v>#VALUE!</v>
      </c>
      <c r="P581" s="6" t="e">
        <f t="shared" si="83"/>
        <v>#VALUE!</v>
      </c>
      <c r="Q581" s="6" t="e">
        <f t="shared" si="84"/>
        <v>#VALUE!</v>
      </c>
      <c r="R581" s="6" t="e">
        <f t="shared" si="85"/>
        <v>#VALUE!</v>
      </c>
      <c r="S581" s="6" t="e">
        <f t="shared" si="86"/>
        <v>#VALUE!</v>
      </c>
      <c r="T581" s="6" t="e">
        <f t="shared" si="87"/>
        <v>#VALUE!</v>
      </c>
      <c r="U581" s="2" t="e">
        <f t="shared" si="88"/>
        <v>#VALUE!</v>
      </c>
    </row>
    <row r="582" spans="2:21" x14ac:dyDescent="0.3">
      <c r="B582"/>
      <c r="C582"/>
      <c r="D582"/>
      <c r="E582"/>
      <c r="F582"/>
      <c r="G582"/>
      <c r="H582"/>
      <c r="I582"/>
      <c r="J582"/>
      <c r="O582" s="2" t="e">
        <f t="shared" si="82"/>
        <v>#VALUE!</v>
      </c>
      <c r="P582" s="6" t="e">
        <f t="shared" si="83"/>
        <v>#VALUE!</v>
      </c>
      <c r="Q582" s="6" t="e">
        <f t="shared" si="84"/>
        <v>#VALUE!</v>
      </c>
      <c r="R582" s="6" t="e">
        <f t="shared" si="85"/>
        <v>#VALUE!</v>
      </c>
      <c r="S582" s="6" t="e">
        <f t="shared" si="86"/>
        <v>#VALUE!</v>
      </c>
      <c r="T582" s="6" t="e">
        <f t="shared" si="87"/>
        <v>#VALUE!</v>
      </c>
      <c r="U582" s="2" t="e">
        <f t="shared" si="88"/>
        <v>#VALUE!</v>
      </c>
    </row>
    <row r="583" spans="2:21" x14ac:dyDescent="0.3">
      <c r="B583"/>
      <c r="C583"/>
      <c r="D583"/>
      <c r="E583"/>
      <c r="F583"/>
      <c r="G583"/>
      <c r="H583"/>
      <c r="I583"/>
      <c r="J583"/>
      <c r="O583" s="2" t="e">
        <f t="shared" si="82"/>
        <v>#VALUE!</v>
      </c>
      <c r="P583" s="6" t="e">
        <f t="shared" si="83"/>
        <v>#VALUE!</v>
      </c>
      <c r="Q583" s="6" t="e">
        <f t="shared" si="84"/>
        <v>#VALUE!</v>
      </c>
      <c r="R583" s="6" t="e">
        <f t="shared" si="85"/>
        <v>#VALUE!</v>
      </c>
      <c r="S583" s="6" t="e">
        <f t="shared" si="86"/>
        <v>#VALUE!</v>
      </c>
      <c r="T583" s="6" t="e">
        <f t="shared" si="87"/>
        <v>#VALUE!</v>
      </c>
      <c r="U583" s="2" t="e">
        <f t="shared" si="88"/>
        <v>#VALUE!</v>
      </c>
    </row>
    <row r="584" spans="2:21" x14ac:dyDescent="0.3">
      <c r="B584" s="4"/>
      <c r="C584" s="4"/>
      <c r="D584" s="4"/>
      <c r="E584" s="4"/>
      <c r="F584"/>
      <c r="G584"/>
      <c r="H584"/>
      <c r="I584"/>
      <c r="J584"/>
      <c r="O584" s="2" t="e">
        <f t="shared" si="82"/>
        <v>#VALUE!</v>
      </c>
      <c r="P584" s="6" t="e">
        <f t="shared" si="83"/>
        <v>#VALUE!</v>
      </c>
      <c r="Q584" s="6" t="e">
        <f t="shared" si="84"/>
        <v>#VALUE!</v>
      </c>
      <c r="R584" s="6" t="e">
        <f t="shared" si="85"/>
        <v>#VALUE!</v>
      </c>
      <c r="S584" s="6" t="e">
        <f t="shared" si="86"/>
        <v>#VALUE!</v>
      </c>
      <c r="T584" s="6" t="e">
        <f t="shared" si="87"/>
        <v>#VALUE!</v>
      </c>
      <c r="U584" s="2" t="e">
        <f t="shared" si="88"/>
        <v>#VALUE!</v>
      </c>
    </row>
    <row r="585" spans="2:21" x14ac:dyDescent="0.3">
      <c r="B585"/>
      <c r="C585"/>
      <c r="D585"/>
      <c r="E585"/>
      <c r="F585"/>
      <c r="G585"/>
      <c r="H585"/>
      <c r="I585"/>
      <c r="J585"/>
      <c r="O585" s="2" t="e">
        <f t="shared" si="82"/>
        <v>#VALUE!</v>
      </c>
      <c r="P585" s="6" t="e">
        <f t="shared" si="83"/>
        <v>#VALUE!</v>
      </c>
      <c r="Q585" s="6" t="e">
        <f t="shared" si="84"/>
        <v>#VALUE!</v>
      </c>
      <c r="R585" s="6" t="e">
        <f t="shared" si="85"/>
        <v>#VALUE!</v>
      </c>
      <c r="S585" s="6" t="e">
        <f t="shared" si="86"/>
        <v>#VALUE!</v>
      </c>
      <c r="T585" s="6" t="e">
        <f t="shared" si="87"/>
        <v>#VALUE!</v>
      </c>
      <c r="U585" s="2" t="e">
        <f t="shared" si="88"/>
        <v>#VALUE!</v>
      </c>
    </row>
    <row r="586" spans="2:21" x14ac:dyDescent="0.3">
      <c r="B586"/>
      <c r="C586"/>
      <c r="D586"/>
      <c r="E586"/>
      <c r="F586"/>
      <c r="G586"/>
      <c r="H586"/>
      <c r="I586"/>
      <c r="J586"/>
      <c r="O586" s="2" t="e">
        <f t="shared" si="82"/>
        <v>#VALUE!</v>
      </c>
      <c r="P586" s="6" t="e">
        <f t="shared" si="83"/>
        <v>#VALUE!</v>
      </c>
      <c r="Q586" s="6" t="e">
        <f t="shared" si="84"/>
        <v>#VALUE!</v>
      </c>
      <c r="R586" s="6" t="e">
        <f t="shared" si="85"/>
        <v>#VALUE!</v>
      </c>
      <c r="S586" s="6" t="e">
        <f t="shared" si="86"/>
        <v>#VALUE!</v>
      </c>
      <c r="T586" s="6" t="e">
        <f t="shared" si="87"/>
        <v>#VALUE!</v>
      </c>
      <c r="U586" s="2" t="e">
        <f t="shared" si="88"/>
        <v>#VALUE!</v>
      </c>
    </row>
    <row r="587" spans="2:21" x14ac:dyDescent="0.3">
      <c r="B587" s="4"/>
      <c r="C587" s="4"/>
      <c r="D587" s="4"/>
      <c r="E587" s="4"/>
      <c r="F587"/>
      <c r="G587"/>
      <c r="H587"/>
      <c r="I587"/>
      <c r="J587"/>
      <c r="O587" s="2" t="e">
        <f t="shared" si="82"/>
        <v>#VALUE!</v>
      </c>
      <c r="P587" s="6" t="e">
        <f t="shared" si="83"/>
        <v>#VALUE!</v>
      </c>
      <c r="Q587" s="6" t="e">
        <f t="shared" si="84"/>
        <v>#VALUE!</v>
      </c>
      <c r="R587" s="6" t="e">
        <f t="shared" si="85"/>
        <v>#VALUE!</v>
      </c>
      <c r="S587" s="6" t="e">
        <f t="shared" si="86"/>
        <v>#VALUE!</v>
      </c>
      <c r="T587" s="6" t="e">
        <f t="shared" si="87"/>
        <v>#VALUE!</v>
      </c>
      <c r="U587" s="2" t="e">
        <f t="shared" si="88"/>
        <v>#VALUE!</v>
      </c>
    </row>
    <row r="588" spans="2:21" x14ac:dyDescent="0.3">
      <c r="B588"/>
      <c r="C588"/>
      <c r="D588"/>
      <c r="E588"/>
      <c r="F588"/>
      <c r="G588"/>
      <c r="H588"/>
      <c r="I588"/>
      <c r="J588"/>
      <c r="O588" s="2" t="e">
        <f t="shared" si="82"/>
        <v>#VALUE!</v>
      </c>
      <c r="P588" s="6" t="e">
        <f t="shared" si="83"/>
        <v>#VALUE!</v>
      </c>
      <c r="Q588" s="6" t="e">
        <f t="shared" si="84"/>
        <v>#VALUE!</v>
      </c>
      <c r="R588" s="6" t="e">
        <f t="shared" si="85"/>
        <v>#VALUE!</v>
      </c>
      <c r="S588" s="6" t="e">
        <f t="shared" si="86"/>
        <v>#VALUE!</v>
      </c>
      <c r="T588" s="6" t="e">
        <f t="shared" si="87"/>
        <v>#VALUE!</v>
      </c>
      <c r="U588" s="2" t="e">
        <f t="shared" si="88"/>
        <v>#VALUE!</v>
      </c>
    </row>
    <row r="589" spans="2:21" x14ac:dyDescent="0.3">
      <c r="B589"/>
      <c r="C589"/>
      <c r="D589"/>
      <c r="E589"/>
      <c r="F589"/>
      <c r="G589"/>
      <c r="H589"/>
      <c r="I589"/>
      <c r="J589"/>
      <c r="O589" s="2" t="e">
        <f t="shared" si="82"/>
        <v>#VALUE!</v>
      </c>
      <c r="P589" s="6" t="e">
        <f t="shared" si="83"/>
        <v>#VALUE!</v>
      </c>
      <c r="Q589" s="6" t="e">
        <f t="shared" si="84"/>
        <v>#VALUE!</v>
      </c>
      <c r="R589" s="6" t="e">
        <f t="shared" si="85"/>
        <v>#VALUE!</v>
      </c>
      <c r="S589" s="6" t="e">
        <f t="shared" si="86"/>
        <v>#VALUE!</v>
      </c>
      <c r="T589" s="6" t="e">
        <f t="shared" si="87"/>
        <v>#VALUE!</v>
      </c>
      <c r="U589" s="2" t="e">
        <f t="shared" si="88"/>
        <v>#VALUE!</v>
      </c>
    </row>
    <row r="590" spans="2:21" x14ac:dyDescent="0.3">
      <c r="B590"/>
      <c r="C590"/>
      <c r="D590"/>
      <c r="E590"/>
      <c r="F590"/>
      <c r="G590"/>
      <c r="H590"/>
      <c r="I590"/>
      <c r="J590"/>
      <c r="O590" s="2" t="e">
        <f t="shared" si="82"/>
        <v>#VALUE!</v>
      </c>
      <c r="P590" s="6" t="e">
        <f t="shared" si="83"/>
        <v>#VALUE!</v>
      </c>
      <c r="Q590" s="6" t="e">
        <f t="shared" si="84"/>
        <v>#VALUE!</v>
      </c>
      <c r="R590" s="6" t="e">
        <f t="shared" si="85"/>
        <v>#VALUE!</v>
      </c>
      <c r="S590" s="6" t="e">
        <f t="shared" si="86"/>
        <v>#VALUE!</v>
      </c>
      <c r="T590" s="6" t="e">
        <f t="shared" si="87"/>
        <v>#VALUE!</v>
      </c>
      <c r="U590" s="2" t="e">
        <f t="shared" si="88"/>
        <v>#VALUE!</v>
      </c>
    </row>
    <row r="591" spans="2:21" x14ac:dyDescent="0.3">
      <c r="B591"/>
      <c r="C591"/>
      <c r="D591"/>
      <c r="E591" s="4"/>
      <c r="F591"/>
      <c r="G591"/>
      <c r="H591"/>
      <c r="I591"/>
      <c r="J591"/>
      <c r="O591" s="2" t="e">
        <f t="shared" si="82"/>
        <v>#VALUE!</v>
      </c>
      <c r="P591" s="6" t="e">
        <f t="shared" si="83"/>
        <v>#VALUE!</v>
      </c>
      <c r="Q591" s="6" t="e">
        <f t="shared" si="84"/>
        <v>#VALUE!</v>
      </c>
      <c r="R591" s="6" t="e">
        <f t="shared" si="85"/>
        <v>#VALUE!</v>
      </c>
      <c r="S591" s="6" t="e">
        <f t="shared" si="86"/>
        <v>#VALUE!</v>
      </c>
      <c r="T591" s="6" t="e">
        <f t="shared" si="87"/>
        <v>#VALUE!</v>
      </c>
      <c r="U591" s="2" t="e">
        <f t="shared" si="88"/>
        <v>#VALUE!</v>
      </c>
    </row>
    <row r="592" spans="2:21" x14ac:dyDescent="0.3">
      <c r="B592"/>
      <c r="C592"/>
      <c r="D592"/>
      <c r="E592" s="4"/>
      <c r="F592"/>
      <c r="G592"/>
      <c r="H592"/>
      <c r="I592"/>
      <c r="J592"/>
      <c r="O592" s="2" t="e">
        <f t="shared" si="82"/>
        <v>#VALUE!</v>
      </c>
      <c r="P592" s="6" t="e">
        <f t="shared" si="83"/>
        <v>#VALUE!</v>
      </c>
      <c r="Q592" s="6" t="e">
        <f t="shared" si="84"/>
        <v>#VALUE!</v>
      </c>
      <c r="R592" s="6" t="e">
        <f t="shared" si="85"/>
        <v>#VALUE!</v>
      </c>
      <c r="S592" s="6" t="e">
        <f t="shared" si="86"/>
        <v>#VALUE!</v>
      </c>
      <c r="T592" s="6" t="e">
        <f t="shared" si="87"/>
        <v>#VALUE!</v>
      </c>
      <c r="U592" s="2" t="e">
        <f t="shared" si="88"/>
        <v>#VALUE!</v>
      </c>
    </row>
    <row r="593" spans="2:21" x14ac:dyDescent="0.3">
      <c r="B593"/>
      <c r="C593"/>
      <c r="D593"/>
      <c r="E593"/>
      <c r="F593"/>
      <c r="G593"/>
      <c r="H593"/>
      <c r="I593"/>
      <c r="J593"/>
      <c r="O593" s="2" t="e">
        <f t="shared" si="82"/>
        <v>#VALUE!</v>
      </c>
      <c r="P593" s="6" t="e">
        <f t="shared" si="83"/>
        <v>#VALUE!</v>
      </c>
      <c r="Q593" s="6" t="e">
        <f t="shared" si="84"/>
        <v>#VALUE!</v>
      </c>
      <c r="R593" s="6" t="e">
        <f t="shared" si="85"/>
        <v>#VALUE!</v>
      </c>
      <c r="S593" s="6" t="e">
        <f t="shared" si="86"/>
        <v>#VALUE!</v>
      </c>
      <c r="T593" s="6" t="e">
        <f t="shared" si="87"/>
        <v>#VALUE!</v>
      </c>
      <c r="U593" s="2" t="e">
        <f t="shared" si="88"/>
        <v>#VALUE!</v>
      </c>
    </row>
    <row r="594" spans="2:21" x14ac:dyDescent="0.3">
      <c r="B594"/>
      <c r="C594"/>
      <c r="D594"/>
      <c r="E594"/>
      <c r="F594"/>
      <c r="G594"/>
      <c r="H594"/>
      <c r="I594"/>
      <c r="J594"/>
      <c r="O594" s="2" t="e">
        <f t="shared" si="82"/>
        <v>#VALUE!</v>
      </c>
      <c r="P594" s="6" t="e">
        <f t="shared" si="83"/>
        <v>#VALUE!</v>
      </c>
      <c r="Q594" s="6" t="e">
        <f t="shared" si="84"/>
        <v>#VALUE!</v>
      </c>
      <c r="R594" s="6" t="e">
        <f t="shared" si="85"/>
        <v>#VALUE!</v>
      </c>
      <c r="S594" s="6" t="e">
        <f t="shared" si="86"/>
        <v>#VALUE!</v>
      </c>
      <c r="T594" s="6" t="e">
        <f t="shared" si="87"/>
        <v>#VALUE!</v>
      </c>
      <c r="U594" s="2" t="e">
        <f t="shared" si="88"/>
        <v>#VALUE!</v>
      </c>
    </row>
    <row r="595" spans="2:21" x14ac:dyDescent="0.3">
      <c r="B595"/>
      <c r="C595"/>
      <c r="D595"/>
      <c r="E595" s="4"/>
      <c r="F595"/>
      <c r="G595"/>
      <c r="H595"/>
      <c r="I595"/>
      <c r="J595"/>
      <c r="O595" s="2" t="e">
        <f t="shared" si="82"/>
        <v>#VALUE!</v>
      </c>
      <c r="P595" s="6" t="e">
        <f t="shared" si="83"/>
        <v>#VALUE!</v>
      </c>
      <c r="Q595" s="6" t="e">
        <f t="shared" si="84"/>
        <v>#VALUE!</v>
      </c>
      <c r="R595" s="6" t="e">
        <f t="shared" si="85"/>
        <v>#VALUE!</v>
      </c>
      <c r="S595" s="6" t="e">
        <f t="shared" si="86"/>
        <v>#VALUE!</v>
      </c>
      <c r="T595" s="6" t="e">
        <f t="shared" si="87"/>
        <v>#VALUE!</v>
      </c>
      <c r="U595" s="2" t="e">
        <f t="shared" si="88"/>
        <v>#VALUE!</v>
      </c>
    </row>
    <row r="596" spans="2:21" x14ac:dyDescent="0.3">
      <c r="B596"/>
      <c r="C596"/>
      <c r="D596"/>
      <c r="E596"/>
      <c r="F596"/>
      <c r="G596"/>
      <c r="H596"/>
      <c r="I596"/>
      <c r="J596"/>
      <c r="O596" s="2" t="e">
        <f t="shared" si="82"/>
        <v>#VALUE!</v>
      </c>
      <c r="P596" s="6" t="e">
        <f t="shared" si="83"/>
        <v>#VALUE!</v>
      </c>
      <c r="Q596" s="6" t="e">
        <f t="shared" si="84"/>
        <v>#VALUE!</v>
      </c>
      <c r="R596" s="6" t="e">
        <f t="shared" si="85"/>
        <v>#VALUE!</v>
      </c>
      <c r="S596" s="6" t="e">
        <f t="shared" si="86"/>
        <v>#VALUE!</v>
      </c>
      <c r="T596" s="6" t="e">
        <f t="shared" si="87"/>
        <v>#VALUE!</v>
      </c>
      <c r="U596" s="2" t="e">
        <f t="shared" si="88"/>
        <v>#VALUE!</v>
      </c>
    </row>
    <row r="597" spans="2:21" x14ac:dyDescent="0.3">
      <c r="B597"/>
      <c r="C597"/>
      <c r="D597"/>
      <c r="E597"/>
      <c r="F597"/>
      <c r="G597"/>
      <c r="H597"/>
      <c r="I597"/>
      <c r="J597"/>
      <c r="O597" s="2" t="e">
        <f t="shared" si="82"/>
        <v>#VALUE!</v>
      </c>
      <c r="P597" s="6" t="e">
        <f t="shared" si="83"/>
        <v>#VALUE!</v>
      </c>
      <c r="Q597" s="6" t="e">
        <f t="shared" si="84"/>
        <v>#VALUE!</v>
      </c>
      <c r="R597" s="6" t="e">
        <f t="shared" si="85"/>
        <v>#VALUE!</v>
      </c>
      <c r="S597" s="6" t="e">
        <f t="shared" si="86"/>
        <v>#VALUE!</v>
      </c>
      <c r="T597" s="6" t="e">
        <f t="shared" si="87"/>
        <v>#VALUE!</v>
      </c>
      <c r="U597" s="2" t="e">
        <f t="shared" si="88"/>
        <v>#VALUE!</v>
      </c>
    </row>
    <row r="598" spans="2:21" x14ac:dyDescent="0.3">
      <c r="B598"/>
      <c r="C598"/>
      <c r="D598"/>
      <c r="E598"/>
      <c r="F598"/>
      <c r="G598"/>
      <c r="H598"/>
      <c r="I598"/>
      <c r="J598"/>
      <c r="O598" s="2" t="e">
        <f t="shared" si="82"/>
        <v>#VALUE!</v>
      </c>
      <c r="P598" s="6" t="e">
        <f t="shared" si="83"/>
        <v>#VALUE!</v>
      </c>
      <c r="Q598" s="6" t="e">
        <f t="shared" si="84"/>
        <v>#VALUE!</v>
      </c>
      <c r="R598" s="6" t="e">
        <f t="shared" si="85"/>
        <v>#VALUE!</v>
      </c>
      <c r="S598" s="6" t="e">
        <f t="shared" si="86"/>
        <v>#VALUE!</v>
      </c>
      <c r="T598" s="6" t="e">
        <f t="shared" si="87"/>
        <v>#VALUE!</v>
      </c>
      <c r="U598" s="2" t="e">
        <f t="shared" si="88"/>
        <v>#VALUE!</v>
      </c>
    </row>
    <row r="599" spans="2:21" x14ac:dyDescent="0.3">
      <c r="B599" s="4"/>
      <c r="C599" s="4"/>
      <c r="D599" s="4"/>
      <c r="E599" s="4"/>
      <c r="F599"/>
      <c r="G599"/>
      <c r="H599"/>
      <c r="I599"/>
      <c r="J599"/>
      <c r="O599" s="2" t="e">
        <f t="shared" si="82"/>
        <v>#VALUE!</v>
      </c>
      <c r="P599" s="6" t="e">
        <f t="shared" si="83"/>
        <v>#VALUE!</v>
      </c>
      <c r="Q599" s="6" t="e">
        <f t="shared" si="84"/>
        <v>#VALUE!</v>
      </c>
      <c r="R599" s="6" t="e">
        <f t="shared" si="85"/>
        <v>#VALUE!</v>
      </c>
      <c r="S599" s="6" t="e">
        <f t="shared" si="86"/>
        <v>#VALUE!</v>
      </c>
      <c r="T599" s="6" t="e">
        <f t="shared" si="87"/>
        <v>#VALUE!</v>
      </c>
      <c r="U599" s="2" t="e">
        <f t="shared" si="88"/>
        <v>#VALUE!</v>
      </c>
    </row>
    <row r="600" spans="2:21" x14ac:dyDescent="0.3">
      <c r="B600"/>
      <c r="C600"/>
      <c r="D600"/>
      <c r="E600"/>
      <c r="F600"/>
      <c r="G600"/>
      <c r="H600"/>
      <c r="I600"/>
      <c r="J600"/>
      <c r="O600" s="2" t="e">
        <f t="shared" si="82"/>
        <v>#VALUE!</v>
      </c>
      <c r="P600" s="6" t="e">
        <f t="shared" si="83"/>
        <v>#VALUE!</v>
      </c>
      <c r="Q600" s="6" t="e">
        <f t="shared" si="84"/>
        <v>#VALUE!</v>
      </c>
      <c r="R600" s="6" t="e">
        <f t="shared" si="85"/>
        <v>#VALUE!</v>
      </c>
      <c r="S600" s="6" t="e">
        <f t="shared" si="86"/>
        <v>#VALUE!</v>
      </c>
      <c r="T600" s="6" t="e">
        <f t="shared" si="87"/>
        <v>#VALUE!</v>
      </c>
      <c r="U600" s="2" t="e">
        <f t="shared" si="88"/>
        <v>#VALUE!</v>
      </c>
    </row>
    <row r="601" spans="2:21" x14ac:dyDescent="0.3">
      <c r="B601"/>
      <c r="C601"/>
      <c r="D601"/>
      <c r="E601"/>
      <c r="F601"/>
      <c r="G601"/>
      <c r="H601"/>
      <c r="I601"/>
      <c r="J601"/>
      <c r="O601" s="2" t="e">
        <f t="shared" si="82"/>
        <v>#VALUE!</v>
      </c>
      <c r="P601" s="6" t="e">
        <f t="shared" si="83"/>
        <v>#VALUE!</v>
      </c>
      <c r="Q601" s="6" t="e">
        <f t="shared" si="84"/>
        <v>#VALUE!</v>
      </c>
      <c r="R601" s="6" t="e">
        <f t="shared" si="85"/>
        <v>#VALUE!</v>
      </c>
      <c r="S601" s="6" t="e">
        <f t="shared" si="86"/>
        <v>#VALUE!</v>
      </c>
      <c r="T601" s="6" t="e">
        <f t="shared" si="87"/>
        <v>#VALUE!</v>
      </c>
      <c r="U601" s="2" t="e">
        <f t="shared" si="88"/>
        <v>#VALUE!</v>
      </c>
    </row>
    <row r="602" spans="2:21" x14ac:dyDescent="0.3">
      <c r="B602"/>
      <c r="C602"/>
      <c r="D602"/>
      <c r="E602"/>
      <c r="F602"/>
      <c r="G602"/>
      <c r="H602"/>
      <c r="I602"/>
      <c r="J602"/>
      <c r="O602" s="2" t="e">
        <f t="shared" si="82"/>
        <v>#VALUE!</v>
      </c>
      <c r="P602" s="6" t="e">
        <f t="shared" si="83"/>
        <v>#VALUE!</v>
      </c>
      <c r="Q602" s="6" t="e">
        <f t="shared" si="84"/>
        <v>#VALUE!</v>
      </c>
      <c r="R602" s="6" t="e">
        <f t="shared" si="85"/>
        <v>#VALUE!</v>
      </c>
      <c r="S602" s="6" t="e">
        <f t="shared" si="86"/>
        <v>#VALUE!</v>
      </c>
      <c r="T602" s="6" t="e">
        <f t="shared" si="87"/>
        <v>#VALUE!</v>
      </c>
      <c r="U602" s="2" t="e">
        <f t="shared" si="88"/>
        <v>#VALUE!</v>
      </c>
    </row>
    <row r="603" spans="2:21" x14ac:dyDescent="0.3">
      <c r="B603"/>
      <c r="C603"/>
      <c r="D603"/>
      <c r="E603"/>
      <c r="F603"/>
      <c r="G603"/>
      <c r="H603"/>
      <c r="I603"/>
      <c r="J603"/>
      <c r="O603" s="2" t="e">
        <f t="shared" ref="O603:O644" si="89">SUBSTITUTE(MID(A603,53,FIND("GBHS",A603)-54), ".", ",")</f>
        <v>#VALUE!</v>
      </c>
      <c r="P603" s="6" t="e">
        <f t="shared" ref="P603:P644" si="90">MID(O603,1,4)</f>
        <v>#VALUE!</v>
      </c>
      <c r="Q603" s="6" t="e">
        <f t="shared" ref="Q603:Q644" si="91">MID(O603,6,4)</f>
        <v>#VALUE!</v>
      </c>
      <c r="R603" s="6" t="e">
        <f t="shared" ref="R603:R644" si="92">MID(O603,11,4)</f>
        <v>#VALUE!</v>
      </c>
      <c r="S603" s="6" t="e">
        <f t="shared" ref="S603:S644" si="93">MID(O603,16,4)</f>
        <v>#VALUE!</v>
      </c>
      <c r="T603" s="6" t="e">
        <f t="shared" ref="T603:T644" si="94">MID(O603,21,4)</f>
        <v>#VALUE!</v>
      </c>
      <c r="U603" s="2" t="e">
        <f t="shared" si="88"/>
        <v>#VALUE!</v>
      </c>
    </row>
    <row r="604" spans="2:21" x14ac:dyDescent="0.3">
      <c r="B604"/>
      <c r="C604"/>
      <c r="D604"/>
      <c r="E604"/>
      <c r="F604"/>
      <c r="G604"/>
      <c r="H604"/>
      <c r="I604"/>
      <c r="J604"/>
      <c r="O604" s="2" t="e">
        <f t="shared" si="89"/>
        <v>#VALUE!</v>
      </c>
      <c r="P604" s="6" t="e">
        <f t="shared" si="90"/>
        <v>#VALUE!</v>
      </c>
      <c r="Q604" s="6" t="e">
        <f t="shared" si="91"/>
        <v>#VALUE!</v>
      </c>
      <c r="R604" s="6" t="e">
        <f t="shared" si="92"/>
        <v>#VALUE!</v>
      </c>
      <c r="S604" s="6" t="e">
        <f t="shared" si="93"/>
        <v>#VALUE!</v>
      </c>
      <c r="T604" s="6" t="e">
        <f t="shared" si="94"/>
        <v>#VALUE!</v>
      </c>
      <c r="U604" s="2" t="e">
        <f t="shared" si="88"/>
        <v>#VALUE!</v>
      </c>
    </row>
    <row r="605" spans="2:21" x14ac:dyDescent="0.3">
      <c r="B605"/>
      <c r="C605"/>
      <c r="D605"/>
      <c r="E605"/>
      <c r="F605"/>
      <c r="G605"/>
      <c r="H605"/>
      <c r="I605"/>
      <c r="J605"/>
      <c r="O605" s="2" t="e">
        <f t="shared" si="89"/>
        <v>#VALUE!</v>
      </c>
      <c r="P605" s="6" t="e">
        <f t="shared" si="90"/>
        <v>#VALUE!</v>
      </c>
      <c r="Q605" s="6" t="e">
        <f t="shared" si="91"/>
        <v>#VALUE!</v>
      </c>
      <c r="R605" s="6" t="e">
        <f t="shared" si="92"/>
        <v>#VALUE!</v>
      </c>
      <c r="S605" s="6" t="e">
        <f t="shared" si="93"/>
        <v>#VALUE!</v>
      </c>
      <c r="T605" s="6" t="e">
        <f t="shared" si="94"/>
        <v>#VALUE!</v>
      </c>
      <c r="U605" s="2" t="e">
        <f t="shared" si="88"/>
        <v>#VALUE!</v>
      </c>
    </row>
    <row r="606" spans="2:21" x14ac:dyDescent="0.3">
      <c r="B606"/>
      <c r="C606"/>
      <c r="D606"/>
      <c r="E606"/>
      <c r="F606"/>
      <c r="G606"/>
      <c r="H606"/>
      <c r="I606"/>
      <c r="J606"/>
      <c r="O606" s="2" t="e">
        <f t="shared" si="89"/>
        <v>#VALUE!</v>
      </c>
      <c r="P606" s="6" t="e">
        <f t="shared" si="90"/>
        <v>#VALUE!</v>
      </c>
      <c r="Q606" s="6" t="e">
        <f t="shared" si="91"/>
        <v>#VALUE!</v>
      </c>
      <c r="R606" s="6" t="e">
        <f t="shared" si="92"/>
        <v>#VALUE!</v>
      </c>
      <c r="S606" s="6" t="e">
        <f t="shared" si="93"/>
        <v>#VALUE!</v>
      </c>
      <c r="T606" s="6" t="e">
        <f t="shared" si="94"/>
        <v>#VALUE!</v>
      </c>
      <c r="U606" s="2" t="e">
        <f t="shared" si="88"/>
        <v>#VALUE!</v>
      </c>
    </row>
    <row r="607" spans="2:21" x14ac:dyDescent="0.3">
      <c r="B607"/>
      <c r="C607"/>
      <c r="D607"/>
      <c r="E607"/>
      <c r="F607"/>
      <c r="G607"/>
      <c r="H607"/>
      <c r="I607"/>
      <c r="J607"/>
      <c r="O607" s="2" t="e">
        <f t="shared" si="89"/>
        <v>#VALUE!</v>
      </c>
      <c r="P607" s="6" t="e">
        <f t="shared" si="90"/>
        <v>#VALUE!</v>
      </c>
      <c r="Q607" s="6" t="e">
        <f t="shared" si="91"/>
        <v>#VALUE!</v>
      </c>
      <c r="R607" s="6" t="e">
        <f t="shared" si="92"/>
        <v>#VALUE!</v>
      </c>
      <c r="S607" s="6" t="e">
        <f t="shared" si="93"/>
        <v>#VALUE!</v>
      </c>
      <c r="T607" s="6" t="e">
        <f t="shared" si="94"/>
        <v>#VALUE!</v>
      </c>
      <c r="U607" s="2" t="e">
        <f t="shared" si="88"/>
        <v>#VALUE!</v>
      </c>
    </row>
    <row r="608" spans="2:21" x14ac:dyDescent="0.3">
      <c r="B608"/>
      <c r="C608"/>
      <c r="D608"/>
      <c r="E608" s="4"/>
      <c r="F608"/>
      <c r="G608"/>
      <c r="H608"/>
      <c r="I608"/>
      <c r="J608"/>
      <c r="O608" s="2" t="e">
        <f t="shared" si="89"/>
        <v>#VALUE!</v>
      </c>
      <c r="P608" s="6" t="e">
        <f t="shared" si="90"/>
        <v>#VALUE!</v>
      </c>
      <c r="Q608" s="6" t="e">
        <f t="shared" si="91"/>
        <v>#VALUE!</v>
      </c>
      <c r="R608" s="6" t="e">
        <f t="shared" si="92"/>
        <v>#VALUE!</v>
      </c>
      <c r="S608" s="6" t="e">
        <f t="shared" si="93"/>
        <v>#VALUE!</v>
      </c>
      <c r="T608" s="6" t="e">
        <f t="shared" si="94"/>
        <v>#VALUE!</v>
      </c>
      <c r="U608" s="2" t="e">
        <f t="shared" si="88"/>
        <v>#VALUE!</v>
      </c>
    </row>
    <row r="609" spans="2:21" x14ac:dyDescent="0.3">
      <c r="B609"/>
      <c r="C609"/>
      <c r="D609"/>
      <c r="E609" s="4"/>
      <c r="F609"/>
      <c r="G609"/>
      <c r="H609"/>
      <c r="I609"/>
      <c r="J609"/>
      <c r="O609" s="2" t="e">
        <f t="shared" si="89"/>
        <v>#VALUE!</v>
      </c>
      <c r="P609" s="6" t="e">
        <f t="shared" si="90"/>
        <v>#VALUE!</v>
      </c>
      <c r="Q609" s="6" t="e">
        <f t="shared" si="91"/>
        <v>#VALUE!</v>
      </c>
      <c r="R609" s="6" t="e">
        <f t="shared" si="92"/>
        <v>#VALUE!</v>
      </c>
      <c r="S609" s="6" t="e">
        <f t="shared" si="93"/>
        <v>#VALUE!</v>
      </c>
      <c r="T609" s="6" t="e">
        <f t="shared" si="94"/>
        <v>#VALUE!</v>
      </c>
      <c r="U609" s="2" t="e">
        <f t="shared" si="88"/>
        <v>#VALUE!</v>
      </c>
    </row>
    <row r="610" spans="2:21" x14ac:dyDescent="0.3">
      <c r="B610"/>
      <c r="C610"/>
      <c r="D610"/>
      <c r="E610"/>
      <c r="F610"/>
      <c r="G610"/>
      <c r="H610"/>
      <c r="I610"/>
      <c r="J610"/>
      <c r="O610" s="2" t="e">
        <f t="shared" si="89"/>
        <v>#VALUE!</v>
      </c>
      <c r="P610" s="6" t="e">
        <f t="shared" si="90"/>
        <v>#VALUE!</v>
      </c>
      <c r="Q610" s="6" t="e">
        <f t="shared" si="91"/>
        <v>#VALUE!</v>
      </c>
      <c r="R610" s="6" t="e">
        <f t="shared" si="92"/>
        <v>#VALUE!</v>
      </c>
      <c r="S610" s="6" t="e">
        <f t="shared" si="93"/>
        <v>#VALUE!</v>
      </c>
      <c r="T610" s="6" t="e">
        <f t="shared" si="94"/>
        <v>#VALUE!</v>
      </c>
      <c r="U610" s="2" t="e">
        <f t="shared" si="88"/>
        <v>#VALUE!</v>
      </c>
    </row>
    <row r="611" spans="2:21" x14ac:dyDescent="0.3">
      <c r="B611"/>
      <c r="C611"/>
      <c r="D611"/>
      <c r="E611"/>
      <c r="F611"/>
      <c r="G611"/>
      <c r="H611"/>
      <c r="I611"/>
      <c r="J611"/>
      <c r="O611" s="2" t="e">
        <f t="shared" si="89"/>
        <v>#VALUE!</v>
      </c>
      <c r="P611" s="6" t="e">
        <f t="shared" si="90"/>
        <v>#VALUE!</v>
      </c>
      <c r="Q611" s="6" t="e">
        <f t="shared" si="91"/>
        <v>#VALUE!</v>
      </c>
      <c r="R611" s="6" t="e">
        <f t="shared" si="92"/>
        <v>#VALUE!</v>
      </c>
      <c r="S611" s="6" t="e">
        <f t="shared" si="93"/>
        <v>#VALUE!</v>
      </c>
      <c r="T611" s="6" t="e">
        <f t="shared" si="94"/>
        <v>#VALUE!</v>
      </c>
      <c r="U611" s="2" t="e">
        <f t="shared" si="88"/>
        <v>#VALUE!</v>
      </c>
    </row>
    <row r="612" spans="2:21" x14ac:dyDescent="0.3">
      <c r="B612"/>
      <c r="C612"/>
      <c r="D612"/>
      <c r="E612"/>
      <c r="F612"/>
      <c r="G612"/>
      <c r="H612"/>
      <c r="I612"/>
      <c r="J612"/>
      <c r="O612" s="2" t="e">
        <f t="shared" si="89"/>
        <v>#VALUE!</v>
      </c>
      <c r="P612" s="6" t="e">
        <f t="shared" si="90"/>
        <v>#VALUE!</v>
      </c>
      <c r="Q612" s="6" t="e">
        <f t="shared" si="91"/>
        <v>#VALUE!</v>
      </c>
      <c r="R612" s="6" t="e">
        <f t="shared" si="92"/>
        <v>#VALUE!</v>
      </c>
      <c r="S612" s="6" t="e">
        <f t="shared" si="93"/>
        <v>#VALUE!</v>
      </c>
      <c r="T612" s="6" t="e">
        <f t="shared" si="94"/>
        <v>#VALUE!</v>
      </c>
      <c r="U612" s="2" t="e">
        <f t="shared" si="88"/>
        <v>#VALUE!</v>
      </c>
    </row>
    <row r="613" spans="2:21" x14ac:dyDescent="0.3">
      <c r="B613"/>
      <c r="C613"/>
      <c r="D613"/>
      <c r="E613"/>
      <c r="F613"/>
      <c r="G613"/>
      <c r="H613"/>
      <c r="I613"/>
      <c r="J613"/>
      <c r="O613" s="2" t="e">
        <f t="shared" si="89"/>
        <v>#VALUE!</v>
      </c>
      <c r="P613" s="6" t="e">
        <f t="shared" si="90"/>
        <v>#VALUE!</v>
      </c>
      <c r="Q613" s="6" t="e">
        <f t="shared" si="91"/>
        <v>#VALUE!</v>
      </c>
      <c r="R613" s="6" t="e">
        <f t="shared" si="92"/>
        <v>#VALUE!</v>
      </c>
      <c r="S613" s="6" t="e">
        <f t="shared" si="93"/>
        <v>#VALUE!</v>
      </c>
      <c r="T613" s="6" t="e">
        <f t="shared" si="94"/>
        <v>#VALUE!</v>
      </c>
      <c r="U613" s="2" t="e">
        <f t="shared" si="88"/>
        <v>#VALUE!</v>
      </c>
    </row>
    <row r="614" spans="2:21" x14ac:dyDescent="0.3">
      <c r="B614"/>
      <c r="C614"/>
      <c r="D614"/>
      <c r="E614" s="4"/>
      <c r="F614"/>
      <c r="G614"/>
      <c r="H614"/>
      <c r="I614"/>
      <c r="J614"/>
      <c r="O614" s="2" t="e">
        <f t="shared" si="89"/>
        <v>#VALUE!</v>
      </c>
      <c r="P614" s="6" t="e">
        <f t="shared" si="90"/>
        <v>#VALUE!</v>
      </c>
      <c r="Q614" s="6" t="e">
        <f t="shared" si="91"/>
        <v>#VALUE!</v>
      </c>
      <c r="R614" s="6" t="e">
        <f t="shared" si="92"/>
        <v>#VALUE!</v>
      </c>
      <c r="S614" s="6" t="e">
        <f t="shared" si="93"/>
        <v>#VALUE!</v>
      </c>
      <c r="T614" s="6" t="e">
        <f t="shared" si="94"/>
        <v>#VALUE!</v>
      </c>
      <c r="U614" s="2" t="e">
        <f t="shared" si="88"/>
        <v>#VALUE!</v>
      </c>
    </row>
    <row r="615" spans="2:21" x14ac:dyDescent="0.3">
      <c r="B615"/>
      <c r="C615"/>
      <c r="D615"/>
      <c r="E615"/>
      <c r="F615"/>
      <c r="G615"/>
      <c r="H615"/>
      <c r="I615"/>
      <c r="J615"/>
      <c r="O615" s="2" t="e">
        <f t="shared" si="89"/>
        <v>#VALUE!</v>
      </c>
      <c r="P615" s="6" t="e">
        <f t="shared" si="90"/>
        <v>#VALUE!</v>
      </c>
      <c r="Q615" s="6" t="e">
        <f t="shared" si="91"/>
        <v>#VALUE!</v>
      </c>
      <c r="R615" s="6" t="e">
        <f t="shared" si="92"/>
        <v>#VALUE!</v>
      </c>
      <c r="S615" s="6" t="e">
        <f t="shared" si="93"/>
        <v>#VALUE!</v>
      </c>
      <c r="T615" s="6" t="e">
        <f t="shared" si="94"/>
        <v>#VALUE!</v>
      </c>
      <c r="U615" s="2" t="e">
        <f t="shared" si="88"/>
        <v>#VALUE!</v>
      </c>
    </row>
    <row r="616" spans="2:21" x14ac:dyDescent="0.3">
      <c r="B616"/>
      <c r="C616"/>
      <c r="D616"/>
      <c r="E616"/>
      <c r="F616"/>
      <c r="G616"/>
      <c r="H616"/>
      <c r="I616"/>
      <c r="J616"/>
      <c r="O616" s="2" t="e">
        <f t="shared" si="89"/>
        <v>#VALUE!</v>
      </c>
      <c r="P616" s="6" t="e">
        <f t="shared" si="90"/>
        <v>#VALUE!</v>
      </c>
      <c r="Q616" s="6" t="e">
        <f t="shared" si="91"/>
        <v>#VALUE!</v>
      </c>
      <c r="R616" s="6" t="e">
        <f t="shared" si="92"/>
        <v>#VALUE!</v>
      </c>
      <c r="S616" s="6" t="e">
        <f t="shared" si="93"/>
        <v>#VALUE!</v>
      </c>
      <c r="T616" s="6" t="e">
        <f t="shared" si="94"/>
        <v>#VALUE!</v>
      </c>
      <c r="U616" s="2" t="e">
        <f t="shared" si="88"/>
        <v>#VALUE!</v>
      </c>
    </row>
    <row r="617" spans="2:21" x14ac:dyDescent="0.3">
      <c r="B617"/>
      <c r="C617"/>
      <c r="D617"/>
      <c r="E617"/>
      <c r="F617"/>
      <c r="G617"/>
      <c r="H617"/>
      <c r="I617"/>
      <c r="J617"/>
      <c r="O617" s="2" t="e">
        <f t="shared" si="89"/>
        <v>#VALUE!</v>
      </c>
      <c r="P617" s="6" t="e">
        <f t="shared" si="90"/>
        <v>#VALUE!</v>
      </c>
      <c r="Q617" s="6" t="e">
        <f t="shared" si="91"/>
        <v>#VALUE!</v>
      </c>
      <c r="R617" s="6" t="e">
        <f t="shared" si="92"/>
        <v>#VALUE!</v>
      </c>
      <c r="S617" s="6" t="e">
        <f t="shared" si="93"/>
        <v>#VALUE!</v>
      </c>
      <c r="T617" s="6" t="e">
        <f t="shared" si="94"/>
        <v>#VALUE!</v>
      </c>
      <c r="U617" s="2" t="e">
        <f t="shared" si="88"/>
        <v>#VALUE!</v>
      </c>
    </row>
    <row r="618" spans="2:21" x14ac:dyDescent="0.3">
      <c r="B618"/>
      <c r="C618"/>
      <c r="D618"/>
      <c r="E618"/>
      <c r="F618"/>
      <c r="G618"/>
      <c r="H618"/>
      <c r="I618"/>
      <c r="J618"/>
      <c r="O618" s="2" t="e">
        <f t="shared" si="89"/>
        <v>#VALUE!</v>
      </c>
      <c r="P618" s="6" t="e">
        <f t="shared" si="90"/>
        <v>#VALUE!</v>
      </c>
      <c r="Q618" s="6" t="e">
        <f t="shared" si="91"/>
        <v>#VALUE!</v>
      </c>
      <c r="R618" s="6" t="e">
        <f t="shared" si="92"/>
        <v>#VALUE!</v>
      </c>
      <c r="S618" s="6" t="e">
        <f t="shared" si="93"/>
        <v>#VALUE!</v>
      </c>
      <c r="T618" s="6" t="e">
        <f t="shared" si="94"/>
        <v>#VALUE!</v>
      </c>
      <c r="U618" s="2" t="e">
        <f t="shared" si="88"/>
        <v>#VALUE!</v>
      </c>
    </row>
    <row r="619" spans="2:21" x14ac:dyDescent="0.3">
      <c r="B619"/>
      <c r="C619"/>
      <c r="D619"/>
      <c r="E619"/>
      <c r="F619"/>
      <c r="G619"/>
      <c r="H619"/>
      <c r="I619"/>
      <c r="J619"/>
      <c r="O619" s="2" t="e">
        <f t="shared" si="89"/>
        <v>#VALUE!</v>
      </c>
      <c r="P619" s="6" t="e">
        <f t="shared" si="90"/>
        <v>#VALUE!</v>
      </c>
      <c r="Q619" s="6" t="e">
        <f t="shared" si="91"/>
        <v>#VALUE!</v>
      </c>
      <c r="R619" s="6" t="e">
        <f t="shared" si="92"/>
        <v>#VALUE!</v>
      </c>
      <c r="S619" s="6" t="e">
        <f t="shared" si="93"/>
        <v>#VALUE!</v>
      </c>
      <c r="T619" s="6" t="e">
        <f t="shared" si="94"/>
        <v>#VALUE!</v>
      </c>
      <c r="U619" s="2" t="e">
        <f t="shared" si="88"/>
        <v>#VALUE!</v>
      </c>
    </row>
    <row r="620" spans="2:21" x14ac:dyDescent="0.3">
      <c r="B620"/>
      <c r="C620"/>
      <c r="D620"/>
      <c r="E620"/>
      <c r="F620"/>
      <c r="G620"/>
      <c r="H620"/>
      <c r="I620"/>
      <c r="J620"/>
      <c r="O620" s="2" t="e">
        <f t="shared" si="89"/>
        <v>#VALUE!</v>
      </c>
      <c r="P620" s="6" t="e">
        <f t="shared" si="90"/>
        <v>#VALUE!</v>
      </c>
      <c r="Q620" s="6" t="e">
        <f t="shared" si="91"/>
        <v>#VALUE!</v>
      </c>
      <c r="R620" s="6" t="e">
        <f t="shared" si="92"/>
        <v>#VALUE!</v>
      </c>
      <c r="S620" s="6" t="e">
        <f t="shared" si="93"/>
        <v>#VALUE!</v>
      </c>
      <c r="T620" s="6" t="e">
        <f t="shared" si="94"/>
        <v>#VALUE!</v>
      </c>
      <c r="U620" s="2" t="e">
        <f t="shared" si="88"/>
        <v>#VALUE!</v>
      </c>
    </row>
    <row r="621" spans="2:21" x14ac:dyDescent="0.3">
      <c r="B621"/>
      <c r="C621"/>
      <c r="D621"/>
      <c r="E621"/>
      <c r="F621"/>
      <c r="G621"/>
      <c r="H621"/>
      <c r="I621"/>
      <c r="J621"/>
      <c r="O621" s="2" t="e">
        <f t="shared" si="89"/>
        <v>#VALUE!</v>
      </c>
      <c r="P621" s="6" t="e">
        <f t="shared" si="90"/>
        <v>#VALUE!</v>
      </c>
      <c r="Q621" s="6" t="e">
        <f t="shared" si="91"/>
        <v>#VALUE!</v>
      </c>
      <c r="R621" s="6" t="e">
        <f t="shared" si="92"/>
        <v>#VALUE!</v>
      </c>
      <c r="S621" s="6" t="e">
        <f t="shared" si="93"/>
        <v>#VALUE!</v>
      </c>
      <c r="T621" s="6" t="e">
        <f t="shared" si="94"/>
        <v>#VALUE!</v>
      </c>
      <c r="U621" s="2" t="e">
        <f t="shared" si="88"/>
        <v>#VALUE!</v>
      </c>
    </row>
    <row r="622" spans="2:21" x14ac:dyDescent="0.3">
      <c r="B622"/>
      <c r="C622"/>
      <c r="D622"/>
      <c r="E622" s="4"/>
      <c r="F622"/>
      <c r="G622"/>
      <c r="H622"/>
      <c r="I622"/>
      <c r="J622"/>
      <c r="O622" s="2" t="e">
        <f t="shared" si="89"/>
        <v>#VALUE!</v>
      </c>
      <c r="P622" s="6" t="e">
        <f t="shared" si="90"/>
        <v>#VALUE!</v>
      </c>
      <c r="Q622" s="6" t="e">
        <f t="shared" si="91"/>
        <v>#VALUE!</v>
      </c>
      <c r="R622" s="6" t="e">
        <f t="shared" si="92"/>
        <v>#VALUE!</v>
      </c>
      <c r="S622" s="6" t="e">
        <f t="shared" si="93"/>
        <v>#VALUE!</v>
      </c>
      <c r="T622" s="6" t="e">
        <f t="shared" si="94"/>
        <v>#VALUE!</v>
      </c>
      <c r="U622" s="2" t="e">
        <f t="shared" si="88"/>
        <v>#VALUE!</v>
      </c>
    </row>
    <row r="623" spans="2:21" x14ac:dyDescent="0.3">
      <c r="B623"/>
      <c r="C623"/>
      <c r="D623"/>
      <c r="E623"/>
      <c r="F623"/>
      <c r="G623"/>
      <c r="H623"/>
      <c r="I623"/>
      <c r="J623"/>
      <c r="O623" s="2" t="e">
        <f t="shared" si="89"/>
        <v>#VALUE!</v>
      </c>
      <c r="P623" s="6" t="e">
        <f t="shared" si="90"/>
        <v>#VALUE!</v>
      </c>
      <c r="Q623" s="6" t="e">
        <f t="shared" si="91"/>
        <v>#VALUE!</v>
      </c>
      <c r="R623" s="6" t="e">
        <f t="shared" si="92"/>
        <v>#VALUE!</v>
      </c>
      <c r="S623" s="6" t="e">
        <f t="shared" si="93"/>
        <v>#VALUE!</v>
      </c>
      <c r="T623" s="6" t="e">
        <f t="shared" si="94"/>
        <v>#VALUE!</v>
      </c>
      <c r="U623" s="2" t="e">
        <f t="shared" si="88"/>
        <v>#VALUE!</v>
      </c>
    </row>
    <row r="624" spans="2:21" x14ac:dyDescent="0.3">
      <c r="B624"/>
      <c r="C624"/>
      <c r="D624"/>
      <c r="E624"/>
      <c r="F624"/>
      <c r="G624"/>
      <c r="H624"/>
      <c r="I624"/>
      <c r="J624"/>
      <c r="O624" s="2" t="e">
        <f t="shared" si="89"/>
        <v>#VALUE!</v>
      </c>
      <c r="P624" s="6" t="e">
        <f t="shared" si="90"/>
        <v>#VALUE!</v>
      </c>
      <c r="Q624" s="6" t="e">
        <f t="shared" si="91"/>
        <v>#VALUE!</v>
      </c>
      <c r="R624" s="6" t="e">
        <f t="shared" si="92"/>
        <v>#VALUE!</v>
      </c>
      <c r="S624" s="6" t="e">
        <f t="shared" si="93"/>
        <v>#VALUE!</v>
      </c>
      <c r="T624" s="6" t="e">
        <f t="shared" si="94"/>
        <v>#VALUE!</v>
      </c>
      <c r="U624" s="2" t="e">
        <f t="shared" si="88"/>
        <v>#VALUE!</v>
      </c>
    </row>
    <row r="625" spans="2:21" x14ac:dyDescent="0.3">
      <c r="B625"/>
      <c r="C625"/>
      <c r="D625"/>
      <c r="E625"/>
      <c r="F625"/>
      <c r="G625"/>
      <c r="H625"/>
      <c r="I625"/>
      <c r="J625"/>
      <c r="O625" s="2" t="e">
        <f t="shared" si="89"/>
        <v>#VALUE!</v>
      </c>
      <c r="P625" s="6" t="e">
        <f t="shared" si="90"/>
        <v>#VALUE!</v>
      </c>
      <c r="Q625" s="6" t="e">
        <f t="shared" si="91"/>
        <v>#VALUE!</v>
      </c>
      <c r="R625" s="6" t="e">
        <f t="shared" si="92"/>
        <v>#VALUE!</v>
      </c>
      <c r="S625" s="6" t="e">
        <f t="shared" si="93"/>
        <v>#VALUE!</v>
      </c>
      <c r="T625" s="6" t="e">
        <f t="shared" si="94"/>
        <v>#VALUE!</v>
      </c>
      <c r="U625" s="2" t="e">
        <f t="shared" si="88"/>
        <v>#VALUE!</v>
      </c>
    </row>
    <row r="626" spans="2:21" x14ac:dyDescent="0.3">
      <c r="B626"/>
      <c r="C626"/>
      <c r="D626"/>
      <c r="E626"/>
      <c r="F626"/>
      <c r="G626"/>
      <c r="H626"/>
      <c r="I626"/>
      <c r="J626"/>
      <c r="O626" s="2" t="e">
        <f t="shared" si="89"/>
        <v>#VALUE!</v>
      </c>
      <c r="P626" s="6" t="e">
        <f t="shared" si="90"/>
        <v>#VALUE!</v>
      </c>
      <c r="Q626" s="6" t="e">
        <f t="shared" si="91"/>
        <v>#VALUE!</v>
      </c>
      <c r="R626" s="6" t="e">
        <f t="shared" si="92"/>
        <v>#VALUE!</v>
      </c>
      <c r="S626" s="6" t="e">
        <f t="shared" si="93"/>
        <v>#VALUE!</v>
      </c>
      <c r="T626" s="6" t="e">
        <f t="shared" si="94"/>
        <v>#VALUE!</v>
      </c>
      <c r="U626" s="2" t="e">
        <f t="shared" si="88"/>
        <v>#VALUE!</v>
      </c>
    </row>
    <row r="627" spans="2:21" x14ac:dyDescent="0.3">
      <c r="B627"/>
      <c r="C627"/>
      <c r="D627"/>
      <c r="E627"/>
      <c r="F627"/>
      <c r="G627"/>
      <c r="H627"/>
      <c r="I627"/>
      <c r="J627"/>
      <c r="O627" s="2" t="e">
        <f t="shared" si="89"/>
        <v>#VALUE!</v>
      </c>
      <c r="P627" s="6" t="e">
        <f t="shared" si="90"/>
        <v>#VALUE!</v>
      </c>
      <c r="Q627" s="6" t="e">
        <f t="shared" si="91"/>
        <v>#VALUE!</v>
      </c>
      <c r="R627" s="6" t="e">
        <f t="shared" si="92"/>
        <v>#VALUE!</v>
      </c>
      <c r="S627" s="6" t="e">
        <f t="shared" si="93"/>
        <v>#VALUE!</v>
      </c>
      <c r="T627" s="6" t="e">
        <f t="shared" si="94"/>
        <v>#VALUE!</v>
      </c>
      <c r="U627" s="2" t="e">
        <f t="shared" si="88"/>
        <v>#VALUE!</v>
      </c>
    </row>
    <row r="628" spans="2:21" x14ac:dyDescent="0.3">
      <c r="B628"/>
      <c r="C628"/>
      <c r="D628"/>
      <c r="E628"/>
      <c r="F628"/>
      <c r="G628"/>
      <c r="H628"/>
      <c r="I628"/>
      <c r="J628"/>
      <c r="O628" s="2" t="e">
        <f t="shared" si="89"/>
        <v>#VALUE!</v>
      </c>
      <c r="P628" s="6" t="e">
        <f t="shared" si="90"/>
        <v>#VALUE!</v>
      </c>
      <c r="Q628" s="6" t="e">
        <f t="shared" si="91"/>
        <v>#VALUE!</v>
      </c>
      <c r="R628" s="6" t="e">
        <f t="shared" si="92"/>
        <v>#VALUE!</v>
      </c>
      <c r="S628" s="6" t="e">
        <f t="shared" si="93"/>
        <v>#VALUE!</v>
      </c>
      <c r="T628" s="6" t="e">
        <f t="shared" si="94"/>
        <v>#VALUE!</v>
      </c>
      <c r="U628" s="2" t="e">
        <f t="shared" si="88"/>
        <v>#VALUE!</v>
      </c>
    </row>
    <row r="629" spans="2:21" x14ac:dyDescent="0.3">
      <c r="B629"/>
      <c r="C629"/>
      <c r="D629"/>
      <c r="E629" s="4"/>
      <c r="F629"/>
      <c r="G629"/>
      <c r="H629"/>
      <c r="I629"/>
      <c r="J629"/>
      <c r="O629" s="2" t="e">
        <f t="shared" si="89"/>
        <v>#VALUE!</v>
      </c>
      <c r="P629" s="6" t="e">
        <f t="shared" si="90"/>
        <v>#VALUE!</v>
      </c>
      <c r="Q629" s="6" t="e">
        <f t="shared" si="91"/>
        <v>#VALUE!</v>
      </c>
      <c r="R629" s="6" t="e">
        <f t="shared" si="92"/>
        <v>#VALUE!</v>
      </c>
      <c r="S629" s="6" t="e">
        <f t="shared" si="93"/>
        <v>#VALUE!</v>
      </c>
      <c r="T629" s="6" t="e">
        <f t="shared" si="94"/>
        <v>#VALUE!</v>
      </c>
      <c r="U629" s="2" t="e">
        <f t="shared" si="88"/>
        <v>#VALUE!</v>
      </c>
    </row>
    <row r="630" spans="2:21" x14ac:dyDescent="0.3">
      <c r="B630"/>
      <c r="C630"/>
      <c r="D630"/>
      <c r="E630"/>
      <c r="F630"/>
      <c r="G630"/>
      <c r="H630"/>
      <c r="I630"/>
      <c r="J630"/>
      <c r="O630" s="2" t="e">
        <f t="shared" si="89"/>
        <v>#VALUE!</v>
      </c>
      <c r="P630" s="6" t="e">
        <f t="shared" si="90"/>
        <v>#VALUE!</v>
      </c>
      <c r="Q630" s="6" t="e">
        <f t="shared" si="91"/>
        <v>#VALUE!</v>
      </c>
      <c r="R630" s="6" t="e">
        <f t="shared" si="92"/>
        <v>#VALUE!</v>
      </c>
      <c r="S630" s="6" t="e">
        <f t="shared" si="93"/>
        <v>#VALUE!</v>
      </c>
      <c r="T630" s="6" t="e">
        <f t="shared" si="94"/>
        <v>#VALUE!</v>
      </c>
      <c r="U630" s="2" t="e">
        <f t="shared" si="88"/>
        <v>#VALUE!</v>
      </c>
    </row>
    <row r="631" spans="2:21" x14ac:dyDescent="0.3">
      <c r="B631"/>
      <c r="C631"/>
      <c r="D631"/>
      <c r="E631"/>
      <c r="F631"/>
      <c r="G631"/>
      <c r="H631"/>
      <c r="I631"/>
      <c r="J631"/>
      <c r="O631" s="2" t="e">
        <f t="shared" si="89"/>
        <v>#VALUE!</v>
      </c>
      <c r="P631" s="6" t="e">
        <f t="shared" si="90"/>
        <v>#VALUE!</v>
      </c>
      <c r="Q631" s="6" t="e">
        <f t="shared" si="91"/>
        <v>#VALUE!</v>
      </c>
      <c r="R631" s="6" t="e">
        <f t="shared" si="92"/>
        <v>#VALUE!</v>
      </c>
      <c r="S631" s="6" t="e">
        <f t="shared" si="93"/>
        <v>#VALUE!</v>
      </c>
      <c r="T631" s="6" t="e">
        <f t="shared" si="94"/>
        <v>#VALUE!</v>
      </c>
      <c r="U631" s="2" t="e">
        <f t="shared" si="88"/>
        <v>#VALUE!</v>
      </c>
    </row>
    <row r="632" spans="2:21" x14ac:dyDescent="0.3">
      <c r="B632"/>
      <c r="C632"/>
      <c r="D632"/>
      <c r="E632"/>
      <c r="F632"/>
      <c r="G632"/>
      <c r="H632"/>
      <c r="I632"/>
      <c r="J632"/>
      <c r="O632" s="2" t="e">
        <f t="shared" si="89"/>
        <v>#VALUE!</v>
      </c>
      <c r="P632" s="6" t="e">
        <f t="shared" si="90"/>
        <v>#VALUE!</v>
      </c>
      <c r="Q632" s="6" t="e">
        <f t="shared" si="91"/>
        <v>#VALUE!</v>
      </c>
      <c r="R632" s="6" t="e">
        <f t="shared" si="92"/>
        <v>#VALUE!</v>
      </c>
      <c r="S632" s="6" t="e">
        <f t="shared" si="93"/>
        <v>#VALUE!</v>
      </c>
      <c r="T632" s="6" t="e">
        <f t="shared" si="94"/>
        <v>#VALUE!</v>
      </c>
      <c r="U632" s="2" t="e">
        <f t="shared" si="88"/>
        <v>#VALUE!</v>
      </c>
    </row>
    <row r="633" spans="2:21" x14ac:dyDescent="0.3">
      <c r="B633"/>
      <c r="C633"/>
      <c r="D633"/>
      <c r="E633"/>
      <c r="F633"/>
      <c r="G633"/>
      <c r="H633"/>
      <c r="I633"/>
      <c r="J633"/>
      <c r="O633" s="2" t="e">
        <f t="shared" si="89"/>
        <v>#VALUE!</v>
      </c>
      <c r="P633" s="6" t="e">
        <f t="shared" si="90"/>
        <v>#VALUE!</v>
      </c>
      <c r="Q633" s="6" t="e">
        <f t="shared" si="91"/>
        <v>#VALUE!</v>
      </c>
      <c r="R633" s="6" t="e">
        <f t="shared" si="92"/>
        <v>#VALUE!</v>
      </c>
      <c r="S633" s="6" t="e">
        <f t="shared" si="93"/>
        <v>#VALUE!</v>
      </c>
      <c r="T633" s="6" t="e">
        <f t="shared" si="94"/>
        <v>#VALUE!</v>
      </c>
      <c r="U633" s="2" t="e">
        <f t="shared" si="88"/>
        <v>#VALUE!</v>
      </c>
    </row>
    <row r="634" spans="2:21" x14ac:dyDescent="0.3">
      <c r="B634"/>
      <c r="C634"/>
      <c r="D634"/>
      <c r="E634"/>
      <c r="F634"/>
      <c r="G634"/>
      <c r="H634"/>
      <c r="I634"/>
      <c r="J634"/>
      <c r="O634" s="2" t="e">
        <f t="shared" si="89"/>
        <v>#VALUE!</v>
      </c>
      <c r="P634" s="6" t="e">
        <f t="shared" si="90"/>
        <v>#VALUE!</v>
      </c>
      <c r="Q634" s="6" t="e">
        <f t="shared" si="91"/>
        <v>#VALUE!</v>
      </c>
      <c r="R634" s="6" t="e">
        <f t="shared" si="92"/>
        <v>#VALUE!</v>
      </c>
      <c r="S634" s="6" t="e">
        <f t="shared" si="93"/>
        <v>#VALUE!</v>
      </c>
      <c r="T634" s="6" t="e">
        <f t="shared" si="94"/>
        <v>#VALUE!</v>
      </c>
      <c r="U634" s="2" t="e">
        <f t="shared" si="88"/>
        <v>#VALUE!</v>
      </c>
    </row>
    <row r="635" spans="2:21" x14ac:dyDescent="0.3">
      <c r="B635"/>
      <c r="C635"/>
      <c r="D635"/>
      <c r="E635"/>
      <c r="F635"/>
      <c r="G635"/>
      <c r="H635"/>
      <c r="I635"/>
      <c r="J635"/>
      <c r="O635" s="2" t="e">
        <f t="shared" si="89"/>
        <v>#VALUE!</v>
      </c>
      <c r="P635" s="6" t="e">
        <f t="shared" si="90"/>
        <v>#VALUE!</v>
      </c>
      <c r="Q635" s="6" t="e">
        <f t="shared" si="91"/>
        <v>#VALUE!</v>
      </c>
      <c r="R635" s="6" t="e">
        <f t="shared" si="92"/>
        <v>#VALUE!</v>
      </c>
      <c r="S635" s="6" t="e">
        <f t="shared" si="93"/>
        <v>#VALUE!</v>
      </c>
      <c r="T635" s="6" t="e">
        <f t="shared" si="94"/>
        <v>#VALUE!</v>
      </c>
      <c r="U635" s="2" t="e">
        <f t="shared" si="88"/>
        <v>#VALUE!</v>
      </c>
    </row>
    <row r="636" spans="2:21" x14ac:dyDescent="0.3">
      <c r="B636"/>
      <c r="C636"/>
      <c r="D636"/>
      <c r="E636"/>
      <c r="F636"/>
      <c r="G636"/>
      <c r="H636"/>
      <c r="I636"/>
      <c r="J636"/>
      <c r="O636" s="2" t="e">
        <f t="shared" si="89"/>
        <v>#VALUE!</v>
      </c>
      <c r="P636" s="6" t="e">
        <f t="shared" si="90"/>
        <v>#VALUE!</v>
      </c>
      <c r="Q636" s="6" t="e">
        <f t="shared" si="91"/>
        <v>#VALUE!</v>
      </c>
      <c r="R636" s="6" t="e">
        <f t="shared" si="92"/>
        <v>#VALUE!</v>
      </c>
      <c r="S636" s="6" t="e">
        <f t="shared" si="93"/>
        <v>#VALUE!</v>
      </c>
      <c r="T636" s="6" t="e">
        <f t="shared" si="94"/>
        <v>#VALUE!</v>
      </c>
      <c r="U636" s="2" t="e">
        <f t="shared" si="88"/>
        <v>#VALUE!</v>
      </c>
    </row>
    <row r="637" spans="2:21" x14ac:dyDescent="0.3">
      <c r="B637"/>
      <c r="C637"/>
      <c r="D637"/>
      <c r="E637"/>
      <c r="F637"/>
      <c r="G637"/>
      <c r="H637"/>
      <c r="I637"/>
      <c r="J637"/>
      <c r="O637" s="2" t="e">
        <f t="shared" si="89"/>
        <v>#VALUE!</v>
      </c>
      <c r="P637" s="6" t="e">
        <f t="shared" si="90"/>
        <v>#VALUE!</v>
      </c>
      <c r="Q637" s="6" t="e">
        <f t="shared" si="91"/>
        <v>#VALUE!</v>
      </c>
      <c r="R637" s="6" t="e">
        <f t="shared" si="92"/>
        <v>#VALUE!</v>
      </c>
      <c r="S637" s="6" t="e">
        <f t="shared" si="93"/>
        <v>#VALUE!</v>
      </c>
      <c r="T637" s="6" t="e">
        <f t="shared" si="94"/>
        <v>#VALUE!</v>
      </c>
      <c r="U637" s="2" t="e">
        <f t="shared" si="88"/>
        <v>#VALUE!</v>
      </c>
    </row>
    <row r="638" spans="2:21" x14ac:dyDescent="0.3">
      <c r="B638"/>
      <c r="C638"/>
      <c r="D638"/>
      <c r="E638"/>
      <c r="F638"/>
      <c r="G638"/>
      <c r="H638"/>
      <c r="I638"/>
      <c r="J638"/>
      <c r="O638" s="2" t="e">
        <f t="shared" si="89"/>
        <v>#VALUE!</v>
      </c>
      <c r="P638" s="6" t="e">
        <f t="shared" si="90"/>
        <v>#VALUE!</v>
      </c>
      <c r="Q638" s="6" t="e">
        <f t="shared" si="91"/>
        <v>#VALUE!</v>
      </c>
      <c r="R638" s="6" t="e">
        <f t="shared" si="92"/>
        <v>#VALUE!</v>
      </c>
      <c r="S638" s="6" t="e">
        <f t="shared" si="93"/>
        <v>#VALUE!</v>
      </c>
      <c r="T638" s="6" t="e">
        <f t="shared" si="94"/>
        <v>#VALUE!</v>
      </c>
      <c r="U638" s="2" t="e">
        <f t="shared" si="88"/>
        <v>#VALUE!</v>
      </c>
    </row>
    <row r="639" spans="2:21" x14ac:dyDescent="0.3">
      <c r="B639"/>
      <c r="C639"/>
      <c r="D639"/>
      <c r="E639"/>
      <c r="F639"/>
      <c r="G639"/>
      <c r="H639"/>
      <c r="I639"/>
      <c r="J639"/>
      <c r="O639" s="2" t="e">
        <f t="shared" si="89"/>
        <v>#VALUE!</v>
      </c>
      <c r="P639" s="6" t="e">
        <f t="shared" si="90"/>
        <v>#VALUE!</v>
      </c>
      <c r="Q639" s="6" t="e">
        <f t="shared" si="91"/>
        <v>#VALUE!</v>
      </c>
      <c r="R639" s="6" t="e">
        <f t="shared" si="92"/>
        <v>#VALUE!</v>
      </c>
      <c r="S639" s="6" t="e">
        <f t="shared" si="93"/>
        <v>#VALUE!</v>
      </c>
      <c r="T639" s="6" t="e">
        <f t="shared" si="94"/>
        <v>#VALUE!</v>
      </c>
      <c r="U639" s="2" t="e">
        <f t="shared" si="88"/>
        <v>#VALUE!</v>
      </c>
    </row>
    <row r="640" spans="2:21" x14ac:dyDescent="0.3">
      <c r="B640"/>
      <c r="C640"/>
      <c r="D640"/>
      <c r="E640"/>
      <c r="F640"/>
      <c r="G640"/>
      <c r="H640"/>
      <c r="I640"/>
      <c r="J640"/>
      <c r="O640" s="2" t="e">
        <f t="shared" si="89"/>
        <v>#VALUE!</v>
      </c>
      <c r="P640" s="6" t="e">
        <f t="shared" si="90"/>
        <v>#VALUE!</v>
      </c>
      <c r="Q640" s="6" t="e">
        <f t="shared" si="91"/>
        <v>#VALUE!</v>
      </c>
      <c r="R640" s="6" t="e">
        <f t="shared" si="92"/>
        <v>#VALUE!</v>
      </c>
      <c r="S640" s="6" t="e">
        <f t="shared" si="93"/>
        <v>#VALUE!</v>
      </c>
      <c r="T640" s="6" t="e">
        <f t="shared" si="94"/>
        <v>#VALUE!</v>
      </c>
      <c r="U640" s="2" t="e">
        <f t="shared" si="88"/>
        <v>#VALUE!</v>
      </c>
    </row>
    <row r="641" spans="2:21" x14ac:dyDescent="0.3">
      <c r="B641"/>
      <c r="C641"/>
      <c r="D641"/>
      <c r="E641"/>
      <c r="F641"/>
      <c r="G641"/>
      <c r="H641"/>
      <c r="I641"/>
      <c r="J641"/>
      <c r="O641" s="2" t="e">
        <f t="shared" si="89"/>
        <v>#VALUE!</v>
      </c>
      <c r="P641" s="6" t="e">
        <f t="shared" si="90"/>
        <v>#VALUE!</v>
      </c>
      <c r="Q641" s="6" t="e">
        <f t="shared" si="91"/>
        <v>#VALUE!</v>
      </c>
      <c r="R641" s="6" t="e">
        <f t="shared" si="92"/>
        <v>#VALUE!</v>
      </c>
      <c r="S641" s="6" t="e">
        <f t="shared" si="93"/>
        <v>#VALUE!</v>
      </c>
      <c r="T641" s="6" t="e">
        <f t="shared" si="94"/>
        <v>#VALUE!</v>
      </c>
      <c r="U641" s="2" t="e">
        <f t="shared" ref="U641:U650" si="95">SUBSTITUTE(CONCATENATE("&lt;Parametros&gt;","&lt;Alfa&gt;",P641,"&lt;/Alfa&gt;","&lt;Beta&gt;",Q641,"&lt;/Beta&gt;","&lt;Gamma&gt;",R641,"&lt;/Gamma&gt;","&lt;Delta&gt;",S641,"&lt;/Delta&gt;","&lt;Ro&gt;",T641,"&lt;/Ro&gt;","&lt;/Parametros&gt;"),",",".")</f>
        <v>#VALUE!</v>
      </c>
    </row>
    <row r="642" spans="2:21" x14ac:dyDescent="0.3">
      <c r="B642"/>
      <c r="C642"/>
      <c r="D642"/>
      <c r="E642"/>
      <c r="F642"/>
      <c r="G642"/>
      <c r="H642"/>
      <c r="I642"/>
      <c r="J642"/>
      <c r="O642" s="2" t="e">
        <f t="shared" si="89"/>
        <v>#VALUE!</v>
      </c>
      <c r="P642" s="6" t="e">
        <f t="shared" si="90"/>
        <v>#VALUE!</v>
      </c>
      <c r="Q642" s="6" t="e">
        <f t="shared" si="91"/>
        <v>#VALUE!</v>
      </c>
      <c r="R642" s="6" t="e">
        <f t="shared" si="92"/>
        <v>#VALUE!</v>
      </c>
      <c r="S642" s="6" t="e">
        <f t="shared" si="93"/>
        <v>#VALUE!</v>
      </c>
      <c r="T642" s="6" t="e">
        <f t="shared" si="94"/>
        <v>#VALUE!</v>
      </c>
      <c r="U642" s="2" t="e">
        <f t="shared" si="95"/>
        <v>#VALUE!</v>
      </c>
    </row>
    <row r="643" spans="2:21" x14ac:dyDescent="0.3">
      <c r="B643"/>
      <c r="C643"/>
      <c r="D643"/>
      <c r="E643"/>
      <c r="F643"/>
      <c r="G643"/>
      <c r="H643"/>
      <c r="I643"/>
      <c r="J643"/>
      <c r="O643" s="2" t="e">
        <f t="shared" si="89"/>
        <v>#VALUE!</v>
      </c>
      <c r="P643" s="6" t="e">
        <f t="shared" si="90"/>
        <v>#VALUE!</v>
      </c>
      <c r="Q643" s="6" t="e">
        <f t="shared" si="91"/>
        <v>#VALUE!</v>
      </c>
      <c r="R643" s="6" t="e">
        <f t="shared" si="92"/>
        <v>#VALUE!</v>
      </c>
      <c r="S643" s="6" t="e">
        <f t="shared" si="93"/>
        <v>#VALUE!</v>
      </c>
      <c r="T643" s="6" t="e">
        <f t="shared" si="94"/>
        <v>#VALUE!</v>
      </c>
      <c r="U643" s="2" t="e">
        <f t="shared" si="95"/>
        <v>#VALUE!</v>
      </c>
    </row>
    <row r="644" spans="2:21" x14ac:dyDescent="0.3">
      <c r="B644"/>
      <c r="C644"/>
      <c r="D644"/>
      <c r="E644"/>
      <c r="F644"/>
      <c r="G644"/>
      <c r="H644"/>
      <c r="I644"/>
      <c r="J644"/>
      <c r="O644" s="2" t="e">
        <f t="shared" si="89"/>
        <v>#VALUE!</v>
      </c>
      <c r="P644" s="6" t="e">
        <f t="shared" si="90"/>
        <v>#VALUE!</v>
      </c>
      <c r="Q644" s="6" t="e">
        <f t="shared" si="91"/>
        <v>#VALUE!</v>
      </c>
      <c r="R644" s="6" t="e">
        <f t="shared" si="92"/>
        <v>#VALUE!</v>
      </c>
      <c r="S644" s="6" t="e">
        <f t="shared" si="93"/>
        <v>#VALUE!</v>
      </c>
      <c r="T644" s="6" t="e">
        <f t="shared" si="94"/>
        <v>#VALUE!</v>
      </c>
      <c r="U644" s="2" t="e">
        <f t="shared" si="95"/>
        <v>#VALUE!</v>
      </c>
    </row>
    <row r="645" spans="2:21" x14ac:dyDescent="0.3">
      <c r="B645"/>
      <c r="C645"/>
      <c r="D645"/>
      <c r="E645"/>
      <c r="F645"/>
      <c r="G645"/>
      <c r="H645"/>
      <c r="I645"/>
      <c r="J645"/>
      <c r="O645" s="2" t="e">
        <f t="shared" ref="O645:O650" si="96">SUBSTITUTE(MID(A645,53,FIND("GBHS",A645)-54), ".", ",")</f>
        <v>#VALUE!</v>
      </c>
      <c r="P645" s="6" t="e">
        <f t="shared" ref="P645:P650" si="97">MID(O645,1,4)</f>
        <v>#VALUE!</v>
      </c>
      <c r="Q645" s="6" t="e">
        <f t="shared" ref="Q645:Q650" si="98">MID(O645,6,4)</f>
        <v>#VALUE!</v>
      </c>
      <c r="R645" s="6" t="e">
        <f t="shared" ref="R645:R650" si="99">MID(O645,11,4)</f>
        <v>#VALUE!</v>
      </c>
      <c r="S645" s="6" t="e">
        <f t="shared" ref="S645:S650" si="100">MID(O645,16,4)</f>
        <v>#VALUE!</v>
      </c>
      <c r="T645" s="6" t="e">
        <f t="shared" ref="T645:T650" si="101">MID(O645,21,4)</f>
        <v>#VALUE!</v>
      </c>
      <c r="U645" s="2" t="e">
        <f t="shared" si="95"/>
        <v>#VALUE!</v>
      </c>
    </row>
    <row r="646" spans="2:21" x14ac:dyDescent="0.3">
      <c r="B646"/>
      <c r="C646"/>
      <c r="D646"/>
      <c r="E646"/>
      <c r="F646"/>
      <c r="G646"/>
      <c r="H646"/>
      <c r="I646"/>
      <c r="J646"/>
      <c r="O646" s="2" t="e">
        <f t="shared" si="96"/>
        <v>#VALUE!</v>
      </c>
      <c r="P646" s="6" t="e">
        <f t="shared" si="97"/>
        <v>#VALUE!</v>
      </c>
      <c r="Q646" s="6" t="e">
        <f t="shared" si="98"/>
        <v>#VALUE!</v>
      </c>
      <c r="R646" s="6" t="e">
        <f t="shared" si="99"/>
        <v>#VALUE!</v>
      </c>
      <c r="S646" s="6" t="e">
        <f t="shared" si="100"/>
        <v>#VALUE!</v>
      </c>
      <c r="T646" s="6" t="e">
        <f t="shared" si="101"/>
        <v>#VALUE!</v>
      </c>
      <c r="U646" s="2" t="e">
        <f t="shared" si="95"/>
        <v>#VALUE!</v>
      </c>
    </row>
    <row r="647" spans="2:21" x14ac:dyDescent="0.3">
      <c r="B647"/>
      <c r="C647"/>
      <c r="D647"/>
      <c r="E647"/>
      <c r="F647"/>
      <c r="G647"/>
      <c r="H647"/>
      <c r="I647"/>
      <c r="J647"/>
      <c r="O647" s="2" t="e">
        <f t="shared" si="96"/>
        <v>#VALUE!</v>
      </c>
      <c r="P647" s="6" t="e">
        <f t="shared" si="97"/>
        <v>#VALUE!</v>
      </c>
      <c r="Q647" s="6" t="e">
        <f t="shared" si="98"/>
        <v>#VALUE!</v>
      </c>
      <c r="R647" s="6" t="e">
        <f t="shared" si="99"/>
        <v>#VALUE!</v>
      </c>
      <c r="S647" s="6" t="e">
        <f t="shared" si="100"/>
        <v>#VALUE!</v>
      </c>
      <c r="T647" s="6" t="e">
        <f t="shared" si="101"/>
        <v>#VALUE!</v>
      </c>
      <c r="U647" s="2" t="e">
        <f t="shared" si="95"/>
        <v>#VALUE!</v>
      </c>
    </row>
    <row r="648" spans="2:21" x14ac:dyDescent="0.3">
      <c r="B648"/>
      <c r="C648"/>
      <c r="D648"/>
      <c r="E648"/>
      <c r="F648"/>
      <c r="G648"/>
      <c r="H648"/>
      <c r="I648"/>
      <c r="J648"/>
      <c r="O648" s="2" t="e">
        <f t="shared" si="96"/>
        <v>#VALUE!</v>
      </c>
      <c r="P648" s="6" t="e">
        <f t="shared" si="97"/>
        <v>#VALUE!</v>
      </c>
      <c r="Q648" s="6" t="e">
        <f t="shared" si="98"/>
        <v>#VALUE!</v>
      </c>
      <c r="R648" s="6" t="e">
        <f t="shared" si="99"/>
        <v>#VALUE!</v>
      </c>
      <c r="S648" s="6" t="e">
        <f t="shared" si="100"/>
        <v>#VALUE!</v>
      </c>
      <c r="T648" s="6" t="e">
        <f t="shared" si="101"/>
        <v>#VALUE!</v>
      </c>
      <c r="U648" s="2" t="e">
        <f t="shared" si="95"/>
        <v>#VALUE!</v>
      </c>
    </row>
    <row r="649" spans="2:21" x14ac:dyDescent="0.3">
      <c r="B649"/>
      <c r="C649"/>
      <c r="D649"/>
      <c r="E649"/>
      <c r="F649"/>
      <c r="G649"/>
      <c r="H649"/>
      <c r="I649"/>
      <c r="J649"/>
      <c r="O649" s="2" t="e">
        <f t="shared" si="96"/>
        <v>#VALUE!</v>
      </c>
      <c r="P649" s="6" t="e">
        <f t="shared" si="97"/>
        <v>#VALUE!</v>
      </c>
      <c r="Q649" s="6" t="e">
        <f t="shared" si="98"/>
        <v>#VALUE!</v>
      </c>
      <c r="R649" s="6" t="e">
        <f t="shared" si="99"/>
        <v>#VALUE!</v>
      </c>
      <c r="S649" s="6" t="e">
        <f t="shared" si="100"/>
        <v>#VALUE!</v>
      </c>
      <c r="T649" s="6" t="e">
        <f t="shared" si="101"/>
        <v>#VALUE!</v>
      </c>
      <c r="U649" s="2" t="e">
        <f t="shared" si="95"/>
        <v>#VALUE!</v>
      </c>
    </row>
    <row r="650" spans="2:21" x14ac:dyDescent="0.3">
      <c r="B650"/>
      <c r="C650"/>
      <c r="D650"/>
      <c r="E650"/>
      <c r="F650"/>
      <c r="G650"/>
      <c r="H650"/>
      <c r="I650"/>
      <c r="J650"/>
      <c r="O650" s="2" t="e">
        <f t="shared" si="96"/>
        <v>#VALUE!</v>
      </c>
      <c r="P650" s="6" t="e">
        <f t="shared" si="97"/>
        <v>#VALUE!</v>
      </c>
      <c r="Q650" s="6" t="e">
        <f t="shared" si="98"/>
        <v>#VALUE!</v>
      </c>
      <c r="R650" s="6" t="e">
        <f t="shared" si="99"/>
        <v>#VALUE!</v>
      </c>
      <c r="S650" s="6" t="e">
        <f t="shared" si="100"/>
        <v>#VALUE!</v>
      </c>
      <c r="T650" s="6" t="e">
        <f t="shared" si="101"/>
        <v>#VALUE!</v>
      </c>
      <c r="U650" s="2" t="e">
        <f t="shared" si="95"/>
        <v>#VALUE!</v>
      </c>
    </row>
    <row r="651" spans="2:21" x14ac:dyDescent="0.3">
      <c r="B651"/>
      <c r="C651"/>
      <c r="D651"/>
      <c r="E651"/>
      <c r="F651"/>
      <c r="G651"/>
      <c r="H651"/>
      <c r="I651"/>
      <c r="J651"/>
      <c r="O651" s="2" t="e">
        <f t="shared" ref="O651:O670" si="102">SUBSTITUTE(MID(A651,53,FIND("GBHS",A651)-54), ".", ",")</f>
        <v>#VALUE!</v>
      </c>
      <c r="P651" s="6" t="e">
        <f t="shared" ref="P651:P670" si="103">MID(O651,1,4)</f>
        <v>#VALUE!</v>
      </c>
      <c r="Q651" s="6" t="e">
        <f t="shared" ref="Q651:Q670" si="104">MID(O651,6,4)</f>
        <v>#VALUE!</v>
      </c>
      <c r="R651" s="6" t="e">
        <f t="shared" ref="R651:R670" si="105">MID(O651,11,4)</f>
        <v>#VALUE!</v>
      </c>
      <c r="S651" s="6" t="e">
        <f t="shared" ref="S651:S670" si="106">MID(O651,16,4)</f>
        <v>#VALUE!</v>
      </c>
      <c r="T651" s="6" t="e">
        <f t="shared" ref="T651:T670" si="107">MID(O651,21,4)</f>
        <v>#VALUE!</v>
      </c>
      <c r="U651" s="2" t="e">
        <f t="shared" ref="U651:U670" si="108">SUBSTITUTE(CONCATENATE("&lt;Parametros&gt;","&lt;Alfa&gt;",P651,"&lt;/Alfa&gt;","&lt;Beta&gt;",Q651,"&lt;/Beta&gt;","&lt;Gamma&gt;",R651,"&lt;/Gamma&gt;","&lt;Delta&gt;",S651,"&lt;/Delta&gt;","&lt;Ro&gt;",T651,"&lt;/Ro&gt;","&lt;/Parametros&gt;"),",",".")</f>
        <v>#VALUE!</v>
      </c>
    </row>
    <row r="652" spans="2:21" x14ac:dyDescent="0.3">
      <c r="B652"/>
      <c r="C652"/>
      <c r="D652"/>
      <c r="E652"/>
      <c r="F652"/>
      <c r="G652"/>
      <c r="H652"/>
      <c r="I652"/>
      <c r="J652"/>
      <c r="O652" s="2" t="e">
        <f t="shared" si="102"/>
        <v>#VALUE!</v>
      </c>
      <c r="P652" s="6" t="e">
        <f t="shared" si="103"/>
        <v>#VALUE!</v>
      </c>
      <c r="Q652" s="6" t="e">
        <f t="shared" si="104"/>
        <v>#VALUE!</v>
      </c>
      <c r="R652" s="6" t="e">
        <f t="shared" si="105"/>
        <v>#VALUE!</v>
      </c>
      <c r="S652" s="6" t="e">
        <f t="shared" si="106"/>
        <v>#VALUE!</v>
      </c>
      <c r="T652" s="6" t="e">
        <f t="shared" si="107"/>
        <v>#VALUE!</v>
      </c>
      <c r="U652" s="2" t="e">
        <f t="shared" si="108"/>
        <v>#VALUE!</v>
      </c>
    </row>
    <row r="653" spans="2:21" x14ac:dyDescent="0.3">
      <c r="B653"/>
      <c r="C653"/>
      <c r="D653"/>
      <c r="E653"/>
      <c r="F653"/>
      <c r="G653"/>
      <c r="H653"/>
      <c r="I653"/>
      <c r="J653"/>
      <c r="O653" s="2" t="e">
        <f t="shared" si="102"/>
        <v>#VALUE!</v>
      </c>
      <c r="P653" s="6" t="e">
        <f t="shared" si="103"/>
        <v>#VALUE!</v>
      </c>
      <c r="Q653" s="6" t="e">
        <f t="shared" si="104"/>
        <v>#VALUE!</v>
      </c>
      <c r="R653" s="6" t="e">
        <f t="shared" si="105"/>
        <v>#VALUE!</v>
      </c>
      <c r="S653" s="6" t="e">
        <f t="shared" si="106"/>
        <v>#VALUE!</v>
      </c>
      <c r="T653" s="6" t="e">
        <f t="shared" si="107"/>
        <v>#VALUE!</v>
      </c>
      <c r="U653" s="2" t="e">
        <f t="shared" si="108"/>
        <v>#VALUE!</v>
      </c>
    </row>
    <row r="654" spans="2:21" x14ac:dyDescent="0.3">
      <c r="B654"/>
      <c r="C654"/>
      <c r="D654"/>
      <c r="E654"/>
      <c r="F654"/>
      <c r="G654"/>
      <c r="H654"/>
      <c r="I654"/>
      <c r="J654"/>
      <c r="O654" s="2" t="e">
        <f t="shared" si="102"/>
        <v>#VALUE!</v>
      </c>
      <c r="P654" s="6" t="e">
        <f t="shared" si="103"/>
        <v>#VALUE!</v>
      </c>
      <c r="Q654" s="6" t="e">
        <f t="shared" si="104"/>
        <v>#VALUE!</v>
      </c>
      <c r="R654" s="6" t="e">
        <f t="shared" si="105"/>
        <v>#VALUE!</v>
      </c>
      <c r="S654" s="6" t="e">
        <f t="shared" si="106"/>
        <v>#VALUE!</v>
      </c>
      <c r="T654" s="6" t="e">
        <f t="shared" si="107"/>
        <v>#VALUE!</v>
      </c>
      <c r="U654" s="2" t="e">
        <f t="shared" si="108"/>
        <v>#VALUE!</v>
      </c>
    </row>
    <row r="655" spans="2:21" x14ac:dyDescent="0.3">
      <c r="B655"/>
      <c r="C655"/>
      <c r="D655"/>
      <c r="E655"/>
      <c r="F655"/>
      <c r="G655"/>
      <c r="H655"/>
      <c r="I655"/>
      <c r="J655"/>
      <c r="O655" s="2" t="e">
        <f t="shared" si="102"/>
        <v>#VALUE!</v>
      </c>
      <c r="P655" s="6" t="e">
        <f t="shared" si="103"/>
        <v>#VALUE!</v>
      </c>
      <c r="Q655" s="6" t="e">
        <f t="shared" si="104"/>
        <v>#VALUE!</v>
      </c>
      <c r="R655" s="6" t="e">
        <f t="shared" si="105"/>
        <v>#VALUE!</v>
      </c>
      <c r="S655" s="6" t="e">
        <f t="shared" si="106"/>
        <v>#VALUE!</v>
      </c>
      <c r="T655" s="6" t="e">
        <f t="shared" si="107"/>
        <v>#VALUE!</v>
      </c>
      <c r="U655" s="2" t="e">
        <f t="shared" si="108"/>
        <v>#VALUE!</v>
      </c>
    </row>
    <row r="656" spans="2:21" x14ac:dyDescent="0.3">
      <c r="B656"/>
      <c r="C656"/>
      <c r="D656"/>
      <c r="E656"/>
      <c r="F656"/>
      <c r="G656"/>
      <c r="H656"/>
      <c r="I656"/>
      <c r="J656"/>
      <c r="O656" s="2" t="e">
        <f t="shared" si="102"/>
        <v>#VALUE!</v>
      </c>
      <c r="P656" s="6" t="e">
        <f t="shared" si="103"/>
        <v>#VALUE!</v>
      </c>
      <c r="Q656" s="6" t="e">
        <f t="shared" si="104"/>
        <v>#VALUE!</v>
      </c>
      <c r="R656" s="6" t="e">
        <f t="shared" si="105"/>
        <v>#VALUE!</v>
      </c>
      <c r="S656" s="6" t="e">
        <f t="shared" si="106"/>
        <v>#VALUE!</v>
      </c>
      <c r="T656" s="6" t="e">
        <f t="shared" si="107"/>
        <v>#VALUE!</v>
      </c>
      <c r="U656" s="2" t="e">
        <f t="shared" si="108"/>
        <v>#VALUE!</v>
      </c>
    </row>
    <row r="657" spans="2:21" x14ac:dyDescent="0.3">
      <c r="B657"/>
      <c r="C657"/>
      <c r="D657"/>
      <c r="E657"/>
      <c r="F657"/>
      <c r="G657"/>
      <c r="H657"/>
      <c r="I657"/>
      <c r="J657"/>
      <c r="O657" s="2" t="e">
        <f t="shared" si="102"/>
        <v>#VALUE!</v>
      </c>
      <c r="P657" s="6" t="e">
        <f t="shared" si="103"/>
        <v>#VALUE!</v>
      </c>
      <c r="Q657" s="6" t="e">
        <f t="shared" si="104"/>
        <v>#VALUE!</v>
      </c>
      <c r="R657" s="6" t="e">
        <f t="shared" si="105"/>
        <v>#VALUE!</v>
      </c>
      <c r="S657" s="6" t="e">
        <f t="shared" si="106"/>
        <v>#VALUE!</v>
      </c>
      <c r="T657" s="6" t="e">
        <f t="shared" si="107"/>
        <v>#VALUE!</v>
      </c>
      <c r="U657" s="2" t="e">
        <f t="shared" si="108"/>
        <v>#VALUE!</v>
      </c>
    </row>
    <row r="658" spans="2:21" x14ac:dyDescent="0.3">
      <c r="B658"/>
      <c r="C658"/>
      <c r="D658"/>
      <c r="E658"/>
      <c r="F658"/>
      <c r="G658"/>
      <c r="H658"/>
      <c r="I658"/>
      <c r="J658"/>
      <c r="O658" s="2" t="e">
        <f t="shared" si="102"/>
        <v>#VALUE!</v>
      </c>
      <c r="P658" s="6" t="e">
        <f t="shared" si="103"/>
        <v>#VALUE!</v>
      </c>
      <c r="Q658" s="6" t="e">
        <f t="shared" si="104"/>
        <v>#VALUE!</v>
      </c>
      <c r="R658" s="6" t="e">
        <f t="shared" si="105"/>
        <v>#VALUE!</v>
      </c>
      <c r="S658" s="6" t="e">
        <f t="shared" si="106"/>
        <v>#VALUE!</v>
      </c>
      <c r="T658" s="6" t="e">
        <f t="shared" si="107"/>
        <v>#VALUE!</v>
      </c>
      <c r="U658" s="2" t="e">
        <f t="shared" si="108"/>
        <v>#VALUE!</v>
      </c>
    </row>
    <row r="659" spans="2:21" x14ac:dyDescent="0.3">
      <c r="B659"/>
      <c r="C659"/>
      <c r="D659"/>
      <c r="E659"/>
      <c r="F659"/>
      <c r="G659"/>
      <c r="H659"/>
      <c r="I659"/>
      <c r="J659"/>
      <c r="O659" s="2" t="e">
        <f t="shared" si="102"/>
        <v>#VALUE!</v>
      </c>
      <c r="P659" s="6" t="e">
        <f t="shared" si="103"/>
        <v>#VALUE!</v>
      </c>
      <c r="Q659" s="6" t="e">
        <f t="shared" si="104"/>
        <v>#VALUE!</v>
      </c>
      <c r="R659" s="6" t="e">
        <f t="shared" si="105"/>
        <v>#VALUE!</v>
      </c>
      <c r="S659" s="6" t="e">
        <f t="shared" si="106"/>
        <v>#VALUE!</v>
      </c>
      <c r="T659" s="6" t="e">
        <f t="shared" si="107"/>
        <v>#VALUE!</v>
      </c>
      <c r="U659" s="2" t="e">
        <f t="shared" si="108"/>
        <v>#VALUE!</v>
      </c>
    </row>
    <row r="660" spans="2:21" x14ac:dyDescent="0.3">
      <c r="B660"/>
      <c r="C660"/>
      <c r="D660"/>
      <c r="E660"/>
      <c r="F660"/>
      <c r="G660"/>
      <c r="H660"/>
      <c r="I660"/>
      <c r="J660"/>
      <c r="O660" s="2" t="e">
        <f t="shared" si="102"/>
        <v>#VALUE!</v>
      </c>
      <c r="P660" s="6" t="e">
        <f t="shared" si="103"/>
        <v>#VALUE!</v>
      </c>
      <c r="Q660" s="6" t="e">
        <f t="shared" si="104"/>
        <v>#VALUE!</v>
      </c>
      <c r="R660" s="6" t="e">
        <f t="shared" si="105"/>
        <v>#VALUE!</v>
      </c>
      <c r="S660" s="6" t="e">
        <f t="shared" si="106"/>
        <v>#VALUE!</v>
      </c>
      <c r="T660" s="6" t="e">
        <f t="shared" si="107"/>
        <v>#VALUE!</v>
      </c>
      <c r="U660" s="2" t="e">
        <f t="shared" si="108"/>
        <v>#VALUE!</v>
      </c>
    </row>
    <row r="661" spans="2:21" x14ac:dyDescent="0.3">
      <c r="B661"/>
      <c r="C661"/>
      <c r="D661"/>
      <c r="E661"/>
      <c r="F661"/>
      <c r="G661"/>
      <c r="H661"/>
      <c r="I661"/>
      <c r="J661"/>
      <c r="O661" s="2" t="e">
        <f t="shared" si="102"/>
        <v>#VALUE!</v>
      </c>
      <c r="P661" s="6" t="e">
        <f t="shared" si="103"/>
        <v>#VALUE!</v>
      </c>
      <c r="Q661" s="6" t="e">
        <f t="shared" si="104"/>
        <v>#VALUE!</v>
      </c>
      <c r="R661" s="6" t="e">
        <f t="shared" si="105"/>
        <v>#VALUE!</v>
      </c>
      <c r="S661" s="6" t="e">
        <f t="shared" si="106"/>
        <v>#VALUE!</v>
      </c>
      <c r="T661" s="6" t="e">
        <f t="shared" si="107"/>
        <v>#VALUE!</v>
      </c>
      <c r="U661" s="2" t="e">
        <f t="shared" si="108"/>
        <v>#VALUE!</v>
      </c>
    </row>
    <row r="662" spans="2:21" x14ac:dyDescent="0.3">
      <c r="B662"/>
      <c r="C662"/>
      <c r="D662"/>
      <c r="E662"/>
      <c r="F662"/>
      <c r="G662"/>
      <c r="H662"/>
      <c r="I662"/>
      <c r="J662"/>
      <c r="O662" s="2" t="e">
        <f t="shared" si="102"/>
        <v>#VALUE!</v>
      </c>
      <c r="P662" s="6" t="e">
        <f t="shared" si="103"/>
        <v>#VALUE!</v>
      </c>
      <c r="Q662" s="6" t="e">
        <f t="shared" si="104"/>
        <v>#VALUE!</v>
      </c>
      <c r="R662" s="6" t="e">
        <f t="shared" si="105"/>
        <v>#VALUE!</v>
      </c>
      <c r="S662" s="6" t="e">
        <f t="shared" si="106"/>
        <v>#VALUE!</v>
      </c>
      <c r="T662" s="6" t="e">
        <f t="shared" si="107"/>
        <v>#VALUE!</v>
      </c>
      <c r="U662" s="2" t="e">
        <f t="shared" si="108"/>
        <v>#VALUE!</v>
      </c>
    </row>
    <row r="663" spans="2:21" x14ac:dyDescent="0.3">
      <c r="B663"/>
      <c r="C663"/>
      <c r="D663"/>
      <c r="E663"/>
      <c r="F663"/>
      <c r="G663"/>
      <c r="H663"/>
      <c r="I663"/>
      <c r="J663"/>
      <c r="O663" s="2" t="e">
        <f t="shared" si="102"/>
        <v>#VALUE!</v>
      </c>
      <c r="P663" s="6" t="e">
        <f t="shared" si="103"/>
        <v>#VALUE!</v>
      </c>
      <c r="Q663" s="6" t="e">
        <f t="shared" si="104"/>
        <v>#VALUE!</v>
      </c>
      <c r="R663" s="6" t="e">
        <f t="shared" si="105"/>
        <v>#VALUE!</v>
      </c>
      <c r="S663" s="6" t="e">
        <f t="shared" si="106"/>
        <v>#VALUE!</v>
      </c>
      <c r="T663" s="6" t="e">
        <f t="shared" si="107"/>
        <v>#VALUE!</v>
      </c>
      <c r="U663" s="2" t="e">
        <f t="shared" si="108"/>
        <v>#VALUE!</v>
      </c>
    </row>
    <row r="664" spans="2:21" x14ac:dyDescent="0.3">
      <c r="B664"/>
      <c r="C664"/>
      <c r="D664"/>
      <c r="E664"/>
      <c r="F664"/>
      <c r="G664"/>
      <c r="H664"/>
      <c r="I664"/>
      <c r="J664"/>
      <c r="O664" s="2" t="e">
        <f t="shared" si="102"/>
        <v>#VALUE!</v>
      </c>
      <c r="P664" s="6" t="e">
        <f t="shared" si="103"/>
        <v>#VALUE!</v>
      </c>
      <c r="Q664" s="6" t="e">
        <f t="shared" si="104"/>
        <v>#VALUE!</v>
      </c>
      <c r="R664" s="6" t="e">
        <f t="shared" si="105"/>
        <v>#VALUE!</v>
      </c>
      <c r="S664" s="6" t="e">
        <f t="shared" si="106"/>
        <v>#VALUE!</v>
      </c>
      <c r="T664" s="6" t="e">
        <f t="shared" si="107"/>
        <v>#VALUE!</v>
      </c>
      <c r="U664" s="2" t="e">
        <f t="shared" si="108"/>
        <v>#VALUE!</v>
      </c>
    </row>
    <row r="665" spans="2:21" x14ac:dyDescent="0.3">
      <c r="B665"/>
      <c r="C665"/>
      <c r="D665"/>
      <c r="E665"/>
      <c r="F665"/>
      <c r="G665"/>
      <c r="H665"/>
      <c r="I665"/>
      <c r="J665"/>
      <c r="O665" s="2" t="e">
        <f t="shared" si="102"/>
        <v>#VALUE!</v>
      </c>
      <c r="P665" s="6" t="e">
        <f t="shared" si="103"/>
        <v>#VALUE!</v>
      </c>
      <c r="Q665" s="6" t="e">
        <f t="shared" si="104"/>
        <v>#VALUE!</v>
      </c>
      <c r="R665" s="6" t="e">
        <f t="shared" si="105"/>
        <v>#VALUE!</v>
      </c>
      <c r="S665" s="6" t="e">
        <f t="shared" si="106"/>
        <v>#VALUE!</v>
      </c>
      <c r="T665" s="6" t="e">
        <f t="shared" si="107"/>
        <v>#VALUE!</v>
      </c>
      <c r="U665" s="2" t="e">
        <f t="shared" si="108"/>
        <v>#VALUE!</v>
      </c>
    </row>
    <row r="666" spans="2:21" x14ac:dyDescent="0.3">
      <c r="B666"/>
      <c r="C666"/>
      <c r="D666"/>
      <c r="E666"/>
      <c r="F666"/>
      <c r="G666"/>
      <c r="H666"/>
      <c r="I666"/>
      <c r="J666"/>
      <c r="O666" s="2" t="e">
        <f t="shared" si="102"/>
        <v>#VALUE!</v>
      </c>
      <c r="P666" s="6" t="e">
        <f t="shared" si="103"/>
        <v>#VALUE!</v>
      </c>
      <c r="Q666" s="6" t="e">
        <f t="shared" si="104"/>
        <v>#VALUE!</v>
      </c>
      <c r="R666" s="6" t="e">
        <f t="shared" si="105"/>
        <v>#VALUE!</v>
      </c>
      <c r="S666" s="6" t="e">
        <f t="shared" si="106"/>
        <v>#VALUE!</v>
      </c>
      <c r="T666" s="6" t="e">
        <f t="shared" si="107"/>
        <v>#VALUE!</v>
      </c>
      <c r="U666" s="2" t="e">
        <f t="shared" si="108"/>
        <v>#VALUE!</v>
      </c>
    </row>
    <row r="667" spans="2:21" x14ac:dyDescent="0.3">
      <c r="B667"/>
      <c r="C667"/>
      <c r="D667"/>
      <c r="E667"/>
      <c r="F667"/>
      <c r="G667"/>
      <c r="H667"/>
      <c r="I667"/>
      <c r="J667"/>
      <c r="O667" s="2" t="e">
        <f t="shared" si="102"/>
        <v>#VALUE!</v>
      </c>
      <c r="P667" s="6" t="e">
        <f t="shared" si="103"/>
        <v>#VALUE!</v>
      </c>
      <c r="Q667" s="6" t="e">
        <f t="shared" si="104"/>
        <v>#VALUE!</v>
      </c>
      <c r="R667" s="6" t="e">
        <f t="shared" si="105"/>
        <v>#VALUE!</v>
      </c>
      <c r="S667" s="6" t="e">
        <f t="shared" si="106"/>
        <v>#VALUE!</v>
      </c>
      <c r="T667" s="6" t="e">
        <f t="shared" si="107"/>
        <v>#VALUE!</v>
      </c>
      <c r="U667" s="2" t="e">
        <f t="shared" si="108"/>
        <v>#VALUE!</v>
      </c>
    </row>
    <row r="668" spans="2:21" x14ac:dyDescent="0.3">
      <c r="B668"/>
      <c r="C668"/>
      <c r="D668"/>
      <c r="E668"/>
      <c r="F668"/>
      <c r="G668"/>
      <c r="H668"/>
      <c r="I668"/>
      <c r="J668"/>
      <c r="O668" s="2" t="e">
        <f t="shared" si="102"/>
        <v>#VALUE!</v>
      </c>
      <c r="P668" s="6" t="e">
        <f t="shared" si="103"/>
        <v>#VALUE!</v>
      </c>
      <c r="Q668" s="6" t="e">
        <f t="shared" si="104"/>
        <v>#VALUE!</v>
      </c>
      <c r="R668" s="6" t="e">
        <f t="shared" si="105"/>
        <v>#VALUE!</v>
      </c>
      <c r="S668" s="6" t="e">
        <f t="shared" si="106"/>
        <v>#VALUE!</v>
      </c>
      <c r="T668" s="6" t="e">
        <f t="shared" si="107"/>
        <v>#VALUE!</v>
      </c>
      <c r="U668" s="2" t="e">
        <f t="shared" si="108"/>
        <v>#VALUE!</v>
      </c>
    </row>
    <row r="669" spans="2:21" x14ac:dyDescent="0.3">
      <c r="B669"/>
      <c r="C669"/>
      <c r="D669"/>
      <c r="E669"/>
      <c r="F669"/>
      <c r="G669"/>
      <c r="H669"/>
      <c r="I669"/>
      <c r="J669"/>
      <c r="O669" s="2" t="e">
        <f t="shared" si="102"/>
        <v>#VALUE!</v>
      </c>
      <c r="P669" s="6" t="e">
        <f t="shared" si="103"/>
        <v>#VALUE!</v>
      </c>
      <c r="Q669" s="6" t="e">
        <f t="shared" si="104"/>
        <v>#VALUE!</v>
      </c>
      <c r="R669" s="6" t="e">
        <f t="shared" si="105"/>
        <v>#VALUE!</v>
      </c>
      <c r="S669" s="6" t="e">
        <f t="shared" si="106"/>
        <v>#VALUE!</v>
      </c>
      <c r="T669" s="6" t="e">
        <f t="shared" si="107"/>
        <v>#VALUE!</v>
      </c>
      <c r="U669" s="2" t="e">
        <f t="shared" si="108"/>
        <v>#VALUE!</v>
      </c>
    </row>
    <row r="670" spans="2:21" x14ac:dyDescent="0.3">
      <c r="B670"/>
      <c r="C670"/>
      <c r="D670"/>
      <c r="E670"/>
      <c r="F670"/>
      <c r="G670"/>
      <c r="H670"/>
      <c r="I670"/>
      <c r="J670"/>
      <c r="O670" s="2" t="e">
        <f t="shared" si="102"/>
        <v>#VALUE!</v>
      </c>
      <c r="P670" s="6" t="e">
        <f t="shared" si="103"/>
        <v>#VALUE!</v>
      </c>
      <c r="Q670" s="6" t="e">
        <f t="shared" si="104"/>
        <v>#VALUE!</v>
      </c>
      <c r="R670" s="6" t="e">
        <f t="shared" si="105"/>
        <v>#VALUE!</v>
      </c>
      <c r="S670" s="6" t="e">
        <f t="shared" si="106"/>
        <v>#VALUE!</v>
      </c>
      <c r="T670" s="6" t="e">
        <f t="shared" si="107"/>
        <v>#VALUE!</v>
      </c>
      <c r="U670" s="2" t="e">
        <f t="shared" si="108"/>
        <v>#VALUE!</v>
      </c>
    </row>
    <row r="671" spans="2:21" x14ac:dyDescent="0.3">
      <c r="B671"/>
      <c r="C671"/>
      <c r="D671"/>
      <c r="E671"/>
      <c r="F671"/>
      <c r="G671"/>
      <c r="H671"/>
      <c r="I671"/>
      <c r="J671"/>
      <c r="O671" s="2" t="e">
        <f t="shared" ref="O671:O700" si="109">SUBSTITUTE(MID(A671,53,FIND("GBHS",A671)-54), ".", ",")</f>
        <v>#VALUE!</v>
      </c>
      <c r="P671" s="6" t="e">
        <f t="shared" ref="P671:P700" si="110">MID(O671,1,4)</f>
        <v>#VALUE!</v>
      </c>
      <c r="Q671" s="6" t="e">
        <f t="shared" ref="Q671:Q700" si="111">MID(O671,6,4)</f>
        <v>#VALUE!</v>
      </c>
      <c r="R671" s="6" t="e">
        <f t="shared" ref="R671:R700" si="112">MID(O671,11,4)</f>
        <v>#VALUE!</v>
      </c>
      <c r="S671" s="6" t="e">
        <f t="shared" ref="S671:S700" si="113">MID(O671,16,4)</f>
        <v>#VALUE!</v>
      </c>
      <c r="T671" s="6" t="e">
        <f t="shared" ref="T671:T700" si="114">MID(O671,21,4)</f>
        <v>#VALUE!</v>
      </c>
      <c r="U671" s="2" t="e">
        <f t="shared" ref="U671:U700" si="115">SUBSTITUTE(CONCATENATE("&lt;Parametros&gt;","&lt;Alfa&gt;",P671,"&lt;/Alfa&gt;","&lt;Beta&gt;",Q671,"&lt;/Beta&gt;","&lt;Gamma&gt;",R671,"&lt;/Gamma&gt;","&lt;Delta&gt;",S671,"&lt;/Delta&gt;","&lt;Ro&gt;",T671,"&lt;/Ro&gt;","&lt;/Parametros&gt;"),",",".")</f>
        <v>#VALUE!</v>
      </c>
    </row>
    <row r="672" spans="2:21" x14ac:dyDescent="0.3">
      <c r="B672"/>
      <c r="C672"/>
      <c r="D672"/>
      <c r="E672"/>
      <c r="F672"/>
      <c r="G672"/>
      <c r="H672"/>
      <c r="I672"/>
      <c r="J672"/>
      <c r="O672" s="2" t="e">
        <f t="shared" si="109"/>
        <v>#VALUE!</v>
      </c>
      <c r="P672" s="6" t="e">
        <f t="shared" si="110"/>
        <v>#VALUE!</v>
      </c>
      <c r="Q672" s="6" t="e">
        <f t="shared" si="111"/>
        <v>#VALUE!</v>
      </c>
      <c r="R672" s="6" t="e">
        <f t="shared" si="112"/>
        <v>#VALUE!</v>
      </c>
      <c r="S672" s="6" t="e">
        <f t="shared" si="113"/>
        <v>#VALUE!</v>
      </c>
      <c r="T672" s="6" t="e">
        <f t="shared" si="114"/>
        <v>#VALUE!</v>
      </c>
      <c r="U672" s="2" t="e">
        <f t="shared" si="115"/>
        <v>#VALUE!</v>
      </c>
    </row>
    <row r="673" spans="2:21" x14ac:dyDescent="0.3">
      <c r="B673"/>
      <c r="C673"/>
      <c r="D673"/>
      <c r="E673"/>
      <c r="F673"/>
      <c r="G673"/>
      <c r="H673"/>
      <c r="I673"/>
      <c r="J673"/>
      <c r="O673" s="2" t="e">
        <f t="shared" si="109"/>
        <v>#VALUE!</v>
      </c>
      <c r="P673" s="6" t="e">
        <f t="shared" si="110"/>
        <v>#VALUE!</v>
      </c>
      <c r="Q673" s="6" t="e">
        <f t="shared" si="111"/>
        <v>#VALUE!</v>
      </c>
      <c r="R673" s="6" t="e">
        <f t="shared" si="112"/>
        <v>#VALUE!</v>
      </c>
      <c r="S673" s="6" t="e">
        <f t="shared" si="113"/>
        <v>#VALUE!</v>
      </c>
      <c r="T673" s="6" t="e">
        <f t="shared" si="114"/>
        <v>#VALUE!</v>
      </c>
      <c r="U673" s="2" t="e">
        <f t="shared" si="115"/>
        <v>#VALUE!</v>
      </c>
    </row>
    <row r="674" spans="2:21" x14ac:dyDescent="0.3">
      <c r="B674"/>
      <c r="C674"/>
      <c r="D674"/>
      <c r="E674"/>
      <c r="F674"/>
      <c r="G674"/>
      <c r="H674"/>
      <c r="I674"/>
      <c r="J674"/>
      <c r="O674" s="2" t="e">
        <f t="shared" si="109"/>
        <v>#VALUE!</v>
      </c>
      <c r="P674" s="6" t="e">
        <f t="shared" si="110"/>
        <v>#VALUE!</v>
      </c>
      <c r="Q674" s="6" t="e">
        <f t="shared" si="111"/>
        <v>#VALUE!</v>
      </c>
      <c r="R674" s="6" t="e">
        <f t="shared" si="112"/>
        <v>#VALUE!</v>
      </c>
      <c r="S674" s="6" t="e">
        <f t="shared" si="113"/>
        <v>#VALUE!</v>
      </c>
      <c r="T674" s="6" t="e">
        <f t="shared" si="114"/>
        <v>#VALUE!</v>
      </c>
      <c r="U674" s="2" t="e">
        <f t="shared" si="115"/>
        <v>#VALUE!</v>
      </c>
    </row>
    <row r="675" spans="2:21" x14ac:dyDescent="0.3">
      <c r="B675"/>
      <c r="C675"/>
      <c r="D675"/>
      <c r="E675"/>
      <c r="F675"/>
      <c r="G675"/>
      <c r="H675"/>
      <c r="I675"/>
      <c r="J675"/>
      <c r="O675" s="2" t="e">
        <f t="shared" si="109"/>
        <v>#VALUE!</v>
      </c>
      <c r="P675" s="6" t="e">
        <f t="shared" si="110"/>
        <v>#VALUE!</v>
      </c>
      <c r="Q675" s="6" t="e">
        <f t="shared" si="111"/>
        <v>#VALUE!</v>
      </c>
      <c r="R675" s="6" t="e">
        <f t="shared" si="112"/>
        <v>#VALUE!</v>
      </c>
      <c r="S675" s="6" t="e">
        <f t="shared" si="113"/>
        <v>#VALUE!</v>
      </c>
      <c r="T675" s="6" t="e">
        <f t="shared" si="114"/>
        <v>#VALUE!</v>
      </c>
      <c r="U675" s="2" t="e">
        <f t="shared" si="115"/>
        <v>#VALUE!</v>
      </c>
    </row>
    <row r="676" spans="2:21" x14ac:dyDescent="0.3">
      <c r="B676"/>
      <c r="C676"/>
      <c r="D676"/>
      <c r="E676"/>
      <c r="F676"/>
      <c r="G676"/>
      <c r="H676"/>
      <c r="I676"/>
      <c r="J676"/>
      <c r="O676" s="2" t="e">
        <f t="shared" si="109"/>
        <v>#VALUE!</v>
      </c>
      <c r="P676" s="6" t="e">
        <f t="shared" si="110"/>
        <v>#VALUE!</v>
      </c>
      <c r="Q676" s="6" t="e">
        <f t="shared" si="111"/>
        <v>#VALUE!</v>
      </c>
      <c r="R676" s="6" t="e">
        <f t="shared" si="112"/>
        <v>#VALUE!</v>
      </c>
      <c r="S676" s="6" t="e">
        <f t="shared" si="113"/>
        <v>#VALUE!</v>
      </c>
      <c r="T676" s="6" t="e">
        <f t="shared" si="114"/>
        <v>#VALUE!</v>
      </c>
      <c r="U676" s="2" t="e">
        <f t="shared" si="115"/>
        <v>#VALUE!</v>
      </c>
    </row>
    <row r="677" spans="2:21" x14ac:dyDescent="0.3">
      <c r="B677"/>
      <c r="C677"/>
      <c r="D677"/>
      <c r="E677"/>
      <c r="F677"/>
      <c r="G677"/>
      <c r="H677"/>
      <c r="I677"/>
      <c r="J677"/>
      <c r="O677" s="2" t="e">
        <f t="shared" si="109"/>
        <v>#VALUE!</v>
      </c>
      <c r="P677" s="6" t="e">
        <f t="shared" si="110"/>
        <v>#VALUE!</v>
      </c>
      <c r="Q677" s="6" t="e">
        <f t="shared" si="111"/>
        <v>#VALUE!</v>
      </c>
      <c r="R677" s="6" t="e">
        <f t="shared" si="112"/>
        <v>#VALUE!</v>
      </c>
      <c r="S677" s="6" t="e">
        <f t="shared" si="113"/>
        <v>#VALUE!</v>
      </c>
      <c r="T677" s="6" t="e">
        <f t="shared" si="114"/>
        <v>#VALUE!</v>
      </c>
      <c r="U677" s="2" t="e">
        <f t="shared" si="115"/>
        <v>#VALUE!</v>
      </c>
    </row>
    <row r="678" spans="2:21" x14ac:dyDescent="0.3">
      <c r="B678"/>
      <c r="C678"/>
      <c r="D678"/>
      <c r="E678"/>
      <c r="F678"/>
      <c r="G678"/>
      <c r="H678"/>
      <c r="I678"/>
      <c r="J678"/>
      <c r="O678" s="2" t="e">
        <f t="shared" si="109"/>
        <v>#VALUE!</v>
      </c>
      <c r="P678" s="6" t="e">
        <f t="shared" si="110"/>
        <v>#VALUE!</v>
      </c>
      <c r="Q678" s="6" t="e">
        <f t="shared" si="111"/>
        <v>#VALUE!</v>
      </c>
      <c r="R678" s="6" t="e">
        <f t="shared" si="112"/>
        <v>#VALUE!</v>
      </c>
      <c r="S678" s="6" t="e">
        <f t="shared" si="113"/>
        <v>#VALUE!</v>
      </c>
      <c r="T678" s="6" t="e">
        <f t="shared" si="114"/>
        <v>#VALUE!</v>
      </c>
      <c r="U678" s="2" t="e">
        <f t="shared" si="115"/>
        <v>#VALUE!</v>
      </c>
    </row>
    <row r="679" spans="2:21" x14ac:dyDescent="0.3">
      <c r="B679"/>
      <c r="C679"/>
      <c r="D679"/>
      <c r="E679"/>
      <c r="F679"/>
      <c r="G679"/>
      <c r="H679"/>
      <c r="I679"/>
      <c r="J679"/>
      <c r="O679" s="2" t="e">
        <f t="shared" si="109"/>
        <v>#VALUE!</v>
      </c>
      <c r="P679" s="6" t="e">
        <f t="shared" si="110"/>
        <v>#VALUE!</v>
      </c>
      <c r="Q679" s="6" t="e">
        <f t="shared" si="111"/>
        <v>#VALUE!</v>
      </c>
      <c r="R679" s="6" t="e">
        <f t="shared" si="112"/>
        <v>#VALUE!</v>
      </c>
      <c r="S679" s="6" t="e">
        <f t="shared" si="113"/>
        <v>#VALUE!</v>
      </c>
      <c r="T679" s="6" t="e">
        <f t="shared" si="114"/>
        <v>#VALUE!</v>
      </c>
      <c r="U679" s="2" t="e">
        <f t="shared" si="115"/>
        <v>#VALUE!</v>
      </c>
    </row>
    <row r="680" spans="2:21" x14ac:dyDescent="0.3">
      <c r="B680"/>
      <c r="C680"/>
      <c r="D680"/>
      <c r="E680"/>
      <c r="F680"/>
      <c r="G680"/>
      <c r="H680"/>
      <c r="I680"/>
      <c r="J680"/>
      <c r="O680" s="2" t="e">
        <f t="shared" si="109"/>
        <v>#VALUE!</v>
      </c>
      <c r="P680" s="6" t="e">
        <f t="shared" si="110"/>
        <v>#VALUE!</v>
      </c>
      <c r="Q680" s="6" t="e">
        <f t="shared" si="111"/>
        <v>#VALUE!</v>
      </c>
      <c r="R680" s="6" t="e">
        <f t="shared" si="112"/>
        <v>#VALUE!</v>
      </c>
      <c r="S680" s="6" t="e">
        <f t="shared" si="113"/>
        <v>#VALUE!</v>
      </c>
      <c r="T680" s="6" t="e">
        <f t="shared" si="114"/>
        <v>#VALUE!</v>
      </c>
      <c r="U680" s="2" t="e">
        <f t="shared" si="115"/>
        <v>#VALUE!</v>
      </c>
    </row>
    <row r="681" spans="2:21" x14ac:dyDescent="0.3">
      <c r="B681"/>
      <c r="C681"/>
      <c r="D681"/>
      <c r="E681"/>
      <c r="F681"/>
      <c r="G681"/>
      <c r="H681"/>
      <c r="I681"/>
      <c r="J681"/>
      <c r="O681" s="2" t="e">
        <f t="shared" si="109"/>
        <v>#VALUE!</v>
      </c>
      <c r="P681" s="6" t="e">
        <f t="shared" si="110"/>
        <v>#VALUE!</v>
      </c>
      <c r="Q681" s="6" t="e">
        <f t="shared" si="111"/>
        <v>#VALUE!</v>
      </c>
      <c r="R681" s="6" t="e">
        <f t="shared" si="112"/>
        <v>#VALUE!</v>
      </c>
      <c r="S681" s="6" t="e">
        <f t="shared" si="113"/>
        <v>#VALUE!</v>
      </c>
      <c r="T681" s="6" t="e">
        <f t="shared" si="114"/>
        <v>#VALUE!</v>
      </c>
      <c r="U681" s="2" t="e">
        <f t="shared" si="115"/>
        <v>#VALUE!</v>
      </c>
    </row>
    <row r="682" spans="2:21" x14ac:dyDescent="0.3">
      <c r="B682"/>
      <c r="C682"/>
      <c r="D682"/>
      <c r="E682"/>
      <c r="F682"/>
      <c r="G682"/>
      <c r="H682"/>
      <c r="I682"/>
      <c r="J682"/>
      <c r="O682" s="2" t="e">
        <f t="shared" si="109"/>
        <v>#VALUE!</v>
      </c>
      <c r="P682" s="6" t="e">
        <f t="shared" si="110"/>
        <v>#VALUE!</v>
      </c>
      <c r="Q682" s="6" t="e">
        <f t="shared" si="111"/>
        <v>#VALUE!</v>
      </c>
      <c r="R682" s="6" t="e">
        <f t="shared" si="112"/>
        <v>#VALUE!</v>
      </c>
      <c r="S682" s="6" t="e">
        <f t="shared" si="113"/>
        <v>#VALUE!</v>
      </c>
      <c r="T682" s="6" t="e">
        <f t="shared" si="114"/>
        <v>#VALUE!</v>
      </c>
      <c r="U682" s="2" t="e">
        <f t="shared" si="115"/>
        <v>#VALUE!</v>
      </c>
    </row>
    <row r="683" spans="2:21" x14ac:dyDescent="0.3">
      <c r="B683"/>
      <c r="C683"/>
      <c r="D683"/>
      <c r="E683"/>
      <c r="F683"/>
      <c r="G683"/>
      <c r="H683"/>
      <c r="I683"/>
      <c r="J683"/>
      <c r="O683" s="2" t="e">
        <f t="shared" si="109"/>
        <v>#VALUE!</v>
      </c>
      <c r="P683" s="6" t="e">
        <f t="shared" si="110"/>
        <v>#VALUE!</v>
      </c>
      <c r="Q683" s="6" t="e">
        <f t="shared" si="111"/>
        <v>#VALUE!</v>
      </c>
      <c r="R683" s="6" t="e">
        <f t="shared" si="112"/>
        <v>#VALUE!</v>
      </c>
      <c r="S683" s="6" t="e">
        <f t="shared" si="113"/>
        <v>#VALUE!</v>
      </c>
      <c r="T683" s="6" t="e">
        <f t="shared" si="114"/>
        <v>#VALUE!</v>
      </c>
      <c r="U683" s="2" t="e">
        <f t="shared" si="115"/>
        <v>#VALUE!</v>
      </c>
    </row>
    <row r="684" spans="2:21" x14ac:dyDescent="0.3">
      <c r="B684"/>
      <c r="C684"/>
      <c r="D684"/>
      <c r="E684"/>
      <c r="F684"/>
      <c r="G684"/>
      <c r="H684"/>
      <c r="I684"/>
      <c r="J684"/>
      <c r="O684" s="2" t="e">
        <f t="shared" si="109"/>
        <v>#VALUE!</v>
      </c>
      <c r="P684" s="6" t="e">
        <f t="shared" si="110"/>
        <v>#VALUE!</v>
      </c>
      <c r="Q684" s="6" t="e">
        <f t="shared" si="111"/>
        <v>#VALUE!</v>
      </c>
      <c r="R684" s="6" t="e">
        <f t="shared" si="112"/>
        <v>#VALUE!</v>
      </c>
      <c r="S684" s="6" t="e">
        <f t="shared" si="113"/>
        <v>#VALUE!</v>
      </c>
      <c r="T684" s="6" t="e">
        <f t="shared" si="114"/>
        <v>#VALUE!</v>
      </c>
      <c r="U684" s="2" t="e">
        <f t="shared" si="115"/>
        <v>#VALUE!</v>
      </c>
    </row>
    <row r="685" spans="2:21" x14ac:dyDescent="0.3">
      <c r="B685"/>
      <c r="C685"/>
      <c r="D685"/>
      <c r="E685"/>
      <c r="F685"/>
      <c r="G685"/>
      <c r="H685"/>
      <c r="I685"/>
      <c r="J685"/>
      <c r="O685" s="2" t="e">
        <f t="shared" si="109"/>
        <v>#VALUE!</v>
      </c>
      <c r="P685" s="6" t="e">
        <f t="shared" si="110"/>
        <v>#VALUE!</v>
      </c>
      <c r="Q685" s="6" t="e">
        <f t="shared" si="111"/>
        <v>#VALUE!</v>
      </c>
      <c r="R685" s="6" t="e">
        <f t="shared" si="112"/>
        <v>#VALUE!</v>
      </c>
      <c r="S685" s="6" t="e">
        <f t="shared" si="113"/>
        <v>#VALUE!</v>
      </c>
      <c r="T685" s="6" t="e">
        <f t="shared" si="114"/>
        <v>#VALUE!</v>
      </c>
      <c r="U685" s="2" t="e">
        <f t="shared" si="115"/>
        <v>#VALUE!</v>
      </c>
    </row>
    <row r="686" spans="2:21" x14ac:dyDescent="0.3">
      <c r="B686"/>
      <c r="C686"/>
      <c r="D686"/>
      <c r="E686"/>
      <c r="F686"/>
      <c r="G686"/>
      <c r="H686"/>
      <c r="I686"/>
      <c r="J686"/>
      <c r="O686" s="2" t="e">
        <f t="shared" si="109"/>
        <v>#VALUE!</v>
      </c>
      <c r="P686" s="6" t="e">
        <f t="shared" si="110"/>
        <v>#VALUE!</v>
      </c>
      <c r="Q686" s="6" t="e">
        <f t="shared" si="111"/>
        <v>#VALUE!</v>
      </c>
      <c r="R686" s="6" t="e">
        <f t="shared" si="112"/>
        <v>#VALUE!</v>
      </c>
      <c r="S686" s="6" t="e">
        <f t="shared" si="113"/>
        <v>#VALUE!</v>
      </c>
      <c r="T686" s="6" t="e">
        <f t="shared" si="114"/>
        <v>#VALUE!</v>
      </c>
      <c r="U686" s="2" t="e">
        <f t="shared" si="115"/>
        <v>#VALUE!</v>
      </c>
    </row>
    <row r="687" spans="2:21" x14ac:dyDescent="0.3">
      <c r="B687"/>
      <c r="C687"/>
      <c r="D687"/>
      <c r="E687"/>
      <c r="F687"/>
      <c r="G687"/>
      <c r="H687"/>
      <c r="I687"/>
      <c r="J687"/>
      <c r="O687" s="2" t="e">
        <f t="shared" si="109"/>
        <v>#VALUE!</v>
      </c>
      <c r="P687" s="6" t="e">
        <f t="shared" si="110"/>
        <v>#VALUE!</v>
      </c>
      <c r="Q687" s="6" t="e">
        <f t="shared" si="111"/>
        <v>#VALUE!</v>
      </c>
      <c r="R687" s="6" t="e">
        <f t="shared" si="112"/>
        <v>#VALUE!</v>
      </c>
      <c r="S687" s="6" t="e">
        <f t="shared" si="113"/>
        <v>#VALUE!</v>
      </c>
      <c r="T687" s="6" t="e">
        <f t="shared" si="114"/>
        <v>#VALUE!</v>
      </c>
      <c r="U687" s="2" t="e">
        <f t="shared" si="115"/>
        <v>#VALUE!</v>
      </c>
    </row>
    <row r="688" spans="2:21" x14ac:dyDescent="0.3">
      <c r="B688"/>
      <c r="C688"/>
      <c r="D688"/>
      <c r="E688"/>
      <c r="F688"/>
      <c r="G688"/>
      <c r="H688"/>
      <c r="I688"/>
      <c r="J688"/>
      <c r="O688" s="2" t="e">
        <f t="shared" si="109"/>
        <v>#VALUE!</v>
      </c>
      <c r="P688" s="6" t="e">
        <f t="shared" si="110"/>
        <v>#VALUE!</v>
      </c>
      <c r="Q688" s="6" t="e">
        <f t="shared" si="111"/>
        <v>#VALUE!</v>
      </c>
      <c r="R688" s="6" t="e">
        <f t="shared" si="112"/>
        <v>#VALUE!</v>
      </c>
      <c r="S688" s="6" t="e">
        <f t="shared" si="113"/>
        <v>#VALUE!</v>
      </c>
      <c r="T688" s="6" t="e">
        <f t="shared" si="114"/>
        <v>#VALUE!</v>
      </c>
      <c r="U688" s="2" t="e">
        <f t="shared" si="115"/>
        <v>#VALUE!</v>
      </c>
    </row>
    <row r="689" spans="2:21" x14ac:dyDescent="0.3">
      <c r="B689"/>
      <c r="C689"/>
      <c r="D689"/>
      <c r="E689"/>
      <c r="F689"/>
      <c r="G689"/>
      <c r="H689"/>
      <c r="I689"/>
      <c r="J689"/>
      <c r="O689" s="2" t="e">
        <f t="shared" si="109"/>
        <v>#VALUE!</v>
      </c>
      <c r="P689" s="6" t="e">
        <f t="shared" si="110"/>
        <v>#VALUE!</v>
      </c>
      <c r="Q689" s="6" t="e">
        <f t="shared" si="111"/>
        <v>#VALUE!</v>
      </c>
      <c r="R689" s="6" t="e">
        <f t="shared" si="112"/>
        <v>#VALUE!</v>
      </c>
      <c r="S689" s="6" t="e">
        <f t="shared" si="113"/>
        <v>#VALUE!</v>
      </c>
      <c r="T689" s="6" t="e">
        <f t="shared" si="114"/>
        <v>#VALUE!</v>
      </c>
      <c r="U689" s="2" t="e">
        <f t="shared" si="115"/>
        <v>#VALUE!</v>
      </c>
    </row>
    <row r="690" spans="2:21" x14ac:dyDescent="0.3">
      <c r="B690"/>
      <c r="C690"/>
      <c r="D690"/>
      <c r="E690"/>
      <c r="F690"/>
      <c r="G690"/>
      <c r="H690"/>
      <c r="I690"/>
      <c r="J690"/>
      <c r="O690" s="2" t="e">
        <f t="shared" si="109"/>
        <v>#VALUE!</v>
      </c>
      <c r="P690" s="6" t="e">
        <f t="shared" si="110"/>
        <v>#VALUE!</v>
      </c>
      <c r="Q690" s="6" t="e">
        <f t="shared" si="111"/>
        <v>#VALUE!</v>
      </c>
      <c r="R690" s="6" t="e">
        <f t="shared" si="112"/>
        <v>#VALUE!</v>
      </c>
      <c r="S690" s="6" t="e">
        <f t="shared" si="113"/>
        <v>#VALUE!</v>
      </c>
      <c r="T690" s="6" t="e">
        <f t="shared" si="114"/>
        <v>#VALUE!</v>
      </c>
      <c r="U690" s="2" t="e">
        <f t="shared" si="115"/>
        <v>#VALUE!</v>
      </c>
    </row>
    <row r="691" spans="2:21" x14ac:dyDescent="0.3">
      <c r="B691"/>
      <c r="C691"/>
      <c r="D691"/>
      <c r="E691"/>
      <c r="F691"/>
      <c r="G691"/>
      <c r="H691"/>
      <c r="I691"/>
      <c r="J691"/>
      <c r="O691" s="2" t="e">
        <f t="shared" si="109"/>
        <v>#VALUE!</v>
      </c>
      <c r="P691" s="6" t="e">
        <f t="shared" si="110"/>
        <v>#VALUE!</v>
      </c>
      <c r="Q691" s="6" t="e">
        <f t="shared" si="111"/>
        <v>#VALUE!</v>
      </c>
      <c r="R691" s="6" t="e">
        <f t="shared" si="112"/>
        <v>#VALUE!</v>
      </c>
      <c r="S691" s="6" t="e">
        <f t="shared" si="113"/>
        <v>#VALUE!</v>
      </c>
      <c r="T691" s="6" t="e">
        <f t="shared" si="114"/>
        <v>#VALUE!</v>
      </c>
      <c r="U691" s="2" t="e">
        <f t="shared" si="115"/>
        <v>#VALUE!</v>
      </c>
    </row>
    <row r="692" spans="2:21" x14ac:dyDescent="0.3">
      <c r="B692"/>
      <c r="C692"/>
      <c r="D692"/>
      <c r="E692"/>
      <c r="F692"/>
      <c r="G692"/>
      <c r="H692"/>
      <c r="I692"/>
      <c r="J692"/>
      <c r="O692" s="2" t="e">
        <f t="shared" si="109"/>
        <v>#VALUE!</v>
      </c>
      <c r="P692" s="6" t="e">
        <f t="shared" si="110"/>
        <v>#VALUE!</v>
      </c>
      <c r="Q692" s="6" t="e">
        <f t="shared" si="111"/>
        <v>#VALUE!</v>
      </c>
      <c r="R692" s="6" t="e">
        <f t="shared" si="112"/>
        <v>#VALUE!</v>
      </c>
      <c r="S692" s="6" t="e">
        <f t="shared" si="113"/>
        <v>#VALUE!</v>
      </c>
      <c r="T692" s="6" t="e">
        <f t="shared" si="114"/>
        <v>#VALUE!</v>
      </c>
      <c r="U692" s="2" t="e">
        <f t="shared" si="115"/>
        <v>#VALUE!</v>
      </c>
    </row>
    <row r="693" spans="2:21" x14ac:dyDescent="0.3">
      <c r="B693"/>
      <c r="C693"/>
      <c r="D693"/>
      <c r="E693"/>
      <c r="F693"/>
      <c r="G693"/>
      <c r="H693"/>
      <c r="I693"/>
      <c r="J693"/>
      <c r="O693" s="2" t="e">
        <f t="shared" si="109"/>
        <v>#VALUE!</v>
      </c>
      <c r="P693" s="6" t="e">
        <f t="shared" si="110"/>
        <v>#VALUE!</v>
      </c>
      <c r="Q693" s="6" t="e">
        <f t="shared" si="111"/>
        <v>#VALUE!</v>
      </c>
      <c r="R693" s="6" t="e">
        <f t="shared" si="112"/>
        <v>#VALUE!</v>
      </c>
      <c r="S693" s="6" t="e">
        <f t="shared" si="113"/>
        <v>#VALUE!</v>
      </c>
      <c r="T693" s="6" t="e">
        <f t="shared" si="114"/>
        <v>#VALUE!</v>
      </c>
      <c r="U693" s="2" t="e">
        <f t="shared" si="115"/>
        <v>#VALUE!</v>
      </c>
    </row>
    <row r="694" spans="2:21" x14ac:dyDescent="0.3">
      <c r="B694"/>
      <c r="C694"/>
      <c r="D694"/>
      <c r="E694"/>
      <c r="F694"/>
      <c r="G694"/>
      <c r="H694"/>
      <c r="I694"/>
      <c r="J694"/>
      <c r="O694" s="2" t="e">
        <f t="shared" si="109"/>
        <v>#VALUE!</v>
      </c>
      <c r="P694" s="6" t="e">
        <f t="shared" si="110"/>
        <v>#VALUE!</v>
      </c>
      <c r="Q694" s="6" t="e">
        <f t="shared" si="111"/>
        <v>#VALUE!</v>
      </c>
      <c r="R694" s="6" t="e">
        <f t="shared" si="112"/>
        <v>#VALUE!</v>
      </c>
      <c r="S694" s="6" t="e">
        <f t="shared" si="113"/>
        <v>#VALUE!</v>
      </c>
      <c r="T694" s="6" t="e">
        <f t="shared" si="114"/>
        <v>#VALUE!</v>
      </c>
      <c r="U694" s="2" t="e">
        <f t="shared" si="115"/>
        <v>#VALUE!</v>
      </c>
    </row>
    <row r="695" spans="2:21" x14ac:dyDescent="0.3">
      <c r="B695"/>
      <c r="C695"/>
      <c r="D695"/>
      <c r="E695"/>
      <c r="F695"/>
      <c r="G695"/>
      <c r="H695"/>
      <c r="I695"/>
      <c r="J695"/>
      <c r="O695" s="2" t="e">
        <f t="shared" si="109"/>
        <v>#VALUE!</v>
      </c>
      <c r="P695" s="6" t="e">
        <f t="shared" si="110"/>
        <v>#VALUE!</v>
      </c>
      <c r="Q695" s="6" t="e">
        <f t="shared" si="111"/>
        <v>#VALUE!</v>
      </c>
      <c r="R695" s="6" t="e">
        <f t="shared" si="112"/>
        <v>#VALUE!</v>
      </c>
      <c r="S695" s="6" t="e">
        <f t="shared" si="113"/>
        <v>#VALUE!</v>
      </c>
      <c r="T695" s="6" t="e">
        <f t="shared" si="114"/>
        <v>#VALUE!</v>
      </c>
      <c r="U695" s="2" t="e">
        <f t="shared" si="115"/>
        <v>#VALUE!</v>
      </c>
    </row>
    <row r="696" spans="2:21" x14ac:dyDescent="0.3">
      <c r="B696"/>
      <c r="C696"/>
      <c r="D696"/>
      <c r="E696"/>
      <c r="F696"/>
      <c r="G696"/>
      <c r="H696"/>
      <c r="I696"/>
      <c r="J696"/>
      <c r="O696" s="2" t="e">
        <f t="shared" si="109"/>
        <v>#VALUE!</v>
      </c>
      <c r="P696" s="6" t="e">
        <f t="shared" si="110"/>
        <v>#VALUE!</v>
      </c>
      <c r="Q696" s="6" t="e">
        <f t="shared" si="111"/>
        <v>#VALUE!</v>
      </c>
      <c r="R696" s="6" t="e">
        <f t="shared" si="112"/>
        <v>#VALUE!</v>
      </c>
      <c r="S696" s="6" t="e">
        <f t="shared" si="113"/>
        <v>#VALUE!</v>
      </c>
      <c r="T696" s="6" t="e">
        <f t="shared" si="114"/>
        <v>#VALUE!</v>
      </c>
      <c r="U696" s="2" t="e">
        <f t="shared" si="115"/>
        <v>#VALUE!</v>
      </c>
    </row>
    <row r="697" spans="2:21" x14ac:dyDescent="0.3">
      <c r="B697"/>
      <c r="C697"/>
      <c r="D697"/>
      <c r="E697"/>
      <c r="F697"/>
      <c r="G697"/>
      <c r="H697"/>
      <c r="I697"/>
      <c r="J697"/>
      <c r="O697" s="2" t="e">
        <f t="shared" si="109"/>
        <v>#VALUE!</v>
      </c>
      <c r="P697" s="6" t="e">
        <f t="shared" si="110"/>
        <v>#VALUE!</v>
      </c>
      <c r="Q697" s="6" t="e">
        <f t="shared" si="111"/>
        <v>#VALUE!</v>
      </c>
      <c r="R697" s="6" t="e">
        <f t="shared" si="112"/>
        <v>#VALUE!</v>
      </c>
      <c r="S697" s="6" t="e">
        <f t="shared" si="113"/>
        <v>#VALUE!</v>
      </c>
      <c r="T697" s="6" t="e">
        <f t="shared" si="114"/>
        <v>#VALUE!</v>
      </c>
      <c r="U697" s="2" t="e">
        <f t="shared" si="115"/>
        <v>#VALUE!</v>
      </c>
    </row>
    <row r="698" spans="2:21" x14ac:dyDescent="0.3">
      <c r="B698"/>
      <c r="C698"/>
      <c r="D698"/>
      <c r="E698"/>
      <c r="F698"/>
      <c r="G698"/>
      <c r="H698"/>
      <c r="I698"/>
      <c r="J698"/>
      <c r="O698" s="2" t="e">
        <f t="shared" si="109"/>
        <v>#VALUE!</v>
      </c>
      <c r="P698" s="6" t="e">
        <f t="shared" si="110"/>
        <v>#VALUE!</v>
      </c>
      <c r="Q698" s="6" t="e">
        <f t="shared" si="111"/>
        <v>#VALUE!</v>
      </c>
      <c r="R698" s="6" t="e">
        <f t="shared" si="112"/>
        <v>#VALUE!</v>
      </c>
      <c r="S698" s="6" t="e">
        <f t="shared" si="113"/>
        <v>#VALUE!</v>
      </c>
      <c r="T698" s="6" t="e">
        <f t="shared" si="114"/>
        <v>#VALUE!</v>
      </c>
      <c r="U698" s="2" t="e">
        <f t="shared" si="115"/>
        <v>#VALUE!</v>
      </c>
    </row>
    <row r="699" spans="2:21" x14ac:dyDescent="0.3">
      <c r="B699"/>
      <c r="C699"/>
      <c r="D699"/>
      <c r="E699"/>
      <c r="F699"/>
      <c r="G699"/>
      <c r="H699"/>
      <c r="I699"/>
      <c r="J699"/>
      <c r="O699" s="2" t="e">
        <f t="shared" si="109"/>
        <v>#VALUE!</v>
      </c>
      <c r="P699" s="6" t="e">
        <f t="shared" si="110"/>
        <v>#VALUE!</v>
      </c>
      <c r="Q699" s="6" t="e">
        <f t="shared" si="111"/>
        <v>#VALUE!</v>
      </c>
      <c r="R699" s="6" t="e">
        <f t="shared" si="112"/>
        <v>#VALUE!</v>
      </c>
      <c r="S699" s="6" t="e">
        <f t="shared" si="113"/>
        <v>#VALUE!</v>
      </c>
      <c r="T699" s="6" t="e">
        <f t="shared" si="114"/>
        <v>#VALUE!</v>
      </c>
      <c r="U699" s="2" t="e">
        <f t="shared" si="115"/>
        <v>#VALUE!</v>
      </c>
    </row>
    <row r="700" spans="2:21" x14ac:dyDescent="0.3">
      <c r="B700"/>
      <c r="C700"/>
      <c r="D700"/>
      <c r="E700"/>
      <c r="F700"/>
      <c r="G700"/>
      <c r="H700"/>
      <c r="I700"/>
      <c r="J700"/>
      <c r="O700" s="2" t="e">
        <f t="shared" si="109"/>
        <v>#VALUE!</v>
      </c>
      <c r="P700" s="6" t="e">
        <f t="shared" si="110"/>
        <v>#VALUE!</v>
      </c>
      <c r="Q700" s="6" t="e">
        <f t="shared" si="111"/>
        <v>#VALUE!</v>
      </c>
      <c r="R700" s="6" t="e">
        <f t="shared" si="112"/>
        <v>#VALUE!</v>
      </c>
      <c r="S700" s="6" t="e">
        <f t="shared" si="113"/>
        <v>#VALUE!</v>
      </c>
      <c r="T700" s="6" t="e">
        <f t="shared" si="114"/>
        <v>#VALUE!</v>
      </c>
      <c r="U700" s="2" t="e">
        <f t="shared" si="115"/>
        <v>#VALUE!</v>
      </c>
    </row>
    <row r="701" spans="2:21" x14ac:dyDescent="0.3">
      <c r="B701"/>
      <c r="C701"/>
      <c r="D701"/>
      <c r="E701"/>
      <c r="F701"/>
      <c r="G701"/>
      <c r="H701"/>
      <c r="I701"/>
      <c r="J701"/>
      <c r="O701" s="2" t="e">
        <f t="shared" ref="O701:O742" si="116">SUBSTITUTE(MID(A701,53,FIND("GBHS",A701)-54), ".", ",")</f>
        <v>#VALUE!</v>
      </c>
      <c r="P701" s="6" t="e">
        <f t="shared" ref="P701:P742" si="117">MID(O701,1,4)</f>
        <v>#VALUE!</v>
      </c>
      <c r="Q701" s="6" t="e">
        <f t="shared" ref="Q701:Q742" si="118">MID(O701,6,4)</f>
        <v>#VALUE!</v>
      </c>
      <c r="R701" s="6" t="e">
        <f t="shared" ref="R701:R742" si="119">MID(O701,11,4)</f>
        <v>#VALUE!</v>
      </c>
      <c r="S701" s="6" t="e">
        <f t="shared" ref="S701:S742" si="120">MID(O701,16,4)</f>
        <v>#VALUE!</v>
      </c>
      <c r="T701" s="6" t="e">
        <f t="shared" ref="T701:T742" si="121">MID(O701,21,4)</f>
        <v>#VALUE!</v>
      </c>
      <c r="U701" s="2" t="e">
        <f t="shared" ref="U701:U742" si="122">SUBSTITUTE(CONCATENATE("&lt;Parametros&gt;","&lt;Alfa&gt;",P701,"&lt;/Alfa&gt;","&lt;Beta&gt;",Q701,"&lt;/Beta&gt;","&lt;Gamma&gt;",R701,"&lt;/Gamma&gt;","&lt;Delta&gt;",S701,"&lt;/Delta&gt;","&lt;Ro&gt;",T701,"&lt;/Ro&gt;","&lt;/Parametros&gt;"),",",".")</f>
        <v>#VALUE!</v>
      </c>
    </row>
    <row r="702" spans="2:21" x14ac:dyDescent="0.3">
      <c r="B702"/>
      <c r="C702"/>
      <c r="D702"/>
      <c r="E702"/>
      <c r="F702"/>
      <c r="G702"/>
      <c r="H702"/>
      <c r="I702"/>
      <c r="J702"/>
      <c r="O702" s="2" t="e">
        <f t="shared" si="116"/>
        <v>#VALUE!</v>
      </c>
      <c r="P702" s="6" t="e">
        <f t="shared" si="117"/>
        <v>#VALUE!</v>
      </c>
      <c r="Q702" s="6" t="e">
        <f t="shared" si="118"/>
        <v>#VALUE!</v>
      </c>
      <c r="R702" s="6" t="e">
        <f t="shared" si="119"/>
        <v>#VALUE!</v>
      </c>
      <c r="S702" s="6" t="e">
        <f t="shared" si="120"/>
        <v>#VALUE!</v>
      </c>
      <c r="T702" s="6" t="e">
        <f t="shared" si="121"/>
        <v>#VALUE!</v>
      </c>
      <c r="U702" s="2" t="e">
        <f t="shared" si="122"/>
        <v>#VALUE!</v>
      </c>
    </row>
    <row r="703" spans="2:21" x14ac:dyDescent="0.3">
      <c r="B703"/>
      <c r="C703"/>
      <c r="D703"/>
      <c r="E703"/>
      <c r="F703"/>
      <c r="G703"/>
      <c r="H703"/>
      <c r="I703"/>
      <c r="J703"/>
      <c r="O703" s="2" t="e">
        <f t="shared" si="116"/>
        <v>#VALUE!</v>
      </c>
      <c r="P703" s="6" t="e">
        <f t="shared" si="117"/>
        <v>#VALUE!</v>
      </c>
      <c r="Q703" s="6" t="e">
        <f t="shared" si="118"/>
        <v>#VALUE!</v>
      </c>
      <c r="R703" s="6" t="e">
        <f t="shared" si="119"/>
        <v>#VALUE!</v>
      </c>
      <c r="S703" s="6" t="e">
        <f t="shared" si="120"/>
        <v>#VALUE!</v>
      </c>
      <c r="T703" s="6" t="e">
        <f t="shared" si="121"/>
        <v>#VALUE!</v>
      </c>
      <c r="U703" s="2" t="e">
        <f t="shared" si="122"/>
        <v>#VALUE!</v>
      </c>
    </row>
    <row r="704" spans="2:21" x14ac:dyDescent="0.3">
      <c r="B704"/>
      <c r="C704"/>
      <c r="D704"/>
      <c r="E704"/>
      <c r="F704"/>
      <c r="G704"/>
      <c r="H704"/>
      <c r="I704"/>
      <c r="J704"/>
      <c r="O704" s="2" t="e">
        <f t="shared" si="116"/>
        <v>#VALUE!</v>
      </c>
      <c r="P704" s="6" t="e">
        <f t="shared" si="117"/>
        <v>#VALUE!</v>
      </c>
      <c r="Q704" s="6" t="e">
        <f t="shared" si="118"/>
        <v>#VALUE!</v>
      </c>
      <c r="R704" s="6" t="e">
        <f t="shared" si="119"/>
        <v>#VALUE!</v>
      </c>
      <c r="S704" s="6" t="e">
        <f t="shared" si="120"/>
        <v>#VALUE!</v>
      </c>
      <c r="T704" s="6" t="e">
        <f t="shared" si="121"/>
        <v>#VALUE!</v>
      </c>
      <c r="U704" s="2" t="e">
        <f t="shared" si="122"/>
        <v>#VALUE!</v>
      </c>
    </row>
    <row r="705" spans="2:21" x14ac:dyDescent="0.3">
      <c r="B705"/>
      <c r="C705"/>
      <c r="D705"/>
      <c r="E705"/>
      <c r="F705"/>
      <c r="G705"/>
      <c r="H705"/>
      <c r="I705"/>
      <c r="J705"/>
      <c r="O705" s="2" t="e">
        <f t="shared" si="116"/>
        <v>#VALUE!</v>
      </c>
      <c r="P705" s="6" t="e">
        <f t="shared" si="117"/>
        <v>#VALUE!</v>
      </c>
      <c r="Q705" s="6" t="e">
        <f t="shared" si="118"/>
        <v>#VALUE!</v>
      </c>
      <c r="R705" s="6" t="e">
        <f t="shared" si="119"/>
        <v>#VALUE!</v>
      </c>
      <c r="S705" s="6" t="e">
        <f t="shared" si="120"/>
        <v>#VALUE!</v>
      </c>
      <c r="T705" s="6" t="e">
        <f t="shared" si="121"/>
        <v>#VALUE!</v>
      </c>
      <c r="U705" s="2" t="e">
        <f t="shared" si="122"/>
        <v>#VALUE!</v>
      </c>
    </row>
    <row r="706" spans="2:21" x14ac:dyDescent="0.3">
      <c r="B706"/>
      <c r="C706"/>
      <c r="D706"/>
      <c r="E706"/>
      <c r="F706"/>
      <c r="G706"/>
      <c r="H706"/>
      <c r="I706"/>
      <c r="J706"/>
      <c r="O706" s="2" t="e">
        <f t="shared" si="116"/>
        <v>#VALUE!</v>
      </c>
      <c r="P706" s="6" t="e">
        <f t="shared" si="117"/>
        <v>#VALUE!</v>
      </c>
      <c r="Q706" s="6" t="e">
        <f t="shared" si="118"/>
        <v>#VALUE!</v>
      </c>
      <c r="R706" s="6" t="e">
        <f t="shared" si="119"/>
        <v>#VALUE!</v>
      </c>
      <c r="S706" s="6" t="e">
        <f t="shared" si="120"/>
        <v>#VALUE!</v>
      </c>
      <c r="T706" s="6" t="e">
        <f t="shared" si="121"/>
        <v>#VALUE!</v>
      </c>
      <c r="U706" s="2" t="e">
        <f t="shared" si="122"/>
        <v>#VALUE!</v>
      </c>
    </row>
    <row r="707" spans="2:21" x14ac:dyDescent="0.3">
      <c r="B707"/>
      <c r="C707"/>
      <c r="D707"/>
      <c r="E707"/>
      <c r="F707"/>
      <c r="G707"/>
      <c r="H707"/>
      <c r="I707"/>
      <c r="J707"/>
      <c r="O707" s="2" t="e">
        <f t="shared" si="116"/>
        <v>#VALUE!</v>
      </c>
      <c r="P707" s="6" t="e">
        <f t="shared" si="117"/>
        <v>#VALUE!</v>
      </c>
      <c r="Q707" s="6" t="e">
        <f t="shared" si="118"/>
        <v>#VALUE!</v>
      </c>
      <c r="R707" s="6" t="e">
        <f t="shared" si="119"/>
        <v>#VALUE!</v>
      </c>
      <c r="S707" s="6" t="e">
        <f t="shared" si="120"/>
        <v>#VALUE!</v>
      </c>
      <c r="T707" s="6" t="e">
        <f t="shared" si="121"/>
        <v>#VALUE!</v>
      </c>
      <c r="U707" s="2" t="e">
        <f t="shared" si="122"/>
        <v>#VALUE!</v>
      </c>
    </row>
    <row r="708" spans="2:21" x14ac:dyDescent="0.3">
      <c r="B708"/>
      <c r="C708"/>
      <c r="D708"/>
      <c r="E708"/>
      <c r="F708"/>
      <c r="G708"/>
      <c r="H708"/>
      <c r="I708"/>
      <c r="J708"/>
      <c r="O708" s="2" t="e">
        <f t="shared" si="116"/>
        <v>#VALUE!</v>
      </c>
      <c r="P708" s="6" t="e">
        <f t="shared" si="117"/>
        <v>#VALUE!</v>
      </c>
      <c r="Q708" s="6" t="e">
        <f t="shared" si="118"/>
        <v>#VALUE!</v>
      </c>
      <c r="R708" s="6" t="e">
        <f t="shared" si="119"/>
        <v>#VALUE!</v>
      </c>
      <c r="S708" s="6" t="e">
        <f t="shared" si="120"/>
        <v>#VALUE!</v>
      </c>
      <c r="T708" s="6" t="e">
        <f t="shared" si="121"/>
        <v>#VALUE!</v>
      </c>
      <c r="U708" s="2" t="e">
        <f t="shared" si="122"/>
        <v>#VALUE!</v>
      </c>
    </row>
    <row r="709" spans="2:21" x14ac:dyDescent="0.3">
      <c r="B709"/>
      <c r="C709"/>
      <c r="D709"/>
      <c r="E709"/>
      <c r="F709"/>
      <c r="G709"/>
      <c r="H709"/>
      <c r="I709"/>
      <c r="J709"/>
      <c r="O709" s="2" t="e">
        <f t="shared" si="116"/>
        <v>#VALUE!</v>
      </c>
      <c r="P709" s="6" t="e">
        <f t="shared" si="117"/>
        <v>#VALUE!</v>
      </c>
      <c r="Q709" s="6" t="e">
        <f t="shared" si="118"/>
        <v>#VALUE!</v>
      </c>
      <c r="R709" s="6" t="e">
        <f t="shared" si="119"/>
        <v>#VALUE!</v>
      </c>
      <c r="S709" s="6" t="e">
        <f t="shared" si="120"/>
        <v>#VALUE!</v>
      </c>
      <c r="T709" s="6" t="e">
        <f t="shared" si="121"/>
        <v>#VALUE!</v>
      </c>
      <c r="U709" s="2" t="e">
        <f t="shared" si="122"/>
        <v>#VALUE!</v>
      </c>
    </row>
    <row r="710" spans="2:21" x14ac:dyDescent="0.3">
      <c r="B710"/>
      <c r="C710"/>
      <c r="D710"/>
      <c r="E710"/>
      <c r="F710"/>
      <c r="G710"/>
      <c r="H710"/>
      <c r="I710"/>
      <c r="J710"/>
      <c r="O710" s="2" t="e">
        <f t="shared" si="116"/>
        <v>#VALUE!</v>
      </c>
      <c r="P710" s="6" t="e">
        <f t="shared" si="117"/>
        <v>#VALUE!</v>
      </c>
      <c r="Q710" s="6" t="e">
        <f t="shared" si="118"/>
        <v>#VALUE!</v>
      </c>
      <c r="R710" s="6" t="e">
        <f t="shared" si="119"/>
        <v>#VALUE!</v>
      </c>
      <c r="S710" s="6" t="e">
        <f t="shared" si="120"/>
        <v>#VALUE!</v>
      </c>
      <c r="T710" s="6" t="e">
        <f t="shared" si="121"/>
        <v>#VALUE!</v>
      </c>
      <c r="U710" s="2" t="e">
        <f t="shared" si="122"/>
        <v>#VALUE!</v>
      </c>
    </row>
    <row r="711" spans="2:21" x14ac:dyDescent="0.3">
      <c r="B711"/>
      <c r="C711"/>
      <c r="D711"/>
      <c r="E711"/>
      <c r="F711"/>
      <c r="G711"/>
      <c r="H711"/>
      <c r="I711"/>
      <c r="J711"/>
      <c r="O711" s="2" t="e">
        <f t="shared" si="116"/>
        <v>#VALUE!</v>
      </c>
      <c r="P711" s="6" t="e">
        <f t="shared" si="117"/>
        <v>#VALUE!</v>
      </c>
      <c r="Q711" s="6" t="e">
        <f t="shared" si="118"/>
        <v>#VALUE!</v>
      </c>
      <c r="R711" s="6" t="e">
        <f t="shared" si="119"/>
        <v>#VALUE!</v>
      </c>
      <c r="S711" s="6" t="e">
        <f t="shared" si="120"/>
        <v>#VALUE!</v>
      </c>
      <c r="T711" s="6" t="e">
        <f t="shared" si="121"/>
        <v>#VALUE!</v>
      </c>
      <c r="U711" s="2" t="e">
        <f t="shared" si="122"/>
        <v>#VALUE!</v>
      </c>
    </row>
    <row r="712" spans="2:21" x14ac:dyDescent="0.3">
      <c r="B712"/>
      <c r="C712"/>
      <c r="D712"/>
      <c r="E712"/>
      <c r="F712"/>
      <c r="G712"/>
      <c r="H712"/>
      <c r="I712"/>
      <c r="J712"/>
      <c r="O712" s="2" t="e">
        <f t="shared" si="116"/>
        <v>#VALUE!</v>
      </c>
      <c r="P712" s="6" t="e">
        <f t="shared" si="117"/>
        <v>#VALUE!</v>
      </c>
      <c r="Q712" s="6" t="e">
        <f t="shared" si="118"/>
        <v>#VALUE!</v>
      </c>
      <c r="R712" s="6" t="e">
        <f t="shared" si="119"/>
        <v>#VALUE!</v>
      </c>
      <c r="S712" s="6" t="e">
        <f t="shared" si="120"/>
        <v>#VALUE!</v>
      </c>
      <c r="T712" s="6" t="e">
        <f t="shared" si="121"/>
        <v>#VALUE!</v>
      </c>
      <c r="U712" s="2" t="e">
        <f t="shared" si="122"/>
        <v>#VALUE!</v>
      </c>
    </row>
    <row r="713" spans="2:21" x14ac:dyDescent="0.3">
      <c r="B713"/>
      <c r="C713"/>
      <c r="D713"/>
      <c r="E713"/>
      <c r="F713"/>
      <c r="G713"/>
      <c r="H713"/>
      <c r="I713"/>
      <c r="J713"/>
      <c r="O713" s="2" t="e">
        <f t="shared" si="116"/>
        <v>#VALUE!</v>
      </c>
      <c r="P713" s="6" t="e">
        <f t="shared" si="117"/>
        <v>#VALUE!</v>
      </c>
      <c r="Q713" s="6" t="e">
        <f t="shared" si="118"/>
        <v>#VALUE!</v>
      </c>
      <c r="R713" s="6" t="e">
        <f t="shared" si="119"/>
        <v>#VALUE!</v>
      </c>
      <c r="S713" s="6" t="e">
        <f t="shared" si="120"/>
        <v>#VALUE!</v>
      </c>
      <c r="T713" s="6" t="e">
        <f t="shared" si="121"/>
        <v>#VALUE!</v>
      </c>
      <c r="U713" s="2" t="e">
        <f t="shared" si="122"/>
        <v>#VALUE!</v>
      </c>
    </row>
    <row r="714" spans="2:21" x14ac:dyDescent="0.3">
      <c r="B714"/>
      <c r="C714"/>
      <c r="D714"/>
      <c r="E714"/>
      <c r="F714"/>
      <c r="G714"/>
      <c r="H714"/>
      <c r="I714"/>
      <c r="J714"/>
      <c r="O714" s="2" t="e">
        <f t="shared" si="116"/>
        <v>#VALUE!</v>
      </c>
      <c r="P714" s="6" t="e">
        <f t="shared" si="117"/>
        <v>#VALUE!</v>
      </c>
      <c r="Q714" s="6" t="e">
        <f t="shared" si="118"/>
        <v>#VALUE!</v>
      </c>
      <c r="R714" s="6" t="e">
        <f t="shared" si="119"/>
        <v>#VALUE!</v>
      </c>
      <c r="S714" s="6" t="e">
        <f t="shared" si="120"/>
        <v>#VALUE!</v>
      </c>
      <c r="T714" s="6" t="e">
        <f t="shared" si="121"/>
        <v>#VALUE!</v>
      </c>
      <c r="U714" s="2" t="e">
        <f t="shared" si="122"/>
        <v>#VALUE!</v>
      </c>
    </row>
    <row r="715" spans="2:21" x14ac:dyDescent="0.3">
      <c r="B715"/>
      <c r="C715"/>
      <c r="D715"/>
      <c r="E715"/>
      <c r="F715"/>
      <c r="G715"/>
      <c r="H715"/>
      <c r="I715"/>
      <c r="J715"/>
      <c r="O715" s="2" t="e">
        <f t="shared" si="116"/>
        <v>#VALUE!</v>
      </c>
      <c r="P715" s="6" t="e">
        <f t="shared" si="117"/>
        <v>#VALUE!</v>
      </c>
      <c r="Q715" s="6" t="e">
        <f t="shared" si="118"/>
        <v>#VALUE!</v>
      </c>
      <c r="R715" s="6" t="e">
        <f t="shared" si="119"/>
        <v>#VALUE!</v>
      </c>
      <c r="S715" s="6" t="e">
        <f t="shared" si="120"/>
        <v>#VALUE!</v>
      </c>
      <c r="T715" s="6" t="e">
        <f t="shared" si="121"/>
        <v>#VALUE!</v>
      </c>
      <c r="U715" s="2" t="e">
        <f t="shared" si="122"/>
        <v>#VALUE!</v>
      </c>
    </row>
    <row r="716" spans="2:21" x14ac:dyDescent="0.3">
      <c r="B716"/>
      <c r="C716"/>
      <c r="D716"/>
      <c r="E716"/>
      <c r="F716"/>
      <c r="G716"/>
      <c r="H716"/>
      <c r="I716"/>
      <c r="J716"/>
      <c r="O716" s="2" t="e">
        <f t="shared" si="116"/>
        <v>#VALUE!</v>
      </c>
      <c r="P716" s="6" t="e">
        <f t="shared" si="117"/>
        <v>#VALUE!</v>
      </c>
      <c r="Q716" s="6" t="e">
        <f t="shared" si="118"/>
        <v>#VALUE!</v>
      </c>
      <c r="R716" s="6" t="e">
        <f t="shared" si="119"/>
        <v>#VALUE!</v>
      </c>
      <c r="S716" s="6" t="e">
        <f t="shared" si="120"/>
        <v>#VALUE!</v>
      </c>
      <c r="T716" s="6" t="e">
        <f t="shared" si="121"/>
        <v>#VALUE!</v>
      </c>
      <c r="U716" s="2" t="e">
        <f t="shared" si="122"/>
        <v>#VALUE!</v>
      </c>
    </row>
    <row r="717" spans="2:21" x14ac:dyDescent="0.3">
      <c r="B717"/>
      <c r="C717"/>
      <c r="D717"/>
      <c r="E717"/>
      <c r="F717"/>
      <c r="G717"/>
      <c r="H717"/>
      <c r="I717"/>
      <c r="J717"/>
      <c r="O717" s="2" t="e">
        <f t="shared" si="116"/>
        <v>#VALUE!</v>
      </c>
      <c r="P717" s="6" t="e">
        <f t="shared" si="117"/>
        <v>#VALUE!</v>
      </c>
      <c r="Q717" s="6" t="e">
        <f t="shared" si="118"/>
        <v>#VALUE!</v>
      </c>
      <c r="R717" s="6" t="e">
        <f t="shared" si="119"/>
        <v>#VALUE!</v>
      </c>
      <c r="S717" s="6" t="e">
        <f t="shared" si="120"/>
        <v>#VALUE!</v>
      </c>
      <c r="T717" s="6" t="e">
        <f t="shared" si="121"/>
        <v>#VALUE!</v>
      </c>
      <c r="U717" s="2" t="e">
        <f t="shared" si="122"/>
        <v>#VALUE!</v>
      </c>
    </row>
    <row r="718" spans="2:21" x14ac:dyDescent="0.3">
      <c r="B718"/>
      <c r="C718"/>
      <c r="D718"/>
      <c r="E718"/>
      <c r="F718"/>
      <c r="G718"/>
      <c r="H718"/>
      <c r="I718"/>
      <c r="J718"/>
      <c r="O718" s="2" t="e">
        <f t="shared" si="116"/>
        <v>#VALUE!</v>
      </c>
      <c r="P718" s="6" t="e">
        <f t="shared" si="117"/>
        <v>#VALUE!</v>
      </c>
      <c r="Q718" s="6" t="e">
        <f t="shared" si="118"/>
        <v>#VALUE!</v>
      </c>
      <c r="R718" s="6" t="e">
        <f t="shared" si="119"/>
        <v>#VALUE!</v>
      </c>
      <c r="S718" s="6" t="e">
        <f t="shared" si="120"/>
        <v>#VALUE!</v>
      </c>
      <c r="T718" s="6" t="e">
        <f t="shared" si="121"/>
        <v>#VALUE!</v>
      </c>
      <c r="U718" s="2" t="e">
        <f t="shared" si="122"/>
        <v>#VALUE!</v>
      </c>
    </row>
    <row r="719" spans="2:21" x14ac:dyDescent="0.3">
      <c r="B719"/>
      <c r="C719"/>
      <c r="D719"/>
      <c r="E719"/>
      <c r="F719"/>
      <c r="G719"/>
      <c r="H719"/>
      <c r="I719"/>
      <c r="J719"/>
      <c r="O719" s="2" t="e">
        <f t="shared" si="116"/>
        <v>#VALUE!</v>
      </c>
      <c r="P719" s="6" t="e">
        <f t="shared" si="117"/>
        <v>#VALUE!</v>
      </c>
      <c r="Q719" s="6" t="e">
        <f t="shared" si="118"/>
        <v>#VALUE!</v>
      </c>
      <c r="R719" s="6" t="e">
        <f t="shared" si="119"/>
        <v>#VALUE!</v>
      </c>
      <c r="S719" s="6" t="e">
        <f t="shared" si="120"/>
        <v>#VALUE!</v>
      </c>
      <c r="T719" s="6" t="e">
        <f t="shared" si="121"/>
        <v>#VALUE!</v>
      </c>
      <c r="U719" s="2" t="e">
        <f t="shared" si="122"/>
        <v>#VALUE!</v>
      </c>
    </row>
    <row r="720" spans="2:21" x14ac:dyDescent="0.3">
      <c r="B720"/>
      <c r="C720"/>
      <c r="D720"/>
      <c r="E720"/>
      <c r="F720"/>
      <c r="G720"/>
      <c r="H720"/>
      <c r="I720"/>
      <c r="J720"/>
      <c r="O720" s="2" t="e">
        <f t="shared" si="116"/>
        <v>#VALUE!</v>
      </c>
      <c r="P720" s="6" t="e">
        <f t="shared" si="117"/>
        <v>#VALUE!</v>
      </c>
      <c r="Q720" s="6" t="e">
        <f t="shared" si="118"/>
        <v>#VALUE!</v>
      </c>
      <c r="R720" s="6" t="e">
        <f t="shared" si="119"/>
        <v>#VALUE!</v>
      </c>
      <c r="S720" s="6" t="e">
        <f t="shared" si="120"/>
        <v>#VALUE!</v>
      </c>
      <c r="T720" s="6" t="e">
        <f t="shared" si="121"/>
        <v>#VALUE!</v>
      </c>
      <c r="U720" s="2" t="e">
        <f t="shared" si="122"/>
        <v>#VALUE!</v>
      </c>
    </row>
    <row r="721" spans="2:21" x14ac:dyDescent="0.3">
      <c r="B721"/>
      <c r="C721"/>
      <c r="D721"/>
      <c r="E721"/>
      <c r="F721"/>
      <c r="G721"/>
      <c r="H721"/>
      <c r="I721"/>
      <c r="J721"/>
      <c r="O721" s="2" t="e">
        <f t="shared" si="116"/>
        <v>#VALUE!</v>
      </c>
      <c r="P721" s="6" t="e">
        <f t="shared" si="117"/>
        <v>#VALUE!</v>
      </c>
      <c r="Q721" s="6" t="e">
        <f t="shared" si="118"/>
        <v>#VALUE!</v>
      </c>
      <c r="R721" s="6" t="e">
        <f t="shared" si="119"/>
        <v>#VALUE!</v>
      </c>
      <c r="S721" s="6" t="e">
        <f t="shared" si="120"/>
        <v>#VALUE!</v>
      </c>
      <c r="T721" s="6" t="e">
        <f t="shared" si="121"/>
        <v>#VALUE!</v>
      </c>
      <c r="U721" s="2" t="e">
        <f t="shared" si="122"/>
        <v>#VALUE!</v>
      </c>
    </row>
    <row r="722" spans="2:21" x14ac:dyDescent="0.3">
      <c r="B722"/>
      <c r="C722"/>
      <c r="D722"/>
      <c r="E722"/>
      <c r="F722"/>
      <c r="G722"/>
      <c r="H722"/>
      <c r="I722"/>
      <c r="J722"/>
      <c r="O722" s="2" t="e">
        <f t="shared" si="116"/>
        <v>#VALUE!</v>
      </c>
      <c r="P722" s="6" t="e">
        <f t="shared" si="117"/>
        <v>#VALUE!</v>
      </c>
      <c r="Q722" s="6" t="e">
        <f t="shared" si="118"/>
        <v>#VALUE!</v>
      </c>
      <c r="R722" s="6" t="e">
        <f t="shared" si="119"/>
        <v>#VALUE!</v>
      </c>
      <c r="S722" s="6" t="e">
        <f t="shared" si="120"/>
        <v>#VALUE!</v>
      </c>
      <c r="T722" s="6" t="e">
        <f t="shared" si="121"/>
        <v>#VALUE!</v>
      </c>
      <c r="U722" s="2" t="e">
        <f t="shared" si="122"/>
        <v>#VALUE!</v>
      </c>
    </row>
    <row r="723" spans="2:21" x14ac:dyDescent="0.3">
      <c r="B723"/>
      <c r="C723"/>
      <c r="D723"/>
      <c r="E723"/>
      <c r="F723"/>
      <c r="G723"/>
      <c r="H723"/>
      <c r="I723"/>
      <c r="J723"/>
      <c r="O723" s="2" t="e">
        <f t="shared" si="116"/>
        <v>#VALUE!</v>
      </c>
      <c r="P723" s="6" t="e">
        <f t="shared" si="117"/>
        <v>#VALUE!</v>
      </c>
      <c r="Q723" s="6" t="e">
        <f t="shared" si="118"/>
        <v>#VALUE!</v>
      </c>
      <c r="R723" s="6" t="e">
        <f t="shared" si="119"/>
        <v>#VALUE!</v>
      </c>
      <c r="S723" s="6" t="e">
        <f t="shared" si="120"/>
        <v>#VALUE!</v>
      </c>
      <c r="T723" s="6" t="e">
        <f t="shared" si="121"/>
        <v>#VALUE!</v>
      </c>
      <c r="U723" s="2" t="e">
        <f t="shared" si="122"/>
        <v>#VALUE!</v>
      </c>
    </row>
    <row r="724" spans="2:21" x14ac:dyDescent="0.3">
      <c r="B724"/>
      <c r="C724"/>
      <c r="D724"/>
      <c r="E724"/>
      <c r="F724"/>
      <c r="G724"/>
      <c r="H724"/>
      <c r="I724"/>
      <c r="J724"/>
      <c r="O724" s="2" t="e">
        <f t="shared" si="116"/>
        <v>#VALUE!</v>
      </c>
      <c r="P724" s="6" t="e">
        <f t="shared" si="117"/>
        <v>#VALUE!</v>
      </c>
      <c r="Q724" s="6" t="e">
        <f t="shared" si="118"/>
        <v>#VALUE!</v>
      </c>
      <c r="R724" s="6" t="e">
        <f t="shared" si="119"/>
        <v>#VALUE!</v>
      </c>
      <c r="S724" s="6" t="e">
        <f t="shared" si="120"/>
        <v>#VALUE!</v>
      </c>
      <c r="T724" s="6" t="e">
        <f t="shared" si="121"/>
        <v>#VALUE!</v>
      </c>
      <c r="U724" s="2" t="e">
        <f t="shared" si="122"/>
        <v>#VALUE!</v>
      </c>
    </row>
    <row r="725" spans="2:21" x14ac:dyDescent="0.3">
      <c r="B725"/>
      <c r="C725"/>
      <c r="D725"/>
      <c r="E725"/>
      <c r="F725"/>
      <c r="G725"/>
      <c r="H725"/>
      <c r="I725"/>
      <c r="J725"/>
      <c r="O725" s="2" t="e">
        <f t="shared" si="116"/>
        <v>#VALUE!</v>
      </c>
      <c r="P725" s="6" t="e">
        <f t="shared" si="117"/>
        <v>#VALUE!</v>
      </c>
      <c r="Q725" s="6" t="e">
        <f t="shared" si="118"/>
        <v>#VALUE!</v>
      </c>
      <c r="R725" s="6" t="e">
        <f t="shared" si="119"/>
        <v>#VALUE!</v>
      </c>
      <c r="S725" s="6" t="e">
        <f t="shared" si="120"/>
        <v>#VALUE!</v>
      </c>
      <c r="T725" s="6" t="e">
        <f t="shared" si="121"/>
        <v>#VALUE!</v>
      </c>
      <c r="U725" s="2" t="e">
        <f t="shared" si="122"/>
        <v>#VALUE!</v>
      </c>
    </row>
    <row r="726" spans="2:21" x14ac:dyDescent="0.3">
      <c r="B726"/>
      <c r="C726"/>
      <c r="D726"/>
      <c r="E726"/>
      <c r="F726"/>
      <c r="G726"/>
      <c r="H726"/>
      <c r="I726"/>
      <c r="J726"/>
      <c r="O726" s="2" t="e">
        <f t="shared" si="116"/>
        <v>#VALUE!</v>
      </c>
      <c r="P726" s="6" t="e">
        <f t="shared" si="117"/>
        <v>#VALUE!</v>
      </c>
      <c r="Q726" s="6" t="e">
        <f t="shared" si="118"/>
        <v>#VALUE!</v>
      </c>
      <c r="R726" s="6" t="e">
        <f t="shared" si="119"/>
        <v>#VALUE!</v>
      </c>
      <c r="S726" s="6" t="e">
        <f t="shared" si="120"/>
        <v>#VALUE!</v>
      </c>
      <c r="T726" s="6" t="e">
        <f t="shared" si="121"/>
        <v>#VALUE!</v>
      </c>
      <c r="U726" s="2" t="e">
        <f t="shared" si="122"/>
        <v>#VALUE!</v>
      </c>
    </row>
    <row r="727" spans="2:21" x14ac:dyDescent="0.3">
      <c r="B727"/>
      <c r="C727"/>
      <c r="D727"/>
      <c r="E727"/>
      <c r="F727"/>
      <c r="G727"/>
      <c r="H727"/>
      <c r="I727"/>
      <c r="J727"/>
      <c r="O727" s="2" t="e">
        <f t="shared" si="116"/>
        <v>#VALUE!</v>
      </c>
      <c r="P727" s="6" t="e">
        <f t="shared" si="117"/>
        <v>#VALUE!</v>
      </c>
      <c r="Q727" s="6" t="e">
        <f t="shared" si="118"/>
        <v>#VALUE!</v>
      </c>
      <c r="R727" s="6" t="e">
        <f t="shared" si="119"/>
        <v>#VALUE!</v>
      </c>
      <c r="S727" s="6" t="e">
        <f t="shared" si="120"/>
        <v>#VALUE!</v>
      </c>
      <c r="T727" s="6" t="e">
        <f t="shared" si="121"/>
        <v>#VALUE!</v>
      </c>
      <c r="U727" s="2" t="e">
        <f t="shared" si="122"/>
        <v>#VALUE!</v>
      </c>
    </row>
    <row r="728" spans="2:21" x14ac:dyDescent="0.3">
      <c r="B728"/>
      <c r="C728"/>
      <c r="D728"/>
      <c r="E728"/>
      <c r="F728"/>
      <c r="G728"/>
      <c r="H728"/>
      <c r="I728"/>
      <c r="J728"/>
      <c r="O728" s="2" t="e">
        <f t="shared" si="116"/>
        <v>#VALUE!</v>
      </c>
      <c r="P728" s="6" t="e">
        <f t="shared" si="117"/>
        <v>#VALUE!</v>
      </c>
      <c r="Q728" s="6" t="e">
        <f t="shared" si="118"/>
        <v>#VALUE!</v>
      </c>
      <c r="R728" s="6" t="e">
        <f t="shared" si="119"/>
        <v>#VALUE!</v>
      </c>
      <c r="S728" s="6" t="e">
        <f t="shared" si="120"/>
        <v>#VALUE!</v>
      </c>
      <c r="T728" s="6" t="e">
        <f t="shared" si="121"/>
        <v>#VALUE!</v>
      </c>
      <c r="U728" s="2" t="e">
        <f t="shared" si="122"/>
        <v>#VALUE!</v>
      </c>
    </row>
    <row r="729" spans="2:21" x14ac:dyDescent="0.3">
      <c r="B729"/>
      <c r="C729"/>
      <c r="D729"/>
      <c r="E729"/>
      <c r="F729"/>
      <c r="G729"/>
      <c r="H729"/>
      <c r="I729"/>
      <c r="J729"/>
      <c r="O729" s="2" t="e">
        <f t="shared" si="116"/>
        <v>#VALUE!</v>
      </c>
      <c r="P729" s="6" t="e">
        <f t="shared" si="117"/>
        <v>#VALUE!</v>
      </c>
      <c r="Q729" s="6" t="e">
        <f t="shared" si="118"/>
        <v>#VALUE!</v>
      </c>
      <c r="R729" s="6" t="e">
        <f t="shared" si="119"/>
        <v>#VALUE!</v>
      </c>
      <c r="S729" s="6" t="e">
        <f t="shared" si="120"/>
        <v>#VALUE!</v>
      </c>
      <c r="T729" s="6" t="e">
        <f t="shared" si="121"/>
        <v>#VALUE!</v>
      </c>
      <c r="U729" s="2" t="e">
        <f t="shared" si="122"/>
        <v>#VALUE!</v>
      </c>
    </row>
    <row r="730" spans="2:21" x14ac:dyDescent="0.3">
      <c r="B730"/>
      <c r="C730"/>
      <c r="D730"/>
      <c r="E730"/>
      <c r="F730"/>
      <c r="G730"/>
      <c r="H730"/>
      <c r="I730"/>
      <c r="J730"/>
      <c r="O730" s="2" t="e">
        <f t="shared" si="116"/>
        <v>#VALUE!</v>
      </c>
      <c r="P730" s="6" t="e">
        <f t="shared" si="117"/>
        <v>#VALUE!</v>
      </c>
      <c r="Q730" s="6" t="e">
        <f t="shared" si="118"/>
        <v>#VALUE!</v>
      </c>
      <c r="R730" s="6" t="e">
        <f t="shared" si="119"/>
        <v>#VALUE!</v>
      </c>
      <c r="S730" s="6" t="e">
        <f t="shared" si="120"/>
        <v>#VALUE!</v>
      </c>
      <c r="T730" s="6" t="e">
        <f t="shared" si="121"/>
        <v>#VALUE!</v>
      </c>
      <c r="U730" s="2" t="e">
        <f t="shared" si="122"/>
        <v>#VALUE!</v>
      </c>
    </row>
    <row r="731" spans="2:21" x14ac:dyDescent="0.3">
      <c r="B731"/>
      <c r="C731"/>
      <c r="D731"/>
      <c r="E731"/>
      <c r="F731"/>
      <c r="G731"/>
      <c r="H731"/>
      <c r="I731"/>
      <c r="J731"/>
      <c r="O731" s="2" t="e">
        <f t="shared" si="116"/>
        <v>#VALUE!</v>
      </c>
      <c r="P731" s="6" t="e">
        <f t="shared" si="117"/>
        <v>#VALUE!</v>
      </c>
      <c r="Q731" s="6" t="e">
        <f t="shared" si="118"/>
        <v>#VALUE!</v>
      </c>
      <c r="R731" s="6" t="e">
        <f t="shared" si="119"/>
        <v>#VALUE!</v>
      </c>
      <c r="S731" s="6" t="e">
        <f t="shared" si="120"/>
        <v>#VALUE!</v>
      </c>
      <c r="T731" s="6" t="e">
        <f t="shared" si="121"/>
        <v>#VALUE!</v>
      </c>
      <c r="U731" s="2" t="e">
        <f t="shared" si="122"/>
        <v>#VALUE!</v>
      </c>
    </row>
    <row r="732" spans="2:21" x14ac:dyDescent="0.3">
      <c r="B732"/>
      <c r="C732"/>
      <c r="D732"/>
      <c r="E732"/>
      <c r="F732"/>
      <c r="G732"/>
      <c r="H732"/>
      <c r="I732"/>
      <c r="J732"/>
      <c r="O732" s="2" t="e">
        <f t="shared" si="116"/>
        <v>#VALUE!</v>
      </c>
      <c r="P732" s="6" t="e">
        <f t="shared" si="117"/>
        <v>#VALUE!</v>
      </c>
      <c r="Q732" s="6" t="e">
        <f t="shared" si="118"/>
        <v>#VALUE!</v>
      </c>
      <c r="R732" s="6" t="e">
        <f t="shared" si="119"/>
        <v>#VALUE!</v>
      </c>
      <c r="S732" s="6" t="e">
        <f t="shared" si="120"/>
        <v>#VALUE!</v>
      </c>
      <c r="T732" s="6" t="e">
        <f t="shared" si="121"/>
        <v>#VALUE!</v>
      </c>
      <c r="U732" s="2" t="e">
        <f t="shared" si="122"/>
        <v>#VALUE!</v>
      </c>
    </row>
    <row r="733" spans="2:21" x14ac:dyDescent="0.3">
      <c r="B733"/>
      <c r="C733"/>
      <c r="D733"/>
      <c r="E733"/>
      <c r="F733"/>
      <c r="G733"/>
      <c r="H733"/>
      <c r="I733"/>
      <c r="J733"/>
      <c r="O733" s="2" t="e">
        <f t="shared" si="116"/>
        <v>#VALUE!</v>
      </c>
      <c r="P733" s="6" t="e">
        <f t="shared" si="117"/>
        <v>#VALUE!</v>
      </c>
      <c r="Q733" s="6" t="e">
        <f t="shared" si="118"/>
        <v>#VALUE!</v>
      </c>
      <c r="R733" s="6" t="e">
        <f t="shared" si="119"/>
        <v>#VALUE!</v>
      </c>
      <c r="S733" s="6" t="e">
        <f t="shared" si="120"/>
        <v>#VALUE!</v>
      </c>
      <c r="T733" s="6" t="e">
        <f t="shared" si="121"/>
        <v>#VALUE!</v>
      </c>
      <c r="U733" s="2" t="e">
        <f t="shared" si="122"/>
        <v>#VALUE!</v>
      </c>
    </row>
    <row r="734" spans="2:21" x14ac:dyDescent="0.3">
      <c r="B734"/>
      <c r="C734"/>
      <c r="D734"/>
      <c r="E734"/>
      <c r="F734"/>
      <c r="G734"/>
      <c r="H734"/>
      <c r="I734"/>
      <c r="J734"/>
      <c r="O734" s="2" t="e">
        <f t="shared" si="116"/>
        <v>#VALUE!</v>
      </c>
      <c r="P734" s="6" t="e">
        <f t="shared" si="117"/>
        <v>#VALUE!</v>
      </c>
      <c r="Q734" s="6" t="e">
        <f t="shared" si="118"/>
        <v>#VALUE!</v>
      </c>
      <c r="R734" s="6" t="e">
        <f t="shared" si="119"/>
        <v>#VALUE!</v>
      </c>
      <c r="S734" s="6" t="e">
        <f t="shared" si="120"/>
        <v>#VALUE!</v>
      </c>
      <c r="T734" s="6" t="e">
        <f t="shared" si="121"/>
        <v>#VALUE!</v>
      </c>
      <c r="U734" s="2" t="e">
        <f t="shared" si="122"/>
        <v>#VALUE!</v>
      </c>
    </row>
    <row r="735" spans="2:21" x14ac:dyDescent="0.3">
      <c r="B735"/>
      <c r="C735"/>
      <c r="D735"/>
      <c r="E735"/>
      <c r="F735"/>
      <c r="G735"/>
      <c r="H735"/>
      <c r="I735"/>
      <c r="J735"/>
      <c r="O735" s="2" t="e">
        <f t="shared" si="116"/>
        <v>#VALUE!</v>
      </c>
      <c r="P735" s="6" t="e">
        <f t="shared" si="117"/>
        <v>#VALUE!</v>
      </c>
      <c r="Q735" s="6" t="e">
        <f t="shared" si="118"/>
        <v>#VALUE!</v>
      </c>
      <c r="R735" s="6" t="e">
        <f t="shared" si="119"/>
        <v>#VALUE!</v>
      </c>
      <c r="S735" s="6" t="e">
        <f t="shared" si="120"/>
        <v>#VALUE!</v>
      </c>
      <c r="T735" s="6" t="e">
        <f t="shared" si="121"/>
        <v>#VALUE!</v>
      </c>
      <c r="U735" s="2" t="e">
        <f t="shared" si="122"/>
        <v>#VALUE!</v>
      </c>
    </row>
    <row r="736" spans="2:21" x14ac:dyDescent="0.3">
      <c r="B736"/>
      <c r="C736"/>
      <c r="D736"/>
      <c r="E736"/>
      <c r="F736"/>
      <c r="G736"/>
      <c r="H736"/>
      <c r="I736"/>
      <c r="J736"/>
      <c r="O736" s="2" t="e">
        <f t="shared" si="116"/>
        <v>#VALUE!</v>
      </c>
      <c r="P736" s="6" t="e">
        <f t="shared" si="117"/>
        <v>#VALUE!</v>
      </c>
      <c r="Q736" s="6" t="e">
        <f t="shared" si="118"/>
        <v>#VALUE!</v>
      </c>
      <c r="R736" s="6" t="e">
        <f t="shared" si="119"/>
        <v>#VALUE!</v>
      </c>
      <c r="S736" s="6" t="e">
        <f t="shared" si="120"/>
        <v>#VALUE!</v>
      </c>
      <c r="T736" s="6" t="e">
        <f t="shared" si="121"/>
        <v>#VALUE!</v>
      </c>
      <c r="U736" s="2" t="e">
        <f t="shared" si="122"/>
        <v>#VALUE!</v>
      </c>
    </row>
    <row r="737" spans="2:21" x14ac:dyDescent="0.3">
      <c r="B737"/>
      <c r="C737"/>
      <c r="D737"/>
      <c r="E737"/>
      <c r="F737"/>
      <c r="G737"/>
      <c r="H737"/>
      <c r="I737"/>
      <c r="J737"/>
      <c r="O737" s="2" t="e">
        <f t="shared" si="116"/>
        <v>#VALUE!</v>
      </c>
      <c r="P737" s="6" t="e">
        <f t="shared" si="117"/>
        <v>#VALUE!</v>
      </c>
      <c r="Q737" s="6" t="e">
        <f t="shared" si="118"/>
        <v>#VALUE!</v>
      </c>
      <c r="R737" s="6" t="e">
        <f t="shared" si="119"/>
        <v>#VALUE!</v>
      </c>
      <c r="S737" s="6" t="e">
        <f t="shared" si="120"/>
        <v>#VALUE!</v>
      </c>
      <c r="T737" s="6" t="e">
        <f t="shared" si="121"/>
        <v>#VALUE!</v>
      </c>
      <c r="U737" s="2" t="e">
        <f t="shared" si="122"/>
        <v>#VALUE!</v>
      </c>
    </row>
    <row r="738" spans="2:21" x14ac:dyDescent="0.3">
      <c r="B738"/>
      <c r="C738"/>
      <c r="D738"/>
      <c r="E738"/>
      <c r="F738"/>
      <c r="G738"/>
      <c r="H738"/>
      <c r="I738"/>
      <c r="J738"/>
      <c r="O738" s="2" t="e">
        <f t="shared" si="116"/>
        <v>#VALUE!</v>
      </c>
      <c r="P738" s="6" t="e">
        <f t="shared" si="117"/>
        <v>#VALUE!</v>
      </c>
      <c r="Q738" s="6" t="e">
        <f t="shared" si="118"/>
        <v>#VALUE!</v>
      </c>
      <c r="R738" s="6" t="e">
        <f t="shared" si="119"/>
        <v>#VALUE!</v>
      </c>
      <c r="S738" s="6" t="e">
        <f t="shared" si="120"/>
        <v>#VALUE!</v>
      </c>
      <c r="T738" s="6" t="e">
        <f t="shared" si="121"/>
        <v>#VALUE!</v>
      </c>
      <c r="U738" s="2" t="e">
        <f t="shared" si="122"/>
        <v>#VALUE!</v>
      </c>
    </row>
    <row r="739" spans="2:21" x14ac:dyDescent="0.3">
      <c r="B739"/>
      <c r="C739"/>
      <c r="D739"/>
      <c r="E739"/>
      <c r="F739"/>
      <c r="G739"/>
      <c r="H739"/>
      <c r="I739"/>
      <c r="J739"/>
      <c r="O739" s="2" t="e">
        <f t="shared" si="116"/>
        <v>#VALUE!</v>
      </c>
      <c r="P739" s="6" t="e">
        <f t="shared" si="117"/>
        <v>#VALUE!</v>
      </c>
      <c r="Q739" s="6" t="e">
        <f t="shared" si="118"/>
        <v>#VALUE!</v>
      </c>
      <c r="R739" s="6" t="e">
        <f t="shared" si="119"/>
        <v>#VALUE!</v>
      </c>
      <c r="S739" s="6" t="e">
        <f t="shared" si="120"/>
        <v>#VALUE!</v>
      </c>
      <c r="T739" s="6" t="e">
        <f t="shared" si="121"/>
        <v>#VALUE!</v>
      </c>
      <c r="U739" s="2" t="e">
        <f t="shared" si="122"/>
        <v>#VALUE!</v>
      </c>
    </row>
    <row r="740" spans="2:21" x14ac:dyDescent="0.3">
      <c r="B740"/>
      <c r="C740"/>
      <c r="D740"/>
      <c r="E740"/>
      <c r="F740"/>
      <c r="G740"/>
      <c r="H740"/>
      <c r="I740"/>
      <c r="J740"/>
      <c r="O740" s="2" t="e">
        <f t="shared" si="116"/>
        <v>#VALUE!</v>
      </c>
      <c r="P740" s="6" t="e">
        <f t="shared" si="117"/>
        <v>#VALUE!</v>
      </c>
      <c r="Q740" s="6" t="e">
        <f t="shared" si="118"/>
        <v>#VALUE!</v>
      </c>
      <c r="R740" s="6" t="e">
        <f t="shared" si="119"/>
        <v>#VALUE!</v>
      </c>
      <c r="S740" s="6" t="e">
        <f t="shared" si="120"/>
        <v>#VALUE!</v>
      </c>
      <c r="T740" s="6" t="e">
        <f t="shared" si="121"/>
        <v>#VALUE!</v>
      </c>
      <c r="U740" s="2" t="e">
        <f t="shared" si="122"/>
        <v>#VALUE!</v>
      </c>
    </row>
    <row r="741" spans="2:21" x14ac:dyDescent="0.3">
      <c r="B741"/>
      <c r="C741"/>
      <c r="D741"/>
      <c r="E741"/>
      <c r="F741"/>
      <c r="G741"/>
      <c r="H741"/>
      <c r="I741"/>
      <c r="J741"/>
      <c r="O741" s="2" t="e">
        <f t="shared" si="116"/>
        <v>#VALUE!</v>
      </c>
      <c r="P741" s="6" t="e">
        <f t="shared" si="117"/>
        <v>#VALUE!</v>
      </c>
      <c r="Q741" s="6" t="e">
        <f t="shared" si="118"/>
        <v>#VALUE!</v>
      </c>
      <c r="R741" s="6" t="e">
        <f t="shared" si="119"/>
        <v>#VALUE!</v>
      </c>
      <c r="S741" s="6" t="e">
        <f t="shared" si="120"/>
        <v>#VALUE!</v>
      </c>
      <c r="T741" s="6" t="e">
        <f t="shared" si="121"/>
        <v>#VALUE!</v>
      </c>
      <c r="U741" s="2" t="e">
        <f t="shared" si="122"/>
        <v>#VALUE!</v>
      </c>
    </row>
    <row r="742" spans="2:21" x14ac:dyDescent="0.3">
      <c r="B742"/>
      <c r="C742"/>
      <c r="D742"/>
      <c r="E742"/>
      <c r="F742"/>
      <c r="G742"/>
      <c r="H742"/>
      <c r="I742"/>
      <c r="J742"/>
      <c r="O742" s="2" t="e">
        <f t="shared" si="116"/>
        <v>#VALUE!</v>
      </c>
      <c r="P742" s="6" t="e">
        <f t="shared" si="117"/>
        <v>#VALUE!</v>
      </c>
      <c r="Q742" s="6" t="e">
        <f t="shared" si="118"/>
        <v>#VALUE!</v>
      </c>
      <c r="R742" s="6" t="e">
        <f t="shared" si="119"/>
        <v>#VALUE!</v>
      </c>
      <c r="S742" s="6" t="e">
        <f t="shared" si="120"/>
        <v>#VALUE!</v>
      </c>
      <c r="T742" s="6" t="e">
        <f t="shared" si="121"/>
        <v>#VALUE!</v>
      </c>
      <c r="U742" s="2" t="e">
        <f t="shared" si="122"/>
        <v>#VALUE!</v>
      </c>
    </row>
  </sheetData>
  <sortState ref="A2:M47">
    <sortCondition descending="1" ref="B2:B47"/>
  </sortState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macro">
                <anchor moveWithCells="1">
                  <from>
                    <xdr:col>0</xdr:col>
                    <xdr:colOff>5303520</xdr:colOff>
                    <xdr:row>0</xdr:row>
                    <xdr:rowOff>45720</xdr:rowOff>
                  </from>
                  <to>
                    <xdr:col>0</xdr:col>
                    <xdr:colOff>6195060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29"/>
  <sheetViews>
    <sheetView showGridLines="0" tabSelected="1" workbookViewId="0"/>
  </sheetViews>
  <sheetFormatPr baseColWidth="10" defaultRowHeight="14.4" x14ac:dyDescent="0.3"/>
  <cols>
    <col min="1" max="1" width="17.88671875" style="10" customWidth="1"/>
    <col min="2" max="5" width="11.5546875" style="10"/>
    <col min="6" max="6" width="11.5546875" style="11"/>
    <col min="7" max="7" width="15.21875" style="10" customWidth="1"/>
    <col min="8" max="18" width="4.77734375" style="10" customWidth="1"/>
    <col min="19" max="19" width="11.5546875" style="10"/>
    <col min="20" max="20" width="8.44140625" style="10" customWidth="1"/>
    <col min="21" max="16384" width="11.5546875" style="10"/>
  </cols>
  <sheetData>
    <row r="1" spans="1:20" ht="15" thickBot="1" x14ac:dyDescent="0.35">
      <c r="A1" s="9" t="s">
        <v>17</v>
      </c>
      <c r="G1" s="11"/>
      <c r="H1" t="s">
        <v>0</v>
      </c>
      <c r="I1" t="s">
        <v>4</v>
      </c>
      <c r="J1" t="s">
        <v>5</v>
      </c>
      <c r="K1" t="s">
        <v>1</v>
      </c>
      <c r="L1" t="s">
        <v>2</v>
      </c>
      <c r="M1" t="s">
        <v>3</v>
      </c>
      <c r="N1" t="s">
        <v>6</v>
      </c>
      <c r="O1" t="s">
        <v>7</v>
      </c>
      <c r="P1" t="s">
        <v>8</v>
      </c>
    </row>
    <row r="2" spans="1:20" ht="15" thickBot="1" x14ac:dyDescent="0.35">
      <c r="A2" s="12" t="s">
        <v>18</v>
      </c>
      <c r="B2" s="13" t="s">
        <v>19</v>
      </c>
      <c r="C2" s="13"/>
      <c r="D2" s="13" t="s">
        <v>20</v>
      </c>
      <c r="E2" s="13"/>
      <c r="G2" s="14" t="s">
        <v>21</v>
      </c>
      <c r="H2" s="48">
        <f>'DUC2001'!B2</f>
        <v>0.45427299999999998</v>
      </c>
      <c r="I2" s="49">
        <f>'DUC2001'!C2</f>
        <v>0.45416000000000001</v>
      </c>
      <c r="J2" s="49">
        <f>'DUC2001'!D2</f>
        <v>0.45385500000000001</v>
      </c>
      <c r="K2" s="48">
        <f>'DUC2001'!E2</f>
        <v>0.195911</v>
      </c>
      <c r="L2" s="49">
        <f>'DUC2001'!F2</f>
        <v>0.19584599999999999</v>
      </c>
      <c r="M2" s="49">
        <f>'DUC2001'!G2</f>
        <v>0.19573133333333301</v>
      </c>
      <c r="N2" s="49">
        <f>'DUC2001'!H2</f>
        <v>0.22124466666666701</v>
      </c>
      <c r="O2" s="49">
        <f>'DUC2001'!I2</f>
        <v>0.22118933333333299</v>
      </c>
      <c r="P2" s="49">
        <f>'DUC2001'!J2</f>
        <v>0.221042666666667</v>
      </c>
      <c r="R2" s="10" t="str">
        <f>'DUC2001'!A2</f>
        <v>2015-06-16-01-01-Exp-30-P-100-0-0-C-B-110-1600-MASDS-0.52-0.00-0.28-0.00-0.20-GBHS-10-0.85-0.01-0.99-0.4-5.xlsx</v>
      </c>
    </row>
    <row r="3" spans="1:20" x14ac:dyDescent="0.3">
      <c r="A3" s="15" t="s">
        <v>36</v>
      </c>
      <c r="B3" s="16">
        <f>H2</f>
        <v>0.45427299999999998</v>
      </c>
      <c r="C3" s="17">
        <v>5</v>
      </c>
      <c r="D3" s="16">
        <f>K2</f>
        <v>0.195911</v>
      </c>
      <c r="E3" s="17">
        <v>2</v>
      </c>
      <c r="G3" s="11" t="s">
        <v>22</v>
      </c>
      <c r="H3" s="48">
        <f>'DUC2002'!B2</f>
        <v>0.47895900000000002</v>
      </c>
      <c r="I3" s="40">
        <f>'DUC2002'!C2</f>
        <v>0.48256500000000002</v>
      </c>
      <c r="J3" s="40">
        <f>'DUC2002'!D2</f>
        <v>0.480607333333333</v>
      </c>
      <c r="K3" s="48">
        <f>'DUC2002'!E2</f>
        <v>0.22138099999999999</v>
      </c>
      <c r="L3" s="40">
        <f>'DUC2002'!F2</f>
        <v>0.22276133333333301</v>
      </c>
      <c r="M3" s="40">
        <f>'DUC2002'!G2</f>
        <v>0.22199833333333299</v>
      </c>
      <c r="N3" s="40">
        <f>'DUC2002'!H2</f>
        <v>0.23962866666666699</v>
      </c>
      <c r="O3" s="40">
        <f>'DUC2002'!I2</f>
        <v>0.24127399999999999</v>
      </c>
      <c r="P3" s="40">
        <f>'DUC2002'!J2</f>
        <v>0.24037233333333299</v>
      </c>
      <c r="R3" s="10" t="str">
        <f>'DUC2002'!A2</f>
        <v>2015-06-12-12-35-Exp-30-P-100-0-0-C-B-110-1600-MASDS-0.52-0.00-0.28-0.00-0.20-GBHS-10-0.85-0.01-0.99-0.4-5.xlsx</v>
      </c>
    </row>
    <row r="4" spans="1:20" x14ac:dyDescent="0.3">
      <c r="A4" s="18" t="s">
        <v>23</v>
      </c>
      <c r="B4" s="19">
        <v>0.44862000000000002</v>
      </c>
      <c r="C4" s="20">
        <v>7</v>
      </c>
      <c r="D4" s="19">
        <v>0.20141999999999999</v>
      </c>
      <c r="E4" s="20">
        <v>1</v>
      </c>
    </row>
    <row r="5" spans="1:20" x14ac:dyDescent="0.3">
      <c r="A5" s="18" t="s">
        <v>24</v>
      </c>
      <c r="B5" s="19">
        <v>0.47855999999999999</v>
      </c>
      <c r="C5" s="20">
        <v>1</v>
      </c>
      <c r="D5" s="19">
        <v>0.18528</v>
      </c>
      <c r="E5" s="20">
        <v>4</v>
      </c>
    </row>
    <row r="6" spans="1:20" x14ac:dyDescent="0.3">
      <c r="A6" s="18" t="s">
        <v>26</v>
      </c>
      <c r="B6" s="19">
        <v>0.47727999999999998</v>
      </c>
      <c r="C6" s="20">
        <v>2</v>
      </c>
      <c r="D6" s="19">
        <v>0.18548999999999999</v>
      </c>
      <c r="E6" s="20">
        <v>3</v>
      </c>
    </row>
    <row r="7" spans="1:20" x14ac:dyDescent="0.3">
      <c r="A7" s="18" t="s">
        <v>25</v>
      </c>
      <c r="B7" s="19">
        <v>0.45377000000000001</v>
      </c>
      <c r="C7" s="20">
        <v>6</v>
      </c>
      <c r="D7" s="19">
        <v>0.17646000000000001</v>
      </c>
      <c r="E7" s="20">
        <v>7</v>
      </c>
      <c r="G7" s="32"/>
      <c r="H7" s="33"/>
    </row>
    <row r="8" spans="1:20" x14ac:dyDescent="0.3">
      <c r="A8" s="18" t="s">
        <v>27</v>
      </c>
      <c r="B8" s="19">
        <v>0.46427000000000002</v>
      </c>
      <c r="C8" s="20">
        <v>3</v>
      </c>
      <c r="D8" s="19">
        <v>0.17696999999999999</v>
      </c>
      <c r="E8" s="20">
        <v>6</v>
      </c>
    </row>
    <row r="9" spans="1:20" x14ac:dyDescent="0.3">
      <c r="A9" s="18" t="s">
        <v>29</v>
      </c>
      <c r="B9" s="19">
        <v>0.44851999999999997</v>
      </c>
      <c r="C9" s="20">
        <v>8</v>
      </c>
      <c r="D9" s="19">
        <v>0.18523000000000001</v>
      </c>
      <c r="E9" s="20">
        <v>5</v>
      </c>
    </row>
    <row r="10" spans="1:20" x14ac:dyDescent="0.3">
      <c r="A10" s="18" t="s">
        <v>28</v>
      </c>
      <c r="B10" s="19">
        <v>0.45512000000000002</v>
      </c>
      <c r="C10" s="20">
        <v>4</v>
      </c>
      <c r="D10" s="19">
        <v>0.17327000000000001</v>
      </c>
      <c r="E10" s="20">
        <v>8</v>
      </c>
    </row>
    <row r="11" spans="1:20" x14ac:dyDescent="0.3">
      <c r="A11" s="18" t="s">
        <v>30</v>
      </c>
      <c r="B11" s="19">
        <v>0.44628000000000001</v>
      </c>
      <c r="C11" s="20">
        <v>9</v>
      </c>
      <c r="D11" s="19">
        <v>0.17018</v>
      </c>
      <c r="E11" s="20">
        <v>9</v>
      </c>
    </row>
    <row r="12" spans="1:20" ht="15" thickBot="1" x14ac:dyDescent="0.35">
      <c r="A12" s="21" t="s">
        <v>31</v>
      </c>
      <c r="B12" s="22">
        <v>0.43358999999999998</v>
      </c>
      <c r="C12" s="23">
        <v>10</v>
      </c>
      <c r="D12" s="22">
        <v>0.16635</v>
      </c>
      <c r="E12" s="23">
        <v>10</v>
      </c>
    </row>
    <row r="13" spans="1:20" ht="15.6" x14ac:dyDescent="0.3">
      <c r="A13" s="24"/>
      <c r="B13" s="25"/>
      <c r="C13" s="26"/>
      <c r="D13" s="25"/>
      <c r="E13" s="26"/>
    </row>
    <row r="14" spans="1:20" ht="15" thickBot="1" x14ac:dyDescent="0.35">
      <c r="A14" s="9" t="s">
        <v>32</v>
      </c>
      <c r="B14" s="25"/>
      <c r="C14" s="26"/>
      <c r="D14" s="25"/>
      <c r="E14" s="26"/>
      <c r="G14" s="10" t="s">
        <v>33</v>
      </c>
    </row>
    <row r="15" spans="1:20" ht="15" thickBot="1" x14ac:dyDescent="0.35">
      <c r="A15" s="12" t="s">
        <v>18</v>
      </c>
      <c r="B15" s="13" t="s">
        <v>19</v>
      </c>
      <c r="C15" s="13"/>
      <c r="D15" s="13" t="s">
        <v>20</v>
      </c>
      <c r="E15" s="13"/>
      <c r="G15" s="12" t="s">
        <v>18</v>
      </c>
      <c r="H15" s="13">
        <v>1</v>
      </c>
      <c r="I15" s="13">
        <v>2</v>
      </c>
      <c r="J15" s="13">
        <v>3</v>
      </c>
      <c r="K15" s="13">
        <v>4</v>
      </c>
      <c r="L15" s="13">
        <v>5</v>
      </c>
      <c r="M15" s="13">
        <v>6</v>
      </c>
      <c r="N15" s="13">
        <v>7</v>
      </c>
      <c r="O15" s="13">
        <v>8</v>
      </c>
      <c r="P15" s="13">
        <v>9</v>
      </c>
      <c r="Q15" s="13">
        <v>10</v>
      </c>
      <c r="R15" s="13" t="s">
        <v>34</v>
      </c>
      <c r="S15" s="13" t="s">
        <v>35</v>
      </c>
      <c r="T15" s="13" t="s">
        <v>316</v>
      </c>
    </row>
    <row r="16" spans="1:20" x14ac:dyDescent="0.3">
      <c r="A16" s="15" t="s">
        <v>36</v>
      </c>
      <c r="B16" s="16">
        <f>H3</f>
        <v>0.47895900000000002</v>
      </c>
      <c r="C16" s="17">
        <v>3</v>
      </c>
      <c r="D16" s="16">
        <f>K3</f>
        <v>0.22138099999999999</v>
      </c>
      <c r="E16" s="17">
        <v>2</v>
      </c>
      <c r="G16" s="15" t="str">
        <f>A16</f>
        <v>GBHS</v>
      </c>
      <c r="H16" s="27">
        <f t="shared" ref="H16:Q25" si="0">IF($C3=H$15,1,0)+IF($E3=H$15,1,0)+IF($C16=H$15,1,0)+IF($E16=H$15,1,0)</f>
        <v>0</v>
      </c>
      <c r="I16" s="27">
        <f t="shared" si="0"/>
        <v>2</v>
      </c>
      <c r="J16" s="27">
        <f t="shared" si="0"/>
        <v>1</v>
      </c>
      <c r="K16" s="27">
        <f t="shared" si="0"/>
        <v>0</v>
      </c>
      <c r="L16" s="27">
        <f t="shared" si="0"/>
        <v>1</v>
      </c>
      <c r="M16" s="27">
        <f t="shared" si="0"/>
        <v>0</v>
      </c>
      <c r="N16" s="27">
        <f t="shared" si="0"/>
        <v>0</v>
      </c>
      <c r="O16" s="27">
        <f t="shared" si="0"/>
        <v>0</v>
      </c>
      <c r="P16" s="27">
        <f t="shared" si="0"/>
        <v>0</v>
      </c>
      <c r="Q16" s="27">
        <f t="shared" si="0"/>
        <v>0</v>
      </c>
      <c r="R16" s="31">
        <f>(H16*(11-H$15)+I16*(11-I$15)+J16*(11-J$15)+K16*(11-K$15)+L16*(11-L$15)+M16*(11-M$15)+N16*(11-N$15)+O16*(11-O$15)+P16*(11-P$15)+Q16*(11-Q$15))/10</f>
        <v>3.2</v>
      </c>
      <c r="S16" s="45">
        <f>_xlfn.STDEV.P(C3,E3,C16,E16)</f>
        <v>1.2247448713915889</v>
      </c>
      <c r="T16" s="45">
        <f>AVERAGE(C3,E3,C16,E16)</f>
        <v>3</v>
      </c>
    </row>
    <row r="17" spans="1:20" x14ac:dyDescent="0.3">
      <c r="A17" s="18" t="s">
        <v>23</v>
      </c>
      <c r="B17" s="19">
        <v>0.48280000000000001</v>
      </c>
      <c r="C17" s="20">
        <v>2</v>
      </c>
      <c r="D17" s="19">
        <v>0.22839999999999999</v>
      </c>
      <c r="E17" s="20">
        <v>1</v>
      </c>
      <c r="G17" s="15" t="str">
        <f t="shared" ref="G17:G25" si="1">A17</f>
        <v xml:space="preserve">MA-SingleDocSum </v>
      </c>
      <c r="H17" s="28">
        <f t="shared" si="0"/>
        <v>2</v>
      </c>
      <c r="I17" s="28">
        <f t="shared" si="0"/>
        <v>1</v>
      </c>
      <c r="J17" s="28">
        <f t="shared" si="0"/>
        <v>0</v>
      </c>
      <c r="K17" s="28">
        <f t="shared" si="0"/>
        <v>0</v>
      </c>
      <c r="L17" s="28">
        <f t="shared" si="0"/>
        <v>0</v>
      </c>
      <c r="M17" s="28">
        <f t="shared" si="0"/>
        <v>0</v>
      </c>
      <c r="N17" s="28">
        <f t="shared" si="0"/>
        <v>1</v>
      </c>
      <c r="O17" s="28">
        <f t="shared" si="0"/>
        <v>0</v>
      </c>
      <c r="P17" s="28">
        <f t="shared" si="0"/>
        <v>0</v>
      </c>
      <c r="Q17" s="28">
        <f t="shared" si="0"/>
        <v>0</v>
      </c>
      <c r="R17" s="31">
        <f t="shared" ref="R17:R25" si="2">(H17*(11-H$15)+I17*(11-I$15)+J17*(11-J$15)+K17*(11-K$15)+L17*(11-L$15)+M17*(11-M$15)+N17*(11-N$15)+O17*(11-O$15)+P17*(11-P$15)+Q17*(11-Q$15))/10</f>
        <v>3.3</v>
      </c>
      <c r="S17" s="45">
        <f t="shared" ref="S17:S25" si="3">_xlfn.STDEV.P(C4,E4,C17,E17)</f>
        <v>2.4874685927665499</v>
      </c>
      <c r="T17" s="45">
        <f t="shared" ref="T17:T25" si="4">AVERAGE(C4,E4,C17,E17)</f>
        <v>2.75</v>
      </c>
    </row>
    <row r="18" spans="1:20" x14ac:dyDescent="0.3">
      <c r="A18" s="18" t="s">
        <v>24</v>
      </c>
      <c r="B18" s="19">
        <v>0.46694000000000002</v>
      </c>
      <c r="C18" s="20">
        <v>4</v>
      </c>
      <c r="D18" s="19">
        <v>0.12368</v>
      </c>
      <c r="E18" s="20">
        <v>6</v>
      </c>
      <c r="G18" s="15" t="str">
        <f t="shared" si="1"/>
        <v>DE</v>
      </c>
      <c r="H18" s="28">
        <f t="shared" si="0"/>
        <v>1</v>
      </c>
      <c r="I18" s="28">
        <f t="shared" si="0"/>
        <v>0</v>
      </c>
      <c r="J18" s="28">
        <f t="shared" si="0"/>
        <v>0</v>
      </c>
      <c r="K18" s="28">
        <f t="shared" si="0"/>
        <v>2</v>
      </c>
      <c r="L18" s="28">
        <f t="shared" si="0"/>
        <v>0</v>
      </c>
      <c r="M18" s="28">
        <f t="shared" si="0"/>
        <v>1</v>
      </c>
      <c r="N18" s="28">
        <f t="shared" si="0"/>
        <v>0</v>
      </c>
      <c r="O18" s="28">
        <f t="shared" si="0"/>
        <v>0</v>
      </c>
      <c r="P18" s="28">
        <f t="shared" si="0"/>
        <v>0</v>
      </c>
      <c r="Q18" s="28">
        <f t="shared" si="0"/>
        <v>0</v>
      </c>
      <c r="R18" s="31">
        <f t="shared" si="2"/>
        <v>2.9</v>
      </c>
      <c r="S18" s="45">
        <f t="shared" si="3"/>
        <v>1.7853571071357126</v>
      </c>
      <c r="T18" s="45">
        <f t="shared" si="4"/>
        <v>3.75</v>
      </c>
    </row>
    <row r="19" spans="1:20" x14ac:dyDescent="0.3">
      <c r="A19" s="18" t="s">
        <v>26</v>
      </c>
      <c r="B19" s="19">
        <v>0.46575</v>
      </c>
      <c r="C19" s="20">
        <v>5</v>
      </c>
      <c r="D19" s="19">
        <v>0.1249</v>
      </c>
      <c r="E19" s="20">
        <v>5</v>
      </c>
      <c r="G19" s="15" t="str">
        <f t="shared" si="1"/>
        <v>FEOM</v>
      </c>
      <c r="H19" s="28">
        <f t="shared" si="0"/>
        <v>0</v>
      </c>
      <c r="I19" s="28">
        <f t="shared" si="0"/>
        <v>1</v>
      </c>
      <c r="J19" s="28">
        <f t="shared" si="0"/>
        <v>1</v>
      </c>
      <c r="K19" s="28">
        <f t="shared" si="0"/>
        <v>0</v>
      </c>
      <c r="L19" s="28">
        <f t="shared" si="0"/>
        <v>2</v>
      </c>
      <c r="M19" s="28">
        <f t="shared" si="0"/>
        <v>0</v>
      </c>
      <c r="N19" s="28">
        <f t="shared" si="0"/>
        <v>0</v>
      </c>
      <c r="O19" s="28">
        <f t="shared" si="0"/>
        <v>0</v>
      </c>
      <c r="P19" s="28">
        <f t="shared" si="0"/>
        <v>0</v>
      </c>
      <c r="Q19" s="28">
        <f t="shared" si="0"/>
        <v>0</v>
      </c>
      <c r="R19" s="31">
        <f t="shared" si="2"/>
        <v>2.9</v>
      </c>
      <c r="S19" s="45">
        <f t="shared" si="3"/>
        <v>1.299038105676658</v>
      </c>
      <c r="T19" s="45">
        <f t="shared" si="4"/>
        <v>3.75</v>
      </c>
    </row>
    <row r="20" spans="1:20" x14ac:dyDescent="0.3">
      <c r="A20" s="18" t="s">
        <v>25</v>
      </c>
      <c r="B20" s="19">
        <v>0.48487000000000002</v>
      </c>
      <c r="C20" s="20">
        <v>1</v>
      </c>
      <c r="D20" s="19">
        <v>0.21462000000000001</v>
      </c>
      <c r="E20" s="20">
        <v>3</v>
      </c>
      <c r="G20" s="15" t="str">
        <f t="shared" si="1"/>
        <v>UnifiedRank</v>
      </c>
      <c r="H20" s="28">
        <f t="shared" si="0"/>
        <v>1</v>
      </c>
      <c r="I20" s="28">
        <f t="shared" si="0"/>
        <v>0</v>
      </c>
      <c r="J20" s="28">
        <f t="shared" si="0"/>
        <v>1</v>
      </c>
      <c r="K20" s="28">
        <f t="shared" si="0"/>
        <v>0</v>
      </c>
      <c r="L20" s="28">
        <f t="shared" si="0"/>
        <v>0</v>
      </c>
      <c r="M20" s="28">
        <f t="shared" si="0"/>
        <v>1</v>
      </c>
      <c r="N20" s="28">
        <f t="shared" si="0"/>
        <v>1</v>
      </c>
      <c r="O20" s="28">
        <f t="shared" si="0"/>
        <v>0</v>
      </c>
      <c r="P20" s="28">
        <f t="shared" si="0"/>
        <v>0</v>
      </c>
      <c r="Q20" s="28">
        <f t="shared" si="0"/>
        <v>0</v>
      </c>
      <c r="R20" s="31">
        <f t="shared" si="2"/>
        <v>2.7</v>
      </c>
      <c r="S20" s="45">
        <f t="shared" si="3"/>
        <v>2.384848003542364</v>
      </c>
      <c r="T20" s="45">
        <f t="shared" si="4"/>
        <v>4.25</v>
      </c>
    </row>
    <row r="21" spans="1:20" x14ac:dyDescent="0.3">
      <c r="A21" s="18" t="s">
        <v>27</v>
      </c>
      <c r="B21" s="19">
        <v>0.44962999999999997</v>
      </c>
      <c r="C21" s="20">
        <v>6</v>
      </c>
      <c r="D21" s="19">
        <v>0.11167000000000001</v>
      </c>
      <c r="E21" s="20">
        <v>7</v>
      </c>
      <c r="G21" s="15" t="str">
        <f t="shared" si="1"/>
        <v>NetSum</v>
      </c>
      <c r="H21" s="28">
        <f t="shared" si="0"/>
        <v>0</v>
      </c>
      <c r="I21" s="28">
        <f t="shared" si="0"/>
        <v>0</v>
      </c>
      <c r="J21" s="28">
        <f t="shared" si="0"/>
        <v>1</v>
      </c>
      <c r="K21" s="28">
        <f t="shared" si="0"/>
        <v>0</v>
      </c>
      <c r="L21" s="28">
        <f t="shared" si="0"/>
        <v>0</v>
      </c>
      <c r="M21" s="28">
        <f t="shared" si="0"/>
        <v>2</v>
      </c>
      <c r="N21" s="28">
        <f t="shared" si="0"/>
        <v>1</v>
      </c>
      <c r="O21" s="28">
        <f t="shared" si="0"/>
        <v>0</v>
      </c>
      <c r="P21" s="28">
        <f t="shared" si="0"/>
        <v>0</v>
      </c>
      <c r="Q21" s="28">
        <f t="shared" si="0"/>
        <v>0</v>
      </c>
      <c r="R21" s="31">
        <f t="shared" si="2"/>
        <v>2.2000000000000002</v>
      </c>
      <c r="S21" s="45">
        <f t="shared" si="3"/>
        <v>1.5</v>
      </c>
      <c r="T21" s="45">
        <f t="shared" si="4"/>
        <v>5.5</v>
      </c>
    </row>
    <row r="22" spans="1:20" x14ac:dyDescent="0.3">
      <c r="A22" s="18" t="s">
        <v>29</v>
      </c>
      <c r="B22" s="19">
        <v>0.44864999999999999</v>
      </c>
      <c r="C22" s="20">
        <v>7</v>
      </c>
      <c r="D22" s="19">
        <v>0.18765999999999999</v>
      </c>
      <c r="E22" s="20">
        <v>4</v>
      </c>
      <c r="G22" s="15" t="str">
        <f t="shared" si="1"/>
        <v>QSC</v>
      </c>
      <c r="H22" s="28">
        <f t="shared" si="0"/>
        <v>0</v>
      </c>
      <c r="I22" s="28">
        <f t="shared" si="0"/>
        <v>0</v>
      </c>
      <c r="J22" s="28">
        <f t="shared" si="0"/>
        <v>0</v>
      </c>
      <c r="K22" s="28">
        <f t="shared" si="0"/>
        <v>1</v>
      </c>
      <c r="L22" s="28">
        <f t="shared" si="0"/>
        <v>1</v>
      </c>
      <c r="M22" s="28">
        <f t="shared" si="0"/>
        <v>0</v>
      </c>
      <c r="N22" s="28">
        <f t="shared" si="0"/>
        <v>1</v>
      </c>
      <c r="O22" s="28">
        <f t="shared" si="0"/>
        <v>1</v>
      </c>
      <c r="P22" s="28">
        <f t="shared" si="0"/>
        <v>0</v>
      </c>
      <c r="Q22" s="28">
        <f t="shared" si="0"/>
        <v>0</v>
      </c>
      <c r="R22" s="31">
        <f t="shared" si="2"/>
        <v>2</v>
      </c>
      <c r="S22" s="45">
        <f t="shared" si="3"/>
        <v>1.5811388300841898</v>
      </c>
      <c r="T22" s="45">
        <f t="shared" si="4"/>
        <v>6</v>
      </c>
    </row>
    <row r="23" spans="1:20" x14ac:dyDescent="0.3">
      <c r="A23" s="18" t="s">
        <v>28</v>
      </c>
      <c r="B23" s="19">
        <v>0.44006000000000001</v>
      </c>
      <c r="C23" s="20">
        <v>8</v>
      </c>
      <c r="D23" s="19">
        <v>0.10924</v>
      </c>
      <c r="E23" s="20">
        <v>8</v>
      </c>
      <c r="G23" s="15" t="str">
        <f t="shared" si="1"/>
        <v>CRF</v>
      </c>
      <c r="H23" s="28">
        <f t="shared" si="0"/>
        <v>0</v>
      </c>
      <c r="I23" s="28">
        <f t="shared" si="0"/>
        <v>0</v>
      </c>
      <c r="J23" s="28">
        <f t="shared" si="0"/>
        <v>0</v>
      </c>
      <c r="K23" s="28">
        <f t="shared" si="0"/>
        <v>1</v>
      </c>
      <c r="L23" s="28">
        <f t="shared" si="0"/>
        <v>0</v>
      </c>
      <c r="M23" s="28">
        <f t="shared" si="0"/>
        <v>0</v>
      </c>
      <c r="N23" s="28">
        <f t="shared" si="0"/>
        <v>0</v>
      </c>
      <c r="O23" s="28">
        <f t="shared" si="0"/>
        <v>3</v>
      </c>
      <c r="P23" s="28">
        <f t="shared" si="0"/>
        <v>0</v>
      </c>
      <c r="Q23" s="28">
        <f t="shared" si="0"/>
        <v>0</v>
      </c>
      <c r="R23" s="31">
        <f t="shared" si="2"/>
        <v>1.6</v>
      </c>
      <c r="S23" s="45">
        <f t="shared" si="3"/>
        <v>1.7320508075688772</v>
      </c>
      <c r="T23" s="45">
        <f t="shared" si="4"/>
        <v>7</v>
      </c>
    </row>
    <row r="24" spans="1:20" x14ac:dyDescent="0.3">
      <c r="A24" s="18" t="s">
        <v>30</v>
      </c>
      <c r="B24" s="19">
        <v>0.43235000000000001</v>
      </c>
      <c r="C24" s="20">
        <v>9</v>
      </c>
      <c r="D24" s="19">
        <v>0.10867</v>
      </c>
      <c r="E24" s="20">
        <v>9</v>
      </c>
      <c r="G24" s="15" t="str">
        <f t="shared" si="1"/>
        <v>SVM</v>
      </c>
      <c r="H24" s="28">
        <f t="shared" si="0"/>
        <v>0</v>
      </c>
      <c r="I24" s="28">
        <f t="shared" si="0"/>
        <v>0</v>
      </c>
      <c r="J24" s="28">
        <f t="shared" si="0"/>
        <v>0</v>
      </c>
      <c r="K24" s="28">
        <f t="shared" si="0"/>
        <v>0</v>
      </c>
      <c r="L24" s="28">
        <f t="shared" si="0"/>
        <v>0</v>
      </c>
      <c r="M24" s="28">
        <f t="shared" si="0"/>
        <v>0</v>
      </c>
      <c r="N24" s="28">
        <f t="shared" si="0"/>
        <v>0</v>
      </c>
      <c r="O24" s="28">
        <f t="shared" si="0"/>
        <v>0</v>
      </c>
      <c r="P24" s="28">
        <f t="shared" si="0"/>
        <v>4</v>
      </c>
      <c r="Q24" s="28">
        <f t="shared" si="0"/>
        <v>0</v>
      </c>
      <c r="R24" s="31">
        <f t="shared" si="2"/>
        <v>0.8</v>
      </c>
      <c r="S24" s="45">
        <f t="shared" si="3"/>
        <v>0</v>
      </c>
      <c r="T24" s="45">
        <f t="shared" si="4"/>
        <v>9</v>
      </c>
    </row>
    <row r="25" spans="1:20" ht="15" thickBot="1" x14ac:dyDescent="0.35">
      <c r="A25" s="21" t="s">
        <v>31</v>
      </c>
      <c r="B25" s="22">
        <v>0.42325000000000002</v>
      </c>
      <c r="C25" s="23">
        <v>10</v>
      </c>
      <c r="D25" s="22">
        <v>0.10677</v>
      </c>
      <c r="E25" s="23">
        <v>10</v>
      </c>
      <c r="G25" s="21" t="str">
        <f t="shared" si="1"/>
        <v>Manifold Ranking</v>
      </c>
      <c r="H25" s="29">
        <f t="shared" si="0"/>
        <v>0</v>
      </c>
      <c r="I25" s="29">
        <f t="shared" si="0"/>
        <v>0</v>
      </c>
      <c r="J25" s="29">
        <f t="shared" si="0"/>
        <v>0</v>
      </c>
      <c r="K25" s="29">
        <f t="shared" si="0"/>
        <v>0</v>
      </c>
      <c r="L25" s="29">
        <f t="shared" si="0"/>
        <v>0</v>
      </c>
      <c r="M25" s="29">
        <f t="shared" si="0"/>
        <v>0</v>
      </c>
      <c r="N25" s="29">
        <f t="shared" si="0"/>
        <v>0</v>
      </c>
      <c r="O25" s="29">
        <f t="shared" si="0"/>
        <v>0</v>
      </c>
      <c r="P25" s="29">
        <f t="shared" si="0"/>
        <v>0</v>
      </c>
      <c r="Q25" s="29">
        <f t="shared" si="0"/>
        <v>4</v>
      </c>
      <c r="R25" s="29">
        <f t="shared" si="2"/>
        <v>0.4</v>
      </c>
      <c r="S25" s="46">
        <f t="shared" si="3"/>
        <v>0</v>
      </c>
      <c r="T25" s="46">
        <f t="shared" si="4"/>
        <v>10</v>
      </c>
    </row>
    <row r="26" spans="1:20" ht="15.6" x14ac:dyDescent="0.3">
      <c r="A26" s="30"/>
    </row>
    <row r="28" spans="1:20" x14ac:dyDescent="0.3">
      <c r="A28" s="54"/>
      <c r="B28" s="55"/>
      <c r="C28" s="56"/>
      <c r="D28" s="55"/>
      <c r="E28" s="56"/>
    </row>
    <row r="29" spans="1:20" x14ac:dyDescent="0.3">
      <c r="A29" s="54"/>
      <c r="B29" s="55"/>
      <c r="C29" s="56"/>
      <c r="D29" s="55"/>
      <c r="E29" s="5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hisWorkbook.OrdenarPuestos">
                <anchor moveWithCells="1">
                  <from>
                    <xdr:col>6</xdr:col>
                    <xdr:colOff>114300</xdr:colOff>
                    <xdr:row>10</xdr:row>
                    <xdr:rowOff>45720</xdr:rowOff>
                  </from>
                  <to>
                    <xdr:col>6</xdr:col>
                    <xdr:colOff>891540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T27"/>
  <sheetViews>
    <sheetView showGridLines="0" workbookViewId="0">
      <selection activeCell="E23" sqref="E23"/>
    </sheetView>
  </sheetViews>
  <sheetFormatPr baseColWidth="10" defaultRowHeight="14.4" x14ac:dyDescent="0.3"/>
  <cols>
    <col min="1" max="1" width="17.88671875" style="10" customWidth="1"/>
    <col min="2" max="5" width="11.5546875" style="10"/>
    <col min="6" max="6" width="11.5546875" style="11"/>
    <col min="7" max="7" width="15.21875" style="10" customWidth="1"/>
    <col min="8" max="18" width="4.77734375" style="10" customWidth="1"/>
    <col min="19" max="19" width="11.5546875" style="10"/>
    <col min="20" max="20" width="8.44140625" style="10" customWidth="1"/>
    <col min="21" max="16384" width="11.5546875" style="10"/>
  </cols>
  <sheetData>
    <row r="1" spans="1:20" ht="15" thickBot="1" x14ac:dyDescent="0.35">
      <c r="A1" s="9" t="s">
        <v>17</v>
      </c>
      <c r="G1" s="11"/>
      <c r="H1" t="s">
        <v>0</v>
      </c>
      <c r="I1" t="s">
        <v>4</v>
      </c>
      <c r="J1" t="s">
        <v>5</v>
      </c>
      <c r="K1" t="s">
        <v>1</v>
      </c>
      <c r="L1" t="s">
        <v>2</v>
      </c>
      <c r="M1" t="s">
        <v>3</v>
      </c>
      <c r="N1" t="s">
        <v>6</v>
      </c>
      <c r="O1" t="s">
        <v>7</v>
      </c>
      <c r="P1" t="s">
        <v>8</v>
      </c>
    </row>
    <row r="2" spans="1:20" ht="15" thickBot="1" x14ac:dyDescent="0.35">
      <c r="A2" s="12" t="s">
        <v>18</v>
      </c>
      <c r="B2" s="13" t="s">
        <v>19</v>
      </c>
      <c r="C2" s="13"/>
      <c r="D2" s="13" t="s">
        <v>20</v>
      </c>
      <c r="E2" s="13"/>
      <c r="G2" s="14" t="s">
        <v>21</v>
      </c>
      <c r="H2" s="48">
        <f>'DUC2001'!B2</f>
        <v>0.45427299999999998</v>
      </c>
      <c r="I2" s="49">
        <f>'DUC2001'!C2</f>
        <v>0.45416000000000001</v>
      </c>
      <c r="J2" s="49">
        <f>'DUC2001'!D2</f>
        <v>0.45385500000000001</v>
      </c>
      <c r="K2" s="48">
        <f>'DUC2001'!E2</f>
        <v>0.195911</v>
      </c>
      <c r="L2" s="49">
        <f>'DUC2001'!F2</f>
        <v>0.19584599999999999</v>
      </c>
      <c r="M2" s="49">
        <f>'DUC2001'!G2</f>
        <v>0.19573133333333301</v>
      </c>
      <c r="N2" s="49">
        <f>'DUC2001'!H2</f>
        <v>0.22124466666666701</v>
      </c>
      <c r="O2" s="49">
        <f>'DUC2001'!I2</f>
        <v>0.22118933333333299</v>
      </c>
      <c r="P2" s="49">
        <f>'DUC2001'!J2</f>
        <v>0.221042666666667</v>
      </c>
      <c r="R2" s="10" t="str">
        <f>'DUC2001'!A2</f>
        <v>2015-06-16-01-01-Exp-30-P-100-0-0-C-B-110-1600-MASDS-0.52-0.00-0.28-0.00-0.20-GBHS-10-0.85-0.01-0.99-0.4-5.xlsx</v>
      </c>
    </row>
    <row r="3" spans="1:20" x14ac:dyDescent="0.3">
      <c r="A3" s="15" t="s">
        <v>36</v>
      </c>
      <c r="B3" s="16">
        <f>H2</f>
        <v>0.45427299999999998</v>
      </c>
      <c r="C3" s="17">
        <v>5</v>
      </c>
      <c r="D3" s="16">
        <f>K2</f>
        <v>0.195911</v>
      </c>
      <c r="E3" s="17">
        <v>1</v>
      </c>
      <c r="G3" s="11" t="s">
        <v>22</v>
      </c>
      <c r="H3" s="48">
        <f>'DUC2002'!B2</f>
        <v>0.47895900000000002</v>
      </c>
      <c r="I3" s="40">
        <f>'DUC2002'!C2</f>
        <v>0.48256500000000002</v>
      </c>
      <c r="J3" s="40">
        <f>'DUC2002'!D2</f>
        <v>0.480607333333333</v>
      </c>
      <c r="K3" s="48">
        <f>'DUC2002'!E2</f>
        <v>0.22138099999999999</v>
      </c>
      <c r="L3" s="40">
        <f>'DUC2002'!F2</f>
        <v>0.22276133333333301</v>
      </c>
      <c r="M3" s="40">
        <f>'DUC2002'!G2</f>
        <v>0.22199833333333299</v>
      </c>
      <c r="N3" s="40">
        <f>'DUC2002'!H2</f>
        <v>0.23962866666666699</v>
      </c>
      <c r="O3" s="40">
        <f>'DUC2002'!I2</f>
        <v>0.24127399999999999</v>
      </c>
      <c r="P3" s="40">
        <f>'DUC2002'!J2</f>
        <v>0.24037233333333299</v>
      </c>
      <c r="R3" s="10" t="str">
        <f>'DUC2002'!A2</f>
        <v>2015-06-12-12-35-Exp-30-P-100-0-0-C-B-110-1600-MASDS-0.52-0.00-0.28-0.00-0.20-GBHS-10-0.85-0.01-0.99-0.4-5.xlsx</v>
      </c>
    </row>
    <row r="4" spans="1:20" x14ac:dyDescent="0.3">
      <c r="A4" s="18" t="s">
        <v>24</v>
      </c>
      <c r="B4" s="19">
        <v>0.47855999999999999</v>
      </c>
      <c r="C4" s="20">
        <v>1</v>
      </c>
      <c r="D4" s="19">
        <v>0.18528</v>
      </c>
      <c r="E4" s="20">
        <v>3</v>
      </c>
    </row>
    <row r="5" spans="1:20" x14ac:dyDescent="0.3">
      <c r="A5" s="18" t="s">
        <v>26</v>
      </c>
      <c r="B5" s="19">
        <v>0.47727999999999998</v>
      </c>
      <c r="C5" s="20">
        <v>2</v>
      </c>
      <c r="D5" s="19">
        <v>0.18548999999999999</v>
      </c>
      <c r="E5" s="20">
        <v>2</v>
      </c>
    </row>
    <row r="6" spans="1:20" x14ac:dyDescent="0.3">
      <c r="A6" s="18" t="s">
        <v>25</v>
      </c>
      <c r="B6" s="19">
        <v>0.45377000000000001</v>
      </c>
      <c r="C6" s="20">
        <v>6</v>
      </c>
      <c r="D6" s="19">
        <v>0.17646000000000001</v>
      </c>
      <c r="E6" s="20">
        <v>6</v>
      </c>
      <c r="G6" s="32"/>
      <c r="H6" s="33"/>
    </row>
    <row r="7" spans="1:20" x14ac:dyDescent="0.3">
      <c r="A7" s="18" t="s">
        <v>27</v>
      </c>
      <c r="B7" s="19">
        <v>0.46427000000000002</v>
      </c>
      <c r="C7" s="20">
        <v>3</v>
      </c>
      <c r="D7" s="19">
        <v>0.17696999999999999</v>
      </c>
      <c r="E7" s="20">
        <v>5</v>
      </c>
    </row>
    <row r="8" spans="1:20" x14ac:dyDescent="0.3">
      <c r="A8" s="18" t="s">
        <v>29</v>
      </c>
      <c r="B8" s="19">
        <v>0.44851999999999997</v>
      </c>
      <c r="C8" s="20">
        <v>7</v>
      </c>
      <c r="D8" s="19">
        <v>0.18523000000000001</v>
      </c>
      <c r="E8" s="20">
        <v>4</v>
      </c>
    </row>
    <row r="9" spans="1:20" x14ac:dyDescent="0.3">
      <c r="A9" s="18" t="s">
        <v>28</v>
      </c>
      <c r="B9" s="19">
        <v>0.45512000000000002</v>
      </c>
      <c r="C9" s="20">
        <v>4</v>
      </c>
      <c r="D9" s="19">
        <v>0.17327000000000001</v>
      </c>
      <c r="E9" s="20">
        <v>7</v>
      </c>
    </row>
    <row r="10" spans="1:20" x14ac:dyDescent="0.3">
      <c r="A10" s="18" t="s">
        <v>30</v>
      </c>
      <c r="B10" s="19">
        <v>0.44628000000000001</v>
      </c>
      <c r="C10" s="20">
        <v>8</v>
      </c>
      <c r="D10" s="19">
        <v>0.17018</v>
      </c>
      <c r="E10" s="20">
        <v>8</v>
      </c>
    </row>
    <row r="11" spans="1:20" ht="15" thickBot="1" x14ac:dyDescent="0.35">
      <c r="A11" s="21" t="s">
        <v>31</v>
      </c>
      <c r="B11" s="22">
        <v>0.43358999999999998</v>
      </c>
      <c r="C11" s="23">
        <v>9</v>
      </c>
      <c r="D11" s="22">
        <v>0.16635</v>
      </c>
      <c r="E11" s="23">
        <v>9</v>
      </c>
    </row>
    <row r="12" spans="1:20" ht="15.6" x14ac:dyDescent="0.3">
      <c r="A12" s="24"/>
      <c r="B12" s="25"/>
      <c r="C12" s="26"/>
      <c r="D12" s="25"/>
      <c r="E12" s="26"/>
    </row>
    <row r="13" spans="1:20" ht="15" thickBot="1" x14ac:dyDescent="0.35">
      <c r="A13" s="9" t="s">
        <v>32</v>
      </c>
      <c r="B13" s="25"/>
      <c r="C13" s="26"/>
      <c r="D13" s="25"/>
      <c r="E13" s="26"/>
      <c r="G13" s="10" t="s">
        <v>33</v>
      </c>
    </row>
    <row r="14" spans="1:20" ht="15" thickBot="1" x14ac:dyDescent="0.35">
      <c r="A14" s="12" t="s">
        <v>18</v>
      </c>
      <c r="B14" s="13" t="s">
        <v>19</v>
      </c>
      <c r="C14" s="13"/>
      <c r="D14" s="13" t="s">
        <v>20</v>
      </c>
      <c r="E14" s="13"/>
      <c r="G14" s="12" t="s">
        <v>18</v>
      </c>
      <c r="H14" s="13">
        <v>1</v>
      </c>
      <c r="I14" s="13">
        <v>2</v>
      </c>
      <c r="J14" s="13">
        <v>3</v>
      </c>
      <c r="K14" s="13">
        <v>4</v>
      </c>
      <c r="L14" s="13">
        <v>5</v>
      </c>
      <c r="M14" s="13">
        <v>6</v>
      </c>
      <c r="N14" s="13">
        <v>7</v>
      </c>
      <c r="O14" s="13">
        <v>8</v>
      </c>
      <c r="P14" s="13">
        <v>9</v>
      </c>
      <c r="Q14" s="13">
        <v>10</v>
      </c>
      <c r="R14" s="13" t="s">
        <v>34</v>
      </c>
      <c r="S14" s="13" t="s">
        <v>35</v>
      </c>
      <c r="T14" s="13" t="s">
        <v>316</v>
      </c>
    </row>
    <row r="15" spans="1:20" x14ac:dyDescent="0.3">
      <c r="A15" s="15" t="s">
        <v>36</v>
      </c>
      <c r="B15" s="16">
        <f>H3</f>
        <v>0.47895900000000002</v>
      </c>
      <c r="C15" s="17">
        <v>2</v>
      </c>
      <c r="D15" s="16">
        <f>K3</f>
        <v>0.22138099999999999</v>
      </c>
      <c r="E15" s="17">
        <v>1</v>
      </c>
      <c r="G15" s="15" t="str">
        <f>A15</f>
        <v>GBHS</v>
      </c>
      <c r="H15" s="27">
        <f t="shared" ref="H15:Q15" si="0">IF($C3=H$14,1,0)+IF($E3=H$14,1,0)+IF($C15=H$14,1,0)+IF($E15=H$14,1,0)</f>
        <v>2</v>
      </c>
      <c r="I15" s="27">
        <f t="shared" si="0"/>
        <v>1</v>
      </c>
      <c r="J15" s="27">
        <f t="shared" si="0"/>
        <v>0</v>
      </c>
      <c r="K15" s="27">
        <f t="shared" si="0"/>
        <v>0</v>
      </c>
      <c r="L15" s="27">
        <f t="shared" si="0"/>
        <v>1</v>
      </c>
      <c r="M15" s="27">
        <f t="shared" si="0"/>
        <v>0</v>
      </c>
      <c r="N15" s="27">
        <f t="shared" si="0"/>
        <v>0</v>
      </c>
      <c r="O15" s="27">
        <f t="shared" si="0"/>
        <v>0</v>
      </c>
      <c r="P15" s="27">
        <f t="shared" si="0"/>
        <v>0</v>
      </c>
      <c r="Q15" s="27">
        <f t="shared" si="0"/>
        <v>0</v>
      </c>
      <c r="R15" s="31">
        <f t="shared" ref="R15:R23" si="1">(H15*(10-H$14)+I15*(10-I$14)+J15*(10-J$14)+K15*(10-K$14)+L15*(10-L$14)+M15*(10-M$14)+N15*(10-N$14)+O15*(10-O$14)+P15*(10-P$14)+Q15*(10-Q$14))/9</f>
        <v>3.4444444444444446</v>
      </c>
      <c r="S15" s="45">
        <f t="shared" ref="S15:S23" si="2">_xlfn.STDEV.P(C3,E3,C15,E15)</f>
        <v>1.6393596310755001</v>
      </c>
      <c r="T15" s="45">
        <f t="shared" ref="T15:T23" si="3">AVERAGE(C3,E3,C15,E15)</f>
        <v>2.25</v>
      </c>
    </row>
    <row r="16" spans="1:20" x14ac:dyDescent="0.3">
      <c r="A16" s="18" t="s">
        <v>24</v>
      </c>
      <c r="B16" s="19">
        <v>0.46694000000000002</v>
      </c>
      <c r="C16" s="20">
        <v>3</v>
      </c>
      <c r="D16" s="19">
        <v>0.12368</v>
      </c>
      <c r="E16" s="20">
        <v>5</v>
      </c>
      <c r="G16" s="15" t="str">
        <f t="shared" ref="G16:G23" si="4">A16</f>
        <v>DE</v>
      </c>
      <c r="H16" s="28">
        <f t="shared" ref="H16:Q16" si="5">IF($C4=H$14,1,0)+IF($E4=H$14,1,0)+IF($C16=H$14,1,0)+IF($E16=H$14,1,0)</f>
        <v>1</v>
      </c>
      <c r="I16" s="28">
        <f t="shared" si="5"/>
        <v>0</v>
      </c>
      <c r="J16" s="28">
        <f t="shared" si="5"/>
        <v>2</v>
      </c>
      <c r="K16" s="28">
        <f t="shared" si="5"/>
        <v>0</v>
      </c>
      <c r="L16" s="28">
        <f t="shared" si="5"/>
        <v>1</v>
      </c>
      <c r="M16" s="28">
        <f t="shared" si="5"/>
        <v>0</v>
      </c>
      <c r="N16" s="28">
        <f t="shared" si="5"/>
        <v>0</v>
      </c>
      <c r="O16" s="28">
        <f t="shared" si="5"/>
        <v>0</v>
      </c>
      <c r="P16" s="28">
        <f t="shared" si="5"/>
        <v>0</v>
      </c>
      <c r="Q16" s="28">
        <f t="shared" si="5"/>
        <v>0</v>
      </c>
      <c r="R16" s="31">
        <f t="shared" si="1"/>
        <v>3.1111111111111112</v>
      </c>
      <c r="S16" s="45">
        <f t="shared" si="2"/>
        <v>1.4142135623730951</v>
      </c>
      <c r="T16" s="45">
        <f t="shared" si="3"/>
        <v>3</v>
      </c>
    </row>
    <row r="17" spans="1:20" x14ac:dyDescent="0.3">
      <c r="A17" s="18" t="s">
        <v>26</v>
      </c>
      <c r="B17" s="19">
        <v>0.46575</v>
      </c>
      <c r="C17" s="20">
        <v>4</v>
      </c>
      <c r="D17" s="19">
        <v>0.1249</v>
      </c>
      <c r="E17" s="20">
        <v>4</v>
      </c>
      <c r="G17" s="15" t="str">
        <f t="shared" si="4"/>
        <v>FEOM</v>
      </c>
      <c r="H17" s="28">
        <f t="shared" ref="H17:Q17" si="6">IF($C5=H$14,1,0)+IF($E5=H$14,1,0)+IF($C17=H$14,1,0)+IF($E17=H$14,1,0)</f>
        <v>0</v>
      </c>
      <c r="I17" s="28">
        <f t="shared" si="6"/>
        <v>2</v>
      </c>
      <c r="J17" s="28">
        <f t="shared" si="6"/>
        <v>0</v>
      </c>
      <c r="K17" s="28">
        <f t="shared" si="6"/>
        <v>2</v>
      </c>
      <c r="L17" s="28">
        <f t="shared" si="6"/>
        <v>0</v>
      </c>
      <c r="M17" s="28">
        <f t="shared" si="6"/>
        <v>0</v>
      </c>
      <c r="N17" s="28">
        <f t="shared" si="6"/>
        <v>0</v>
      </c>
      <c r="O17" s="28">
        <f t="shared" si="6"/>
        <v>0</v>
      </c>
      <c r="P17" s="28">
        <f t="shared" si="6"/>
        <v>0</v>
      </c>
      <c r="Q17" s="28">
        <f t="shared" si="6"/>
        <v>0</v>
      </c>
      <c r="R17" s="31">
        <f t="shared" si="1"/>
        <v>3.1111111111111112</v>
      </c>
      <c r="S17" s="45">
        <f t="shared" si="2"/>
        <v>1</v>
      </c>
      <c r="T17" s="45">
        <f t="shared" si="3"/>
        <v>3</v>
      </c>
    </row>
    <row r="18" spans="1:20" x14ac:dyDescent="0.3">
      <c r="A18" s="18" t="s">
        <v>25</v>
      </c>
      <c r="B18" s="19">
        <v>0.48487000000000002</v>
      </c>
      <c r="C18" s="20">
        <v>1</v>
      </c>
      <c r="D18" s="19">
        <v>0.21462000000000001</v>
      </c>
      <c r="E18" s="20">
        <v>2</v>
      </c>
      <c r="G18" s="15" t="str">
        <f t="shared" si="4"/>
        <v>UnifiedRank</v>
      </c>
      <c r="H18" s="28">
        <f t="shared" ref="H18:Q18" si="7">IF($C6=H$14,1,0)+IF($E6=H$14,1,0)+IF($C18=H$14,1,0)+IF($E18=H$14,1,0)</f>
        <v>1</v>
      </c>
      <c r="I18" s="28">
        <f t="shared" si="7"/>
        <v>1</v>
      </c>
      <c r="J18" s="28">
        <f t="shared" si="7"/>
        <v>0</v>
      </c>
      <c r="K18" s="28">
        <f t="shared" si="7"/>
        <v>0</v>
      </c>
      <c r="L18" s="28">
        <f t="shared" si="7"/>
        <v>0</v>
      </c>
      <c r="M18" s="28">
        <f t="shared" si="7"/>
        <v>2</v>
      </c>
      <c r="N18" s="28">
        <f t="shared" si="7"/>
        <v>0</v>
      </c>
      <c r="O18" s="28">
        <f t="shared" si="7"/>
        <v>0</v>
      </c>
      <c r="P18" s="28">
        <f t="shared" si="7"/>
        <v>0</v>
      </c>
      <c r="Q18" s="28">
        <f t="shared" si="7"/>
        <v>0</v>
      </c>
      <c r="R18" s="31">
        <f t="shared" si="1"/>
        <v>2.7777777777777777</v>
      </c>
      <c r="S18" s="45">
        <f t="shared" si="2"/>
        <v>2.2776083947860748</v>
      </c>
      <c r="T18" s="45">
        <f t="shared" si="3"/>
        <v>3.75</v>
      </c>
    </row>
    <row r="19" spans="1:20" x14ac:dyDescent="0.3">
      <c r="A19" s="18" t="s">
        <v>27</v>
      </c>
      <c r="B19" s="19">
        <v>0.44962999999999997</v>
      </c>
      <c r="C19" s="20">
        <v>5</v>
      </c>
      <c r="D19" s="19">
        <v>0.11167000000000001</v>
      </c>
      <c r="E19" s="20">
        <v>6</v>
      </c>
      <c r="G19" s="15" t="str">
        <f t="shared" si="4"/>
        <v>NetSum</v>
      </c>
      <c r="H19" s="28">
        <f t="shared" ref="H19:Q19" si="8">IF($C7=H$14,1,0)+IF($E7=H$14,1,0)+IF($C19=H$14,1,0)+IF($E19=H$14,1,0)</f>
        <v>0</v>
      </c>
      <c r="I19" s="28">
        <f t="shared" si="8"/>
        <v>0</v>
      </c>
      <c r="J19" s="28">
        <f t="shared" si="8"/>
        <v>1</v>
      </c>
      <c r="K19" s="28">
        <f t="shared" si="8"/>
        <v>0</v>
      </c>
      <c r="L19" s="28">
        <f t="shared" si="8"/>
        <v>2</v>
      </c>
      <c r="M19" s="28">
        <f t="shared" si="8"/>
        <v>1</v>
      </c>
      <c r="N19" s="28">
        <f t="shared" si="8"/>
        <v>0</v>
      </c>
      <c r="O19" s="28">
        <f t="shared" si="8"/>
        <v>0</v>
      </c>
      <c r="P19" s="28">
        <f t="shared" si="8"/>
        <v>0</v>
      </c>
      <c r="Q19" s="28">
        <f t="shared" si="8"/>
        <v>0</v>
      </c>
      <c r="R19" s="31">
        <f t="shared" si="1"/>
        <v>2.3333333333333335</v>
      </c>
      <c r="S19" s="45">
        <f t="shared" si="2"/>
        <v>1.0897247358851685</v>
      </c>
      <c r="T19" s="45">
        <f t="shared" si="3"/>
        <v>4.75</v>
      </c>
    </row>
    <row r="20" spans="1:20" x14ac:dyDescent="0.3">
      <c r="A20" s="18" t="s">
        <v>29</v>
      </c>
      <c r="B20" s="19">
        <v>0.44864999999999999</v>
      </c>
      <c r="C20" s="20">
        <v>6</v>
      </c>
      <c r="D20" s="19">
        <v>0.18765999999999999</v>
      </c>
      <c r="E20" s="20">
        <v>3</v>
      </c>
      <c r="G20" s="15" t="str">
        <f t="shared" si="4"/>
        <v>QSC</v>
      </c>
      <c r="H20" s="28">
        <f t="shared" ref="H20:Q20" si="9">IF($C8=H$14,1,0)+IF($E8=H$14,1,0)+IF($C20=H$14,1,0)+IF($E20=H$14,1,0)</f>
        <v>0</v>
      </c>
      <c r="I20" s="28">
        <f t="shared" si="9"/>
        <v>0</v>
      </c>
      <c r="J20" s="28">
        <f t="shared" si="9"/>
        <v>1</v>
      </c>
      <c r="K20" s="28">
        <f t="shared" si="9"/>
        <v>1</v>
      </c>
      <c r="L20" s="28">
        <f t="shared" si="9"/>
        <v>0</v>
      </c>
      <c r="M20" s="28">
        <f t="shared" si="9"/>
        <v>1</v>
      </c>
      <c r="N20" s="28">
        <f t="shared" si="9"/>
        <v>1</v>
      </c>
      <c r="O20" s="28">
        <f t="shared" si="9"/>
        <v>0</v>
      </c>
      <c r="P20" s="28">
        <f t="shared" si="9"/>
        <v>0</v>
      </c>
      <c r="Q20" s="28">
        <f t="shared" si="9"/>
        <v>0</v>
      </c>
      <c r="R20" s="31">
        <f t="shared" si="1"/>
        <v>2.2222222222222223</v>
      </c>
      <c r="S20" s="45">
        <f t="shared" si="2"/>
        <v>1.5811388300841898</v>
      </c>
      <c r="T20" s="45">
        <f t="shared" si="3"/>
        <v>5</v>
      </c>
    </row>
    <row r="21" spans="1:20" x14ac:dyDescent="0.3">
      <c r="A21" s="18" t="s">
        <v>28</v>
      </c>
      <c r="B21" s="19">
        <v>0.44006000000000001</v>
      </c>
      <c r="C21" s="20">
        <v>7</v>
      </c>
      <c r="D21" s="19">
        <v>0.10924</v>
      </c>
      <c r="E21" s="20">
        <v>7</v>
      </c>
      <c r="G21" s="15" t="str">
        <f t="shared" si="4"/>
        <v>CRF</v>
      </c>
      <c r="H21" s="28">
        <f t="shared" ref="H21:Q21" si="10">IF($C9=H$14,1,0)+IF($E9=H$14,1,0)+IF($C21=H$14,1,0)+IF($E21=H$14,1,0)</f>
        <v>0</v>
      </c>
      <c r="I21" s="28">
        <f t="shared" si="10"/>
        <v>0</v>
      </c>
      <c r="J21" s="28">
        <f t="shared" si="10"/>
        <v>0</v>
      </c>
      <c r="K21" s="28">
        <f t="shared" si="10"/>
        <v>1</v>
      </c>
      <c r="L21" s="28">
        <f t="shared" si="10"/>
        <v>0</v>
      </c>
      <c r="M21" s="28">
        <f t="shared" si="10"/>
        <v>0</v>
      </c>
      <c r="N21" s="28">
        <f t="shared" si="10"/>
        <v>3</v>
      </c>
      <c r="O21" s="28">
        <f t="shared" si="10"/>
        <v>0</v>
      </c>
      <c r="P21" s="28">
        <f t="shared" si="10"/>
        <v>0</v>
      </c>
      <c r="Q21" s="28">
        <f t="shared" si="10"/>
        <v>0</v>
      </c>
      <c r="R21" s="31">
        <f t="shared" si="1"/>
        <v>1.6666666666666667</v>
      </c>
      <c r="S21" s="45">
        <f t="shared" si="2"/>
        <v>1.299038105676658</v>
      </c>
      <c r="T21" s="45">
        <f t="shared" si="3"/>
        <v>6.25</v>
      </c>
    </row>
    <row r="22" spans="1:20" x14ac:dyDescent="0.3">
      <c r="A22" s="18" t="s">
        <v>30</v>
      </c>
      <c r="B22" s="19">
        <v>0.43235000000000001</v>
      </c>
      <c r="C22" s="20">
        <v>8</v>
      </c>
      <c r="D22" s="19">
        <v>0.10867</v>
      </c>
      <c r="E22" s="20">
        <v>8</v>
      </c>
      <c r="G22" s="15" t="str">
        <f t="shared" si="4"/>
        <v>SVM</v>
      </c>
      <c r="H22" s="28">
        <f t="shared" ref="H22:Q22" si="11">IF($C10=H$14,1,0)+IF($E10=H$14,1,0)+IF($C22=H$14,1,0)+IF($E22=H$14,1,0)</f>
        <v>0</v>
      </c>
      <c r="I22" s="28">
        <f t="shared" si="11"/>
        <v>0</v>
      </c>
      <c r="J22" s="28">
        <f t="shared" si="11"/>
        <v>0</v>
      </c>
      <c r="K22" s="28">
        <f t="shared" si="11"/>
        <v>0</v>
      </c>
      <c r="L22" s="28">
        <f t="shared" si="11"/>
        <v>0</v>
      </c>
      <c r="M22" s="28">
        <f t="shared" si="11"/>
        <v>0</v>
      </c>
      <c r="N22" s="28">
        <f t="shared" si="11"/>
        <v>0</v>
      </c>
      <c r="O22" s="28">
        <f t="shared" si="11"/>
        <v>4</v>
      </c>
      <c r="P22" s="28">
        <f t="shared" si="11"/>
        <v>0</v>
      </c>
      <c r="Q22" s="28">
        <f t="shared" si="11"/>
        <v>0</v>
      </c>
      <c r="R22" s="31">
        <f t="shared" si="1"/>
        <v>0.88888888888888884</v>
      </c>
      <c r="S22" s="45">
        <f t="shared" si="2"/>
        <v>0</v>
      </c>
      <c r="T22" s="45">
        <f t="shared" si="3"/>
        <v>8</v>
      </c>
    </row>
    <row r="23" spans="1:20" ht="15" thickBot="1" x14ac:dyDescent="0.35">
      <c r="A23" s="21" t="s">
        <v>31</v>
      </c>
      <c r="B23" s="22">
        <v>0.42325000000000002</v>
      </c>
      <c r="C23" s="23">
        <v>9</v>
      </c>
      <c r="D23" s="22">
        <v>0.10677</v>
      </c>
      <c r="E23" s="23">
        <v>9</v>
      </c>
      <c r="G23" s="21" t="str">
        <f t="shared" si="4"/>
        <v>Manifold Ranking</v>
      </c>
      <c r="H23" s="29">
        <f t="shared" ref="H23:Q23" si="12">IF($C11=H$14,1,0)+IF($E11=H$14,1,0)+IF($C23=H$14,1,0)+IF($E23=H$14,1,0)</f>
        <v>0</v>
      </c>
      <c r="I23" s="29">
        <f t="shared" si="12"/>
        <v>0</v>
      </c>
      <c r="J23" s="29">
        <f t="shared" si="12"/>
        <v>0</v>
      </c>
      <c r="K23" s="29">
        <f t="shared" si="12"/>
        <v>0</v>
      </c>
      <c r="L23" s="29">
        <f t="shared" si="12"/>
        <v>0</v>
      </c>
      <c r="M23" s="29">
        <f t="shared" si="12"/>
        <v>0</v>
      </c>
      <c r="N23" s="29">
        <f t="shared" si="12"/>
        <v>0</v>
      </c>
      <c r="O23" s="29">
        <f t="shared" si="12"/>
        <v>0</v>
      </c>
      <c r="P23" s="29">
        <f t="shared" si="12"/>
        <v>4</v>
      </c>
      <c r="Q23" s="29">
        <f t="shared" si="12"/>
        <v>0</v>
      </c>
      <c r="R23" s="29">
        <f t="shared" si="1"/>
        <v>0.44444444444444442</v>
      </c>
      <c r="S23" s="46">
        <f t="shared" si="2"/>
        <v>0</v>
      </c>
      <c r="T23" s="46">
        <f t="shared" si="3"/>
        <v>9</v>
      </c>
    </row>
    <row r="24" spans="1:20" ht="15.6" x14ac:dyDescent="0.3">
      <c r="A24" s="30"/>
    </row>
    <row r="26" spans="1:20" x14ac:dyDescent="0.3">
      <c r="A26" s="18" t="s">
        <v>28</v>
      </c>
      <c r="B26" s="19">
        <v>0.45512000000000002</v>
      </c>
      <c r="C26" s="20">
        <v>4</v>
      </c>
      <c r="D26" s="19">
        <v>0.17327000000000001</v>
      </c>
      <c r="E26" s="20">
        <v>7</v>
      </c>
      <c r="F26" s="11" t="s">
        <v>21</v>
      </c>
    </row>
    <row r="27" spans="1:20" x14ac:dyDescent="0.3">
      <c r="A27" s="18" t="s">
        <v>28</v>
      </c>
      <c r="B27" s="19">
        <v>0.44006000000000001</v>
      </c>
      <c r="C27" s="20">
        <v>7</v>
      </c>
      <c r="D27" s="19">
        <v>0.10924</v>
      </c>
      <c r="E27" s="20">
        <v>7</v>
      </c>
      <c r="F27" s="11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hisWorkbook.OrdenarPuestosSinMASingleDocSum">
                <anchor moveWithCells="1">
                  <from>
                    <xdr:col>6</xdr:col>
                    <xdr:colOff>114300</xdr:colOff>
                    <xdr:row>9</xdr:row>
                    <xdr:rowOff>45720</xdr:rowOff>
                  </from>
                  <to>
                    <xdr:col>6</xdr:col>
                    <xdr:colOff>891540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I88"/>
  <sheetViews>
    <sheetView showGridLines="0" zoomScale="70" zoomScaleNormal="70" workbookViewId="0"/>
  </sheetViews>
  <sheetFormatPr baseColWidth="10" defaultRowHeight="14.4" x14ac:dyDescent="0.3"/>
  <cols>
    <col min="1" max="1" width="13.6640625" customWidth="1"/>
    <col min="2" max="2" width="9.5546875" style="37" customWidth="1"/>
    <col min="3" max="241" width="4.77734375" customWidth="1"/>
  </cols>
  <sheetData>
    <row r="1" spans="1:241" x14ac:dyDescent="0.3">
      <c r="A1" t="s">
        <v>315</v>
      </c>
      <c r="F1" t="s">
        <v>313</v>
      </c>
    </row>
    <row r="3" spans="1:241" x14ac:dyDescent="0.3">
      <c r="B3" s="38" t="s">
        <v>300</v>
      </c>
      <c r="C3" s="34" t="s">
        <v>59</v>
      </c>
      <c r="D3" s="34" t="s">
        <v>60</v>
      </c>
      <c r="E3" s="34" t="s">
        <v>61</v>
      </c>
      <c r="F3" s="34" t="s">
        <v>62</v>
      </c>
      <c r="G3" s="34" t="s">
        <v>63</v>
      </c>
      <c r="H3" s="34" t="s">
        <v>64</v>
      </c>
      <c r="I3" s="34" t="s">
        <v>65</v>
      </c>
      <c r="J3" s="34" t="s">
        <v>66</v>
      </c>
      <c r="K3" s="34" t="s">
        <v>67</v>
      </c>
      <c r="L3" s="34" t="s">
        <v>68</v>
      </c>
      <c r="M3" s="34" t="s">
        <v>69</v>
      </c>
      <c r="N3" s="34" t="s">
        <v>70</v>
      </c>
      <c r="O3" s="34" t="s">
        <v>71</v>
      </c>
      <c r="P3" s="34" t="s">
        <v>72</v>
      </c>
      <c r="Q3" s="34" t="s">
        <v>73</v>
      </c>
      <c r="R3" s="34" t="s">
        <v>74</v>
      </c>
      <c r="S3" s="34" t="s">
        <v>75</v>
      </c>
      <c r="T3" s="34" t="s">
        <v>76</v>
      </c>
      <c r="U3" s="34" t="s">
        <v>77</v>
      </c>
      <c r="V3" s="34" t="s">
        <v>78</v>
      </c>
      <c r="W3" s="34" t="s">
        <v>79</v>
      </c>
      <c r="X3" s="34" t="s">
        <v>80</v>
      </c>
      <c r="Y3" s="34" t="s">
        <v>81</v>
      </c>
      <c r="Z3" s="34" t="s">
        <v>82</v>
      </c>
      <c r="AA3" s="34" t="s">
        <v>83</v>
      </c>
      <c r="AB3" s="34" t="s">
        <v>84</v>
      </c>
      <c r="AC3" s="34" t="s">
        <v>85</v>
      </c>
      <c r="AD3" s="34" t="s">
        <v>86</v>
      </c>
      <c r="AE3" s="34" t="s">
        <v>87</v>
      </c>
      <c r="AF3" s="34" t="s">
        <v>88</v>
      </c>
      <c r="AG3" s="34" t="s">
        <v>89</v>
      </c>
      <c r="AH3" s="34" t="s">
        <v>90</v>
      </c>
      <c r="AI3" s="34" t="s">
        <v>91</v>
      </c>
      <c r="AJ3" s="34" t="s">
        <v>92</v>
      </c>
      <c r="AK3" s="34" t="s">
        <v>93</v>
      </c>
      <c r="AL3" s="34" t="s">
        <v>94</v>
      </c>
      <c r="AM3" s="34" t="s">
        <v>95</v>
      </c>
      <c r="AN3" s="34" t="s">
        <v>96</v>
      </c>
      <c r="AO3" s="34" t="s">
        <v>97</v>
      </c>
      <c r="AP3" s="34" t="s">
        <v>98</v>
      </c>
      <c r="AQ3" s="34" t="s">
        <v>99</v>
      </c>
      <c r="AR3" s="34" t="s">
        <v>100</v>
      </c>
      <c r="AS3" s="34" t="s">
        <v>101</v>
      </c>
      <c r="AT3" s="34" t="s">
        <v>102</v>
      </c>
      <c r="AU3" s="34" t="s">
        <v>103</v>
      </c>
      <c r="AV3" s="34" t="s">
        <v>104</v>
      </c>
      <c r="AW3" s="34" t="s">
        <v>105</v>
      </c>
      <c r="AX3" s="34" t="s">
        <v>106</v>
      </c>
      <c r="AY3" s="34" t="s">
        <v>107</v>
      </c>
      <c r="AZ3" s="34" t="s">
        <v>108</v>
      </c>
      <c r="BA3" s="34" t="s">
        <v>109</v>
      </c>
      <c r="BB3" s="34" t="s">
        <v>110</v>
      </c>
      <c r="BC3" s="34" t="s">
        <v>111</v>
      </c>
      <c r="BD3" s="34" t="s">
        <v>112</v>
      </c>
      <c r="BE3" s="34" t="s">
        <v>113</v>
      </c>
      <c r="BF3" s="34" t="s">
        <v>114</v>
      </c>
      <c r="BG3" s="34" t="s">
        <v>115</v>
      </c>
      <c r="BH3" s="34" t="s">
        <v>116</v>
      </c>
      <c r="BI3" s="34" t="s">
        <v>117</v>
      </c>
      <c r="BJ3" s="34" t="s">
        <v>118</v>
      </c>
      <c r="BK3" s="34" t="s">
        <v>119</v>
      </c>
      <c r="BL3" s="34" t="s">
        <v>120</v>
      </c>
      <c r="BM3" s="34" t="s">
        <v>121</v>
      </c>
      <c r="BN3" s="34" t="s">
        <v>122</v>
      </c>
      <c r="BO3" s="34" t="s">
        <v>123</v>
      </c>
      <c r="BP3" s="34" t="s">
        <v>124</v>
      </c>
      <c r="BQ3" s="34" t="s">
        <v>125</v>
      </c>
      <c r="BR3" s="34" t="s">
        <v>126</v>
      </c>
      <c r="BS3" s="34" t="s">
        <v>127</v>
      </c>
      <c r="BT3" s="34" t="s">
        <v>128</v>
      </c>
      <c r="BU3" s="34" t="s">
        <v>129</v>
      </c>
      <c r="BV3" s="34" t="s">
        <v>130</v>
      </c>
      <c r="BW3" s="34" t="s">
        <v>131</v>
      </c>
      <c r="BX3" s="34" t="s">
        <v>132</v>
      </c>
      <c r="BY3" s="34" t="s">
        <v>133</v>
      </c>
      <c r="BZ3" s="34" t="s">
        <v>134</v>
      </c>
      <c r="CA3" s="34" t="s">
        <v>135</v>
      </c>
      <c r="CB3" s="34" t="s">
        <v>136</v>
      </c>
      <c r="CC3" s="34" t="s">
        <v>137</v>
      </c>
      <c r="CD3" s="34" t="s">
        <v>138</v>
      </c>
      <c r="CE3" s="34" t="s">
        <v>139</v>
      </c>
      <c r="CF3" s="34" t="s">
        <v>140</v>
      </c>
      <c r="CG3" s="34" t="s">
        <v>141</v>
      </c>
      <c r="CH3" s="34" t="s">
        <v>142</v>
      </c>
      <c r="CI3" s="34" t="s">
        <v>143</v>
      </c>
      <c r="CJ3" s="34" t="s">
        <v>144</v>
      </c>
      <c r="CK3" s="34" t="s">
        <v>145</v>
      </c>
      <c r="CL3" s="34" t="s">
        <v>146</v>
      </c>
      <c r="CM3" s="34" t="s">
        <v>147</v>
      </c>
      <c r="CN3" s="34" t="s">
        <v>148</v>
      </c>
      <c r="CO3" s="34" t="s">
        <v>149</v>
      </c>
      <c r="CP3" s="34" t="s">
        <v>150</v>
      </c>
      <c r="CQ3" s="34" t="s">
        <v>151</v>
      </c>
      <c r="CR3" s="34" t="s">
        <v>152</v>
      </c>
      <c r="CS3" s="34" t="s">
        <v>153</v>
      </c>
      <c r="CT3" s="34" t="s">
        <v>154</v>
      </c>
      <c r="CU3" s="34" t="s">
        <v>155</v>
      </c>
      <c r="CV3" s="34" t="s">
        <v>156</v>
      </c>
      <c r="CW3" s="34" t="s">
        <v>157</v>
      </c>
      <c r="CX3" s="34" t="s">
        <v>158</v>
      </c>
      <c r="CY3" s="34" t="s">
        <v>159</v>
      </c>
      <c r="CZ3" s="34" t="s">
        <v>160</v>
      </c>
      <c r="DA3" s="34" t="s">
        <v>161</v>
      </c>
      <c r="DB3" s="34" t="s">
        <v>162</v>
      </c>
      <c r="DC3" s="34" t="s">
        <v>163</v>
      </c>
      <c r="DD3" s="34" t="s">
        <v>164</v>
      </c>
      <c r="DE3" s="34" t="s">
        <v>165</v>
      </c>
      <c r="DF3" s="34" t="s">
        <v>166</v>
      </c>
      <c r="DG3" s="34" t="s">
        <v>167</v>
      </c>
      <c r="DH3" s="34" t="s">
        <v>168</v>
      </c>
      <c r="DI3" s="34" t="s">
        <v>169</v>
      </c>
      <c r="DJ3" s="34" t="s">
        <v>170</v>
      </c>
      <c r="DK3" s="34" t="s">
        <v>171</v>
      </c>
      <c r="DL3" s="34" t="s">
        <v>172</v>
      </c>
      <c r="DM3" s="34" t="s">
        <v>173</v>
      </c>
      <c r="DN3" s="34" t="s">
        <v>174</v>
      </c>
      <c r="DO3" s="34" t="s">
        <v>175</v>
      </c>
      <c r="DP3" s="34" t="s">
        <v>176</v>
      </c>
      <c r="DQ3" s="34" t="s">
        <v>177</v>
      </c>
      <c r="DR3" s="34" t="s">
        <v>178</v>
      </c>
      <c r="DS3" s="34" t="s">
        <v>179</v>
      </c>
      <c r="DT3" s="34" t="s">
        <v>180</v>
      </c>
      <c r="DU3" s="34" t="s">
        <v>181</v>
      </c>
      <c r="DV3" s="34" t="s">
        <v>182</v>
      </c>
      <c r="DW3" s="34" t="s">
        <v>183</v>
      </c>
      <c r="DX3" s="34" t="s">
        <v>184</v>
      </c>
      <c r="DY3" s="34" t="s">
        <v>185</v>
      </c>
      <c r="DZ3" s="34" t="s">
        <v>186</v>
      </c>
      <c r="EA3" s="34" t="s">
        <v>187</v>
      </c>
      <c r="EB3" s="34" t="s">
        <v>188</v>
      </c>
      <c r="EC3" s="34" t="s">
        <v>189</v>
      </c>
      <c r="ED3" s="34" t="s">
        <v>190</v>
      </c>
      <c r="EE3" s="34" t="s">
        <v>191</v>
      </c>
      <c r="EF3" s="34" t="s">
        <v>192</v>
      </c>
      <c r="EG3" s="34" t="s">
        <v>193</v>
      </c>
      <c r="EH3" s="34" t="s">
        <v>194</v>
      </c>
      <c r="EI3" s="34" t="s">
        <v>195</v>
      </c>
      <c r="EJ3" s="34" t="s">
        <v>196</v>
      </c>
      <c r="EK3" s="34" t="s">
        <v>197</v>
      </c>
      <c r="EL3" s="34" t="s">
        <v>198</v>
      </c>
      <c r="EM3" s="34" t="s">
        <v>199</v>
      </c>
      <c r="EN3" s="34" t="s">
        <v>200</v>
      </c>
      <c r="EO3" s="34" t="s">
        <v>201</v>
      </c>
      <c r="EP3" s="34" t="s">
        <v>202</v>
      </c>
      <c r="EQ3" s="34" t="s">
        <v>203</v>
      </c>
      <c r="ER3" s="34" t="s">
        <v>204</v>
      </c>
      <c r="ES3" s="34" t="s">
        <v>205</v>
      </c>
      <c r="ET3" s="34" t="s">
        <v>206</v>
      </c>
      <c r="EU3" s="34" t="s">
        <v>207</v>
      </c>
      <c r="EV3" s="34" t="s">
        <v>208</v>
      </c>
      <c r="EW3" s="34" t="s">
        <v>209</v>
      </c>
      <c r="EX3" s="34" t="s">
        <v>210</v>
      </c>
      <c r="EY3" s="34" t="s">
        <v>211</v>
      </c>
      <c r="EZ3" s="34" t="s">
        <v>212</v>
      </c>
      <c r="FA3" s="34" t="s">
        <v>213</v>
      </c>
      <c r="FB3" s="34" t="s">
        <v>214</v>
      </c>
      <c r="FC3" s="34" t="s">
        <v>215</v>
      </c>
      <c r="FD3" s="34" t="s">
        <v>216</v>
      </c>
      <c r="FE3" s="34" t="s">
        <v>217</v>
      </c>
      <c r="FF3" s="34" t="s">
        <v>218</v>
      </c>
      <c r="FG3" s="34" t="s">
        <v>219</v>
      </c>
      <c r="FH3" s="34" t="s">
        <v>220</v>
      </c>
      <c r="FI3" s="34" t="s">
        <v>221</v>
      </c>
      <c r="FJ3" s="34" t="s">
        <v>222</v>
      </c>
      <c r="FK3" s="34" t="s">
        <v>223</v>
      </c>
      <c r="FL3" s="34" t="s">
        <v>224</v>
      </c>
      <c r="FM3" s="34" t="s">
        <v>225</v>
      </c>
      <c r="FN3" s="34" t="s">
        <v>226</v>
      </c>
      <c r="FO3" s="34" t="s">
        <v>227</v>
      </c>
      <c r="FP3" s="34" t="s">
        <v>228</v>
      </c>
      <c r="FQ3" s="34" t="s">
        <v>229</v>
      </c>
      <c r="FR3" s="34" t="s">
        <v>230</v>
      </c>
      <c r="FS3" s="34" t="s">
        <v>231</v>
      </c>
      <c r="FT3" s="34" t="s">
        <v>232</v>
      </c>
      <c r="FU3" s="34" t="s">
        <v>233</v>
      </c>
      <c r="FV3" s="34" t="s">
        <v>234</v>
      </c>
      <c r="FW3" s="34" t="s">
        <v>235</v>
      </c>
      <c r="FX3" s="34" t="s">
        <v>236</v>
      </c>
      <c r="FY3" s="34" t="s">
        <v>237</v>
      </c>
      <c r="FZ3" s="34" t="s">
        <v>238</v>
      </c>
      <c r="GA3" s="34" t="s">
        <v>239</v>
      </c>
      <c r="GB3" s="34" t="s">
        <v>240</v>
      </c>
      <c r="GC3" s="34" t="s">
        <v>241</v>
      </c>
      <c r="GD3" s="34" t="s">
        <v>242</v>
      </c>
      <c r="GE3" s="34" t="s">
        <v>243</v>
      </c>
      <c r="GF3" s="34" t="s">
        <v>244</v>
      </c>
      <c r="GG3" s="34" t="s">
        <v>245</v>
      </c>
      <c r="GH3" s="34" t="s">
        <v>246</v>
      </c>
      <c r="GI3" s="34" t="s">
        <v>247</v>
      </c>
      <c r="GJ3" s="34" t="s">
        <v>248</v>
      </c>
      <c r="GK3" s="34" t="s">
        <v>249</v>
      </c>
      <c r="GL3" s="34" t="s">
        <v>250</v>
      </c>
      <c r="GM3" s="34" t="s">
        <v>251</v>
      </c>
      <c r="GN3" s="34" t="s">
        <v>252</v>
      </c>
      <c r="GO3" s="34" t="s">
        <v>253</v>
      </c>
      <c r="GP3" s="34" t="s">
        <v>254</v>
      </c>
      <c r="GQ3" s="34" t="s">
        <v>255</v>
      </c>
      <c r="GR3" s="34" t="s">
        <v>256</v>
      </c>
      <c r="GS3" s="34" t="s">
        <v>257</v>
      </c>
      <c r="GT3" s="34" t="s">
        <v>258</v>
      </c>
      <c r="GU3" s="34" t="s">
        <v>259</v>
      </c>
      <c r="GV3" s="34" t="s">
        <v>260</v>
      </c>
      <c r="GW3" s="34" t="s">
        <v>261</v>
      </c>
      <c r="GX3" s="34" t="s">
        <v>262</v>
      </c>
      <c r="GY3" s="34" t="s">
        <v>263</v>
      </c>
      <c r="GZ3" s="34" t="s">
        <v>264</v>
      </c>
      <c r="HA3" s="34" t="s">
        <v>265</v>
      </c>
      <c r="HB3" s="34" t="s">
        <v>266</v>
      </c>
      <c r="HC3" s="34" t="s">
        <v>267</v>
      </c>
      <c r="HD3" s="34" t="s">
        <v>268</v>
      </c>
      <c r="HE3" s="34" t="s">
        <v>269</v>
      </c>
      <c r="HF3" s="34" t="s">
        <v>270</v>
      </c>
      <c r="HG3" s="34" t="s">
        <v>271</v>
      </c>
      <c r="HH3" s="34" t="s">
        <v>272</v>
      </c>
      <c r="HI3" s="34" t="s">
        <v>273</v>
      </c>
      <c r="HJ3" s="34" t="s">
        <v>274</v>
      </c>
      <c r="HK3" s="34" t="s">
        <v>275</v>
      </c>
      <c r="HL3" s="34" t="s">
        <v>276</v>
      </c>
      <c r="HM3" s="34" t="s">
        <v>277</v>
      </c>
      <c r="HN3" s="34" t="s">
        <v>278</v>
      </c>
      <c r="HO3" s="34" t="s">
        <v>279</v>
      </c>
      <c r="HP3" s="34" t="s">
        <v>280</v>
      </c>
      <c r="HQ3" s="34" t="s">
        <v>281</v>
      </c>
      <c r="HR3" s="34" t="s">
        <v>282</v>
      </c>
      <c r="HS3" s="34" t="s">
        <v>283</v>
      </c>
      <c r="HT3" s="34" t="s">
        <v>284</v>
      </c>
      <c r="HU3" s="34" t="s">
        <v>285</v>
      </c>
      <c r="HV3" s="34" t="s">
        <v>286</v>
      </c>
      <c r="HW3" s="34" t="s">
        <v>287</v>
      </c>
      <c r="HX3" s="34" t="s">
        <v>288</v>
      </c>
      <c r="HY3" s="34" t="s">
        <v>289</v>
      </c>
      <c r="HZ3" s="34" t="s">
        <v>290</v>
      </c>
      <c r="IA3" s="34" t="s">
        <v>291</v>
      </c>
      <c r="IB3" s="34" t="s">
        <v>292</v>
      </c>
      <c r="IC3" s="34" t="s">
        <v>293</v>
      </c>
      <c r="ID3" s="34" t="s">
        <v>294</v>
      </c>
      <c r="IE3" s="34" t="s">
        <v>295</v>
      </c>
      <c r="IF3" s="34" t="s">
        <v>296</v>
      </c>
      <c r="IG3" s="34" t="s">
        <v>297</v>
      </c>
    </row>
    <row r="4" spans="1:241" x14ac:dyDescent="0.3">
      <c r="A4" s="34" t="s">
        <v>37</v>
      </c>
      <c r="B4" s="38">
        <f>SUM(C4:IG4)</f>
        <v>16</v>
      </c>
      <c r="C4" s="34">
        <v>0</v>
      </c>
      <c r="D4" s="34">
        <v>0</v>
      </c>
      <c r="E4" s="34">
        <v>0</v>
      </c>
      <c r="F4" s="34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34">
        <v>0</v>
      </c>
      <c r="M4" s="34">
        <v>0</v>
      </c>
      <c r="N4" s="34">
        <v>0</v>
      </c>
      <c r="O4" s="34">
        <v>1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 s="34">
        <v>0</v>
      </c>
      <c r="AB4" s="34">
        <v>0</v>
      </c>
      <c r="AC4" s="34">
        <v>0</v>
      </c>
      <c r="AD4" s="34">
        <v>0</v>
      </c>
      <c r="AE4" s="34">
        <v>0</v>
      </c>
      <c r="AF4" s="34">
        <v>0</v>
      </c>
      <c r="AG4" s="34">
        <v>0</v>
      </c>
      <c r="AH4" s="34">
        <v>0</v>
      </c>
      <c r="AI4" s="34">
        <v>0</v>
      </c>
      <c r="AJ4" s="34">
        <v>1</v>
      </c>
      <c r="AK4" s="34">
        <v>0</v>
      </c>
      <c r="AL4" s="34">
        <v>0</v>
      </c>
      <c r="AM4" s="34">
        <v>1</v>
      </c>
      <c r="AN4" s="34">
        <v>0</v>
      </c>
      <c r="AO4" s="34">
        <v>0</v>
      </c>
      <c r="AP4" s="34">
        <v>0</v>
      </c>
      <c r="AQ4" s="34">
        <v>0</v>
      </c>
      <c r="AR4" s="34">
        <v>0</v>
      </c>
      <c r="AS4" s="34">
        <v>0</v>
      </c>
      <c r="AT4" s="34">
        <v>0</v>
      </c>
      <c r="AU4" s="34">
        <v>0</v>
      </c>
      <c r="AV4" s="34">
        <v>0</v>
      </c>
      <c r="AW4" s="34">
        <v>0</v>
      </c>
      <c r="AX4" s="34">
        <v>0</v>
      </c>
      <c r="AY4" s="34">
        <v>0</v>
      </c>
      <c r="AZ4" s="34">
        <v>0</v>
      </c>
      <c r="BA4" s="34">
        <v>0</v>
      </c>
      <c r="BB4" s="34">
        <v>0</v>
      </c>
      <c r="BC4" s="34">
        <v>0</v>
      </c>
      <c r="BD4" s="34">
        <v>0</v>
      </c>
      <c r="BE4" s="34">
        <v>0</v>
      </c>
      <c r="BF4" s="34">
        <v>0</v>
      </c>
      <c r="BG4" s="34">
        <v>0</v>
      </c>
      <c r="BH4" s="34">
        <v>0</v>
      </c>
      <c r="BI4" s="34">
        <v>0</v>
      </c>
      <c r="BJ4" s="34">
        <v>0</v>
      </c>
      <c r="BK4" s="34">
        <v>0</v>
      </c>
      <c r="BL4" s="34">
        <v>0</v>
      </c>
      <c r="BM4" s="34">
        <v>0</v>
      </c>
      <c r="BN4" s="34">
        <v>0</v>
      </c>
      <c r="BO4" s="34">
        <v>0</v>
      </c>
      <c r="BP4" s="34">
        <v>0</v>
      </c>
      <c r="BQ4" s="34">
        <v>0</v>
      </c>
      <c r="BR4" s="34">
        <v>1</v>
      </c>
      <c r="BS4" s="34">
        <v>0</v>
      </c>
      <c r="BT4" s="34">
        <v>0</v>
      </c>
      <c r="BU4" s="34">
        <v>0</v>
      </c>
      <c r="BV4" s="34">
        <v>0</v>
      </c>
      <c r="BW4" s="34">
        <v>0</v>
      </c>
      <c r="BX4" s="34">
        <v>0</v>
      </c>
      <c r="BY4" s="34">
        <v>1</v>
      </c>
      <c r="BZ4" s="34">
        <v>0</v>
      </c>
      <c r="CA4" s="34">
        <v>0</v>
      </c>
      <c r="CB4" s="34">
        <v>1</v>
      </c>
      <c r="CC4" s="34">
        <v>0</v>
      </c>
      <c r="CD4" s="34">
        <v>0</v>
      </c>
      <c r="CE4" s="34">
        <v>0</v>
      </c>
      <c r="CF4" s="34">
        <v>0</v>
      </c>
      <c r="CG4" s="34">
        <v>0</v>
      </c>
      <c r="CH4" s="34">
        <v>0</v>
      </c>
      <c r="CI4" s="34">
        <v>0</v>
      </c>
      <c r="CJ4" s="34">
        <v>0</v>
      </c>
      <c r="CK4" s="34">
        <v>0</v>
      </c>
      <c r="CL4" s="34">
        <v>0</v>
      </c>
      <c r="CM4" s="34">
        <v>0</v>
      </c>
      <c r="CN4" s="34">
        <v>0</v>
      </c>
      <c r="CO4" s="34">
        <v>0</v>
      </c>
      <c r="CP4" s="34">
        <v>0</v>
      </c>
      <c r="CQ4" s="34">
        <v>0</v>
      </c>
      <c r="CR4" s="34">
        <v>1</v>
      </c>
      <c r="CS4" s="34">
        <v>0</v>
      </c>
      <c r="CT4" s="34">
        <v>0</v>
      </c>
      <c r="CU4" s="34">
        <v>0</v>
      </c>
      <c r="CV4" s="34">
        <v>1</v>
      </c>
      <c r="CW4" s="34">
        <v>0</v>
      </c>
      <c r="CX4" s="34">
        <v>0</v>
      </c>
      <c r="CY4" s="34">
        <v>0</v>
      </c>
      <c r="CZ4" s="34">
        <v>0</v>
      </c>
      <c r="DA4" s="34">
        <v>0</v>
      </c>
      <c r="DB4" s="34">
        <v>0</v>
      </c>
      <c r="DC4" s="34">
        <v>1</v>
      </c>
      <c r="DD4" s="34">
        <v>0</v>
      </c>
      <c r="DE4" s="34">
        <v>0</v>
      </c>
      <c r="DF4" s="34">
        <v>0</v>
      </c>
      <c r="DG4" s="34">
        <v>0</v>
      </c>
      <c r="DH4" s="34">
        <v>1</v>
      </c>
      <c r="DI4" s="34">
        <v>0</v>
      </c>
      <c r="DJ4" s="34">
        <v>0</v>
      </c>
      <c r="DK4" s="34">
        <v>0</v>
      </c>
      <c r="DL4" s="34">
        <v>0</v>
      </c>
      <c r="DM4" s="34">
        <v>0</v>
      </c>
      <c r="DN4" s="34">
        <v>0</v>
      </c>
      <c r="DO4" s="34">
        <v>0</v>
      </c>
      <c r="DP4" s="34">
        <v>0</v>
      </c>
      <c r="DQ4" s="34">
        <v>0</v>
      </c>
      <c r="DR4" s="34">
        <v>1</v>
      </c>
      <c r="DS4" s="34">
        <v>0</v>
      </c>
      <c r="DT4" s="34">
        <v>0</v>
      </c>
      <c r="DU4" s="34">
        <v>1</v>
      </c>
      <c r="DV4" s="34">
        <v>0</v>
      </c>
      <c r="DW4" s="34">
        <v>0</v>
      </c>
      <c r="DX4" s="34">
        <v>0</v>
      </c>
      <c r="DY4" s="34">
        <v>0</v>
      </c>
      <c r="DZ4" s="34">
        <v>0</v>
      </c>
      <c r="EA4" s="34">
        <v>0</v>
      </c>
      <c r="EB4" s="34">
        <v>0</v>
      </c>
      <c r="EC4" s="34">
        <v>0</v>
      </c>
      <c r="ED4" s="34">
        <v>0</v>
      </c>
      <c r="EE4" s="34">
        <v>0</v>
      </c>
      <c r="EF4" s="34">
        <v>0</v>
      </c>
      <c r="EG4" s="34">
        <v>1</v>
      </c>
      <c r="EH4" s="34">
        <v>0</v>
      </c>
      <c r="EI4" s="34">
        <v>0</v>
      </c>
      <c r="EJ4" s="34">
        <v>0</v>
      </c>
      <c r="EK4" s="34">
        <v>0</v>
      </c>
      <c r="EL4" s="34">
        <v>0</v>
      </c>
      <c r="EM4" s="34">
        <v>0</v>
      </c>
      <c r="EN4" s="34">
        <v>0</v>
      </c>
      <c r="EO4" s="34">
        <v>0</v>
      </c>
      <c r="EP4" s="34">
        <v>0</v>
      </c>
      <c r="EQ4" s="34">
        <v>0</v>
      </c>
      <c r="ER4" s="34">
        <v>0</v>
      </c>
      <c r="ES4" s="34">
        <v>0</v>
      </c>
      <c r="ET4" s="34">
        <v>0</v>
      </c>
      <c r="EU4" s="34">
        <v>0</v>
      </c>
      <c r="EV4" s="34">
        <v>0</v>
      </c>
      <c r="EW4" s="34">
        <v>0</v>
      </c>
      <c r="EX4" s="34">
        <v>0</v>
      </c>
      <c r="EY4" s="34">
        <v>0</v>
      </c>
      <c r="EZ4" s="34">
        <v>0</v>
      </c>
      <c r="FA4" s="34">
        <v>0</v>
      </c>
      <c r="FB4" s="34">
        <v>0</v>
      </c>
      <c r="FC4" s="34">
        <v>0</v>
      </c>
      <c r="FD4" s="34">
        <v>0</v>
      </c>
      <c r="FE4" s="34">
        <v>1</v>
      </c>
      <c r="FF4" s="34">
        <v>0</v>
      </c>
      <c r="FG4" s="34">
        <v>0</v>
      </c>
      <c r="FH4" s="34">
        <v>0</v>
      </c>
      <c r="FI4" s="34">
        <v>0</v>
      </c>
      <c r="FJ4" s="34">
        <v>0</v>
      </c>
      <c r="FK4" s="34">
        <v>0</v>
      </c>
      <c r="FL4" s="34">
        <v>0</v>
      </c>
      <c r="FM4" s="34">
        <v>0</v>
      </c>
      <c r="FN4" s="34">
        <v>0</v>
      </c>
      <c r="FO4" s="34">
        <v>0</v>
      </c>
      <c r="FP4" s="34">
        <v>0</v>
      </c>
      <c r="FQ4" s="34">
        <v>0</v>
      </c>
      <c r="FR4" s="34">
        <v>0</v>
      </c>
      <c r="FS4" s="34">
        <v>0</v>
      </c>
      <c r="FT4" s="34">
        <v>0</v>
      </c>
      <c r="FU4" s="34">
        <v>0</v>
      </c>
      <c r="FV4" s="34">
        <v>0</v>
      </c>
      <c r="FW4" s="34">
        <v>0</v>
      </c>
      <c r="FX4" s="34">
        <v>0</v>
      </c>
      <c r="FY4" s="34">
        <v>0</v>
      </c>
      <c r="FZ4" s="34">
        <v>0</v>
      </c>
      <c r="GA4" s="34">
        <v>0</v>
      </c>
      <c r="GB4" s="34">
        <v>0</v>
      </c>
      <c r="GC4" s="34">
        <v>0</v>
      </c>
      <c r="GD4" s="34">
        <v>0</v>
      </c>
      <c r="GE4" s="34">
        <v>0</v>
      </c>
      <c r="GF4" s="34">
        <v>0</v>
      </c>
      <c r="GG4" s="34">
        <v>0</v>
      </c>
      <c r="GH4" s="34">
        <v>0</v>
      </c>
      <c r="GI4" s="34">
        <v>0</v>
      </c>
      <c r="GJ4" s="34">
        <v>1</v>
      </c>
      <c r="GK4" s="34">
        <v>0</v>
      </c>
      <c r="GL4" s="34">
        <v>0</v>
      </c>
      <c r="GM4" s="34">
        <v>0</v>
      </c>
      <c r="GN4" s="34">
        <v>0</v>
      </c>
      <c r="GO4" s="34">
        <v>0</v>
      </c>
      <c r="GP4" s="34">
        <v>0</v>
      </c>
      <c r="GQ4" s="34">
        <v>0</v>
      </c>
      <c r="GR4" s="34">
        <v>0</v>
      </c>
      <c r="GS4" s="34">
        <v>0</v>
      </c>
      <c r="GT4" s="34">
        <v>0</v>
      </c>
      <c r="GU4" s="34">
        <v>0</v>
      </c>
      <c r="GV4" s="34">
        <v>0</v>
      </c>
      <c r="GW4" s="34">
        <v>0</v>
      </c>
      <c r="GX4" s="34">
        <v>0</v>
      </c>
      <c r="GY4" s="34">
        <v>0</v>
      </c>
      <c r="GZ4" s="34">
        <v>0</v>
      </c>
      <c r="HA4" s="34">
        <v>0</v>
      </c>
      <c r="HB4" s="34">
        <v>0</v>
      </c>
      <c r="HC4" s="34">
        <v>0</v>
      </c>
      <c r="HD4" s="34">
        <v>0</v>
      </c>
      <c r="HE4" s="34">
        <v>0</v>
      </c>
      <c r="HF4" s="34">
        <v>0</v>
      </c>
      <c r="HG4" s="34">
        <v>0</v>
      </c>
      <c r="HH4" s="34">
        <v>0</v>
      </c>
      <c r="HI4" s="34">
        <v>0</v>
      </c>
      <c r="HJ4" s="34">
        <v>0</v>
      </c>
      <c r="HK4" s="34">
        <v>0</v>
      </c>
      <c r="HL4" s="34">
        <v>0</v>
      </c>
      <c r="HM4" s="34">
        <v>0</v>
      </c>
      <c r="HN4" s="34">
        <v>0</v>
      </c>
      <c r="HO4" s="34">
        <v>0</v>
      </c>
      <c r="HP4" s="34">
        <v>0</v>
      </c>
      <c r="HQ4" s="34">
        <v>0</v>
      </c>
      <c r="HR4" s="34">
        <v>0</v>
      </c>
      <c r="HS4" s="34">
        <v>0</v>
      </c>
      <c r="HT4" s="34">
        <v>0</v>
      </c>
      <c r="HU4" s="34">
        <v>0</v>
      </c>
      <c r="HV4" s="34">
        <v>0</v>
      </c>
      <c r="HW4" s="34">
        <v>0</v>
      </c>
      <c r="HX4" s="34">
        <v>0</v>
      </c>
      <c r="HY4" s="34">
        <v>1</v>
      </c>
      <c r="HZ4" s="34">
        <v>0</v>
      </c>
      <c r="IA4" s="34">
        <v>0</v>
      </c>
      <c r="IB4" s="34">
        <v>0</v>
      </c>
      <c r="IC4" s="34">
        <v>0</v>
      </c>
      <c r="ID4" s="34">
        <v>0</v>
      </c>
      <c r="IE4" s="34">
        <v>0</v>
      </c>
      <c r="IF4" s="34">
        <v>0</v>
      </c>
      <c r="IG4" s="34">
        <v>0</v>
      </c>
    </row>
    <row r="5" spans="1:241" x14ac:dyDescent="0.3">
      <c r="A5" s="34" t="s">
        <v>38</v>
      </c>
      <c r="B5" s="38">
        <f t="shared" ref="B5:B25" si="0">SUM(C5:IG5)</f>
        <v>15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34">
        <v>0</v>
      </c>
      <c r="J5" s="34">
        <v>0</v>
      </c>
      <c r="K5" s="34">
        <v>1</v>
      </c>
      <c r="L5" s="34">
        <v>0</v>
      </c>
      <c r="M5" s="34">
        <v>0</v>
      </c>
      <c r="N5" s="34"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1</v>
      </c>
      <c r="X5" s="34">
        <v>0</v>
      </c>
      <c r="Y5" s="34">
        <v>0</v>
      </c>
      <c r="Z5" s="34">
        <v>0</v>
      </c>
      <c r="AA5" s="34">
        <v>0</v>
      </c>
      <c r="AB5" s="34">
        <v>0</v>
      </c>
      <c r="AC5" s="34">
        <v>0</v>
      </c>
      <c r="AD5" s="34">
        <v>0</v>
      </c>
      <c r="AE5" s="34">
        <v>0</v>
      </c>
      <c r="AF5" s="34">
        <v>0</v>
      </c>
      <c r="AG5" s="34">
        <v>0</v>
      </c>
      <c r="AH5" s="34">
        <v>0</v>
      </c>
      <c r="AI5" s="34">
        <v>0</v>
      </c>
      <c r="AJ5" s="34">
        <v>0</v>
      </c>
      <c r="AK5" s="34">
        <v>1</v>
      </c>
      <c r="AL5" s="34">
        <v>0</v>
      </c>
      <c r="AM5" s="34">
        <v>0</v>
      </c>
      <c r="AN5" s="34">
        <v>0</v>
      </c>
      <c r="AO5" s="34">
        <v>0</v>
      </c>
      <c r="AP5" s="34">
        <v>0</v>
      </c>
      <c r="AQ5" s="34">
        <v>0</v>
      </c>
      <c r="AR5" s="34">
        <v>0</v>
      </c>
      <c r="AS5" s="34">
        <v>0</v>
      </c>
      <c r="AT5" s="34">
        <v>0</v>
      </c>
      <c r="AU5" s="34">
        <v>0</v>
      </c>
      <c r="AV5" s="34">
        <v>0</v>
      </c>
      <c r="AW5" s="34">
        <v>0</v>
      </c>
      <c r="AX5" s="34">
        <v>0</v>
      </c>
      <c r="AY5" s="34">
        <v>0</v>
      </c>
      <c r="AZ5" s="34">
        <v>0</v>
      </c>
      <c r="BA5" s="34">
        <v>0</v>
      </c>
      <c r="BB5" s="34">
        <v>0</v>
      </c>
      <c r="BC5" s="34">
        <v>0</v>
      </c>
      <c r="BD5" s="34">
        <v>0</v>
      </c>
      <c r="BE5" s="34">
        <v>0</v>
      </c>
      <c r="BF5" s="34">
        <v>0</v>
      </c>
      <c r="BG5" s="34">
        <v>0</v>
      </c>
      <c r="BH5" s="34">
        <v>0</v>
      </c>
      <c r="BI5" s="34">
        <v>0</v>
      </c>
      <c r="BJ5" s="34">
        <v>1</v>
      </c>
      <c r="BK5" s="34">
        <v>0</v>
      </c>
      <c r="BL5" s="34">
        <v>0</v>
      </c>
      <c r="BM5" s="34">
        <v>0</v>
      </c>
      <c r="BN5" s="34">
        <v>0</v>
      </c>
      <c r="BO5" s="34">
        <v>0</v>
      </c>
      <c r="BP5" s="34">
        <v>0</v>
      </c>
      <c r="BQ5" s="34">
        <v>1</v>
      </c>
      <c r="BR5" s="34">
        <v>0</v>
      </c>
      <c r="BS5" s="34">
        <v>0</v>
      </c>
      <c r="BT5" s="34">
        <v>1</v>
      </c>
      <c r="BU5" s="34">
        <v>0</v>
      </c>
      <c r="BV5" s="34">
        <v>0</v>
      </c>
      <c r="BW5" s="34">
        <v>0</v>
      </c>
      <c r="BX5" s="34">
        <v>0</v>
      </c>
      <c r="BY5" s="34">
        <v>0</v>
      </c>
      <c r="BZ5" s="34">
        <v>0</v>
      </c>
      <c r="CA5" s="34">
        <v>0</v>
      </c>
      <c r="CB5" s="34">
        <v>0</v>
      </c>
      <c r="CC5" s="34">
        <v>0</v>
      </c>
      <c r="CD5" s="34">
        <v>0</v>
      </c>
      <c r="CE5" s="34">
        <v>0</v>
      </c>
      <c r="CF5" s="34">
        <v>0</v>
      </c>
      <c r="CG5" s="34">
        <v>0</v>
      </c>
      <c r="CH5" s="34">
        <v>0</v>
      </c>
      <c r="CI5" s="34">
        <v>0</v>
      </c>
      <c r="CJ5" s="34">
        <v>1</v>
      </c>
      <c r="CK5" s="34">
        <v>1</v>
      </c>
      <c r="CL5" s="34">
        <v>0</v>
      </c>
      <c r="CM5" s="34">
        <v>0</v>
      </c>
      <c r="CN5" s="34">
        <v>0</v>
      </c>
      <c r="CO5" s="34">
        <v>0</v>
      </c>
      <c r="CP5" s="34">
        <v>1</v>
      </c>
      <c r="CQ5" s="34">
        <v>0</v>
      </c>
      <c r="CR5" s="34">
        <v>0</v>
      </c>
      <c r="CS5" s="34">
        <v>0</v>
      </c>
      <c r="CT5" s="34">
        <v>0</v>
      </c>
      <c r="CU5" s="34">
        <v>0</v>
      </c>
      <c r="CV5" s="34">
        <v>0</v>
      </c>
      <c r="CW5" s="34">
        <v>0</v>
      </c>
      <c r="CX5" s="34">
        <v>0</v>
      </c>
      <c r="CY5" s="34">
        <v>0</v>
      </c>
      <c r="CZ5" s="34">
        <v>0</v>
      </c>
      <c r="DA5" s="34">
        <v>0</v>
      </c>
      <c r="DB5" s="34">
        <v>0</v>
      </c>
      <c r="DC5" s="34">
        <v>0</v>
      </c>
      <c r="DD5" s="34">
        <v>0</v>
      </c>
      <c r="DE5" s="34">
        <v>0</v>
      </c>
      <c r="DF5" s="34">
        <v>0</v>
      </c>
      <c r="DG5" s="34">
        <v>0</v>
      </c>
      <c r="DH5" s="34">
        <v>0</v>
      </c>
      <c r="DI5" s="34">
        <v>0</v>
      </c>
      <c r="DJ5" s="34">
        <v>0</v>
      </c>
      <c r="DK5" s="34">
        <v>0</v>
      </c>
      <c r="DL5" s="34">
        <v>1</v>
      </c>
      <c r="DM5" s="34">
        <v>0</v>
      </c>
      <c r="DN5" s="34">
        <v>0</v>
      </c>
      <c r="DO5" s="34">
        <v>1</v>
      </c>
      <c r="DP5" s="34">
        <v>0</v>
      </c>
      <c r="DQ5" s="34">
        <v>0</v>
      </c>
      <c r="DR5" s="34">
        <v>0</v>
      </c>
      <c r="DS5" s="34">
        <v>0</v>
      </c>
      <c r="DT5" s="34">
        <v>0</v>
      </c>
      <c r="DU5" s="34">
        <v>0</v>
      </c>
      <c r="DV5" s="34">
        <v>1</v>
      </c>
      <c r="DW5" s="34">
        <v>0</v>
      </c>
      <c r="DX5" s="34">
        <v>0</v>
      </c>
      <c r="DY5" s="34">
        <v>0</v>
      </c>
      <c r="DZ5" s="34">
        <v>0</v>
      </c>
      <c r="EA5" s="34">
        <v>0</v>
      </c>
      <c r="EB5" s="34">
        <v>0</v>
      </c>
      <c r="EC5" s="34">
        <v>0</v>
      </c>
      <c r="ED5" s="34">
        <v>0</v>
      </c>
      <c r="EE5" s="34">
        <v>0</v>
      </c>
      <c r="EF5" s="34">
        <v>0</v>
      </c>
      <c r="EG5" s="34">
        <v>0</v>
      </c>
      <c r="EH5" s="34">
        <v>0</v>
      </c>
      <c r="EI5" s="34">
        <v>0</v>
      </c>
      <c r="EJ5" s="34">
        <v>0</v>
      </c>
      <c r="EK5" s="34">
        <v>0</v>
      </c>
      <c r="EL5" s="34">
        <v>0</v>
      </c>
      <c r="EM5" s="34">
        <v>0</v>
      </c>
      <c r="EN5" s="34">
        <v>0</v>
      </c>
      <c r="EO5" s="34">
        <v>0</v>
      </c>
      <c r="EP5" s="34">
        <v>0</v>
      </c>
      <c r="EQ5" s="34">
        <v>0</v>
      </c>
      <c r="ER5" s="34">
        <v>0</v>
      </c>
      <c r="ES5" s="34">
        <v>0</v>
      </c>
      <c r="ET5" s="34">
        <v>0</v>
      </c>
      <c r="EU5" s="34">
        <v>0</v>
      </c>
      <c r="EV5" s="34">
        <v>0</v>
      </c>
      <c r="EW5" s="34">
        <v>0</v>
      </c>
      <c r="EX5" s="34">
        <v>0</v>
      </c>
      <c r="EY5" s="34">
        <v>0</v>
      </c>
      <c r="EZ5" s="34">
        <v>0</v>
      </c>
      <c r="FA5" s="34">
        <v>0</v>
      </c>
      <c r="FB5" s="34">
        <v>0</v>
      </c>
      <c r="FC5" s="34">
        <v>0</v>
      </c>
      <c r="FD5" s="34">
        <v>0</v>
      </c>
      <c r="FE5" s="34">
        <v>1</v>
      </c>
      <c r="FF5" s="34">
        <v>0</v>
      </c>
      <c r="FG5" s="34">
        <v>0</v>
      </c>
      <c r="FH5" s="34">
        <v>0</v>
      </c>
      <c r="FI5" s="34">
        <v>0</v>
      </c>
      <c r="FJ5" s="34">
        <v>0</v>
      </c>
      <c r="FK5" s="34">
        <v>0</v>
      </c>
      <c r="FL5" s="34">
        <v>0</v>
      </c>
      <c r="FM5" s="34">
        <v>0</v>
      </c>
      <c r="FN5" s="34">
        <v>0</v>
      </c>
      <c r="FO5" s="34">
        <v>0</v>
      </c>
      <c r="FP5" s="34">
        <v>0</v>
      </c>
      <c r="FQ5" s="34">
        <v>0</v>
      </c>
      <c r="FR5" s="34">
        <v>1</v>
      </c>
      <c r="FS5" s="34">
        <v>0</v>
      </c>
      <c r="FT5" s="34">
        <v>0</v>
      </c>
      <c r="FU5" s="34">
        <v>0</v>
      </c>
      <c r="FV5" s="34">
        <v>1</v>
      </c>
      <c r="FW5" s="34">
        <v>0</v>
      </c>
      <c r="FX5" s="34">
        <v>0</v>
      </c>
      <c r="FY5" s="34">
        <v>0</v>
      </c>
      <c r="FZ5" s="34">
        <v>0</v>
      </c>
      <c r="GA5" s="34">
        <v>0</v>
      </c>
      <c r="GB5" s="34">
        <v>0</v>
      </c>
      <c r="GC5" s="34">
        <v>0</v>
      </c>
      <c r="GD5" s="34">
        <v>0</v>
      </c>
      <c r="GE5" s="34">
        <v>0</v>
      </c>
      <c r="GF5" s="34">
        <v>0</v>
      </c>
      <c r="GG5" s="34">
        <v>0</v>
      </c>
      <c r="GH5" s="34">
        <v>0</v>
      </c>
      <c r="GI5" s="34">
        <v>0</v>
      </c>
      <c r="GJ5" s="34">
        <v>0</v>
      </c>
      <c r="GK5" s="34">
        <v>0</v>
      </c>
      <c r="GL5" s="34">
        <v>0</v>
      </c>
      <c r="GM5" s="34">
        <v>0</v>
      </c>
      <c r="GN5" s="34">
        <v>0</v>
      </c>
      <c r="GO5" s="34">
        <v>0</v>
      </c>
      <c r="GP5" s="34">
        <v>0</v>
      </c>
      <c r="GQ5" s="34">
        <v>0</v>
      </c>
      <c r="GR5" s="34">
        <v>0</v>
      </c>
      <c r="GS5" s="34">
        <v>0</v>
      </c>
      <c r="GT5" s="34">
        <v>0</v>
      </c>
      <c r="GU5" s="34">
        <v>0</v>
      </c>
      <c r="GV5" s="34">
        <v>0</v>
      </c>
      <c r="GW5" s="34">
        <v>0</v>
      </c>
      <c r="GX5" s="34">
        <v>0</v>
      </c>
      <c r="GY5" s="34">
        <v>0</v>
      </c>
      <c r="GZ5" s="34">
        <v>0</v>
      </c>
      <c r="HA5" s="34">
        <v>0</v>
      </c>
      <c r="HB5" s="34">
        <v>0</v>
      </c>
      <c r="HC5" s="34">
        <v>0</v>
      </c>
      <c r="HD5" s="34">
        <v>0</v>
      </c>
      <c r="HE5" s="34">
        <v>0</v>
      </c>
      <c r="HF5" s="34">
        <v>0</v>
      </c>
      <c r="HG5" s="34">
        <v>0</v>
      </c>
      <c r="HH5" s="34">
        <v>0</v>
      </c>
      <c r="HI5" s="34">
        <v>0</v>
      </c>
      <c r="HJ5" s="34">
        <v>0</v>
      </c>
      <c r="HK5" s="34">
        <v>0</v>
      </c>
      <c r="HL5" s="34">
        <v>0</v>
      </c>
      <c r="HM5" s="34">
        <v>0</v>
      </c>
      <c r="HN5" s="34">
        <v>0</v>
      </c>
      <c r="HO5" s="34">
        <v>0</v>
      </c>
      <c r="HP5" s="34">
        <v>0</v>
      </c>
      <c r="HQ5" s="34">
        <v>0</v>
      </c>
      <c r="HR5" s="34">
        <v>0</v>
      </c>
      <c r="HS5" s="34">
        <v>0</v>
      </c>
      <c r="HT5" s="34">
        <v>0</v>
      </c>
      <c r="HU5" s="34">
        <v>0</v>
      </c>
      <c r="HV5" s="34">
        <v>0</v>
      </c>
      <c r="HW5" s="34">
        <v>0</v>
      </c>
      <c r="HX5" s="34">
        <v>0</v>
      </c>
      <c r="HY5" s="34">
        <v>0</v>
      </c>
      <c r="HZ5" s="34">
        <v>0</v>
      </c>
      <c r="IA5" s="34">
        <v>0</v>
      </c>
      <c r="IB5" s="34">
        <v>0</v>
      </c>
      <c r="IC5" s="34">
        <v>0</v>
      </c>
      <c r="ID5" s="34">
        <v>0</v>
      </c>
      <c r="IE5" s="34">
        <v>0</v>
      </c>
      <c r="IF5" s="34">
        <v>0</v>
      </c>
      <c r="IG5" s="34">
        <v>0</v>
      </c>
    </row>
    <row r="6" spans="1:241" x14ac:dyDescent="0.3">
      <c r="A6" s="34" t="s">
        <v>39</v>
      </c>
      <c r="B6" s="38">
        <f t="shared" si="0"/>
        <v>16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0</v>
      </c>
      <c r="O6" s="34">
        <v>0</v>
      </c>
      <c r="P6" s="34">
        <v>0</v>
      </c>
      <c r="Q6" s="34">
        <v>0</v>
      </c>
      <c r="R6" s="34">
        <v>0</v>
      </c>
      <c r="S6" s="34">
        <v>0</v>
      </c>
      <c r="T6" s="34">
        <v>0</v>
      </c>
      <c r="U6" s="34">
        <v>1</v>
      </c>
      <c r="V6" s="34"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  <c r="AB6" s="34">
        <v>0</v>
      </c>
      <c r="AC6" s="34">
        <v>0</v>
      </c>
      <c r="AD6" s="34">
        <v>0</v>
      </c>
      <c r="AE6" s="34">
        <v>0</v>
      </c>
      <c r="AF6" s="34">
        <v>1</v>
      </c>
      <c r="AG6" s="34">
        <v>0</v>
      </c>
      <c r="AH6" s="34">
        <v>0</v>
      </c>
      <c r="AI6" s="34">
        <v>0</v>
      </c>
      <c r="AJ6" s="34">
        <v>1</v>
      </c>
      <c r="AK6" s="34">
        <v>0</v>
      </c>
      <c r="AL6" s="34">
        <v>1</v>
      </c>
      <c r="AM6" s="34">
        <v>0</v>
      </c>
      <c r="AN6" s="34">
        <v>0</v>
      </c>
      <c r="AO6" s="34">
        <v>0</v>
      </c>
      <c r="AP6" s="34">
        <v>0</v>
      </c>
      <c r="AQ6" s="34">
        <v>0</v>
      </c>
      <c r="AR6" s="34">
        <v>0</v>
      </c>
      <c r="AS6" s="34">
        <v>0</v>
      </c>
      <c r="AT6" s="34">
        <v>0</v>
      </c>
      <c r="AU6" s="34">
        <v>1</v>
      </c>
      <c r="AV6" s="34">
        <v>0</v>
      </c>
      <c r="AW6" s="34">
        <v>0</v>
      </c>
      <c r="AX6" s="34">
        <v>0</v>
      </c>
      <c r="AY6" s="34">
        <v>0</v>
      </c>
      <c r="AZ6" s="34">
        <v>0</v>
      </c>
      <c r="BA6" s="34">
        <v>0</v>
      </c>
      <c r="BB6" s="34">
        <v>0</v>
      </c>
      <c r="BC6" s="34">
        <v>0</v>
      </c>
      <c r="BD6" s="34">
        <v>0</v>
      </c>
      <c r="BE6" s="34">
        <v>0</v>
      </c>
      <c r="BF6" s="34">
        <v>0</v>
      </c>
      <c r="BG6" s="34">
        <v>0</v>
      </c>
      <c r="BH6" s="34">
        <v>0</v>
      </c>
      <c r="BI6" s="34">
        <v>0</v>
      </c>
      <c r="BJ6" s="34">
        <v>0</v>
      </c>
      <c r="BK6" s="34">
        <v>0</v>
      </c>
      <c r="BL6" s="34">
        <v>0</v>
      </c>
      <c r="BM6" s="34">
        <v>0</v>
      </c>
      <c r="BN6" s="34">
        <v>0</v>
      </c>
      <c r="BO6" s="34">
        <v>0</v>
      </c>
      <c r="BP6" s="34">
        <v>1</v>
      </c>
      <c r="BQ6" s="34">
        <v>0</v>
      </c>
      <c r="BR6" s="34">
        <v>0</v>
      </c>
      <c r="BS6" s="34">
        <v>0</v>
      </c>
      <c r="BT6" s="34">
        <v>0</v>
      </c>
      <c r="BU6" s="34">
        <v>0</v>
      </c>
      <c r="BV6" s="34">
        <v>0</v>
      </c>
      <c r="BW6" s="34">
        <v>0</v>
      </c>
      <c r="BX6" s="34">
        <v>0</v>
      </c>
      <c r="BY6" s="34">
        <v>0</v>
      </c>
      <c r="BZ6" s="34">
        <v>0</v>
      </c>
      <c r="CA6" s="34">
        <v>0</v>
      </c>
      <c r="CB6" s="34">
        <v>0</v>
      </c>
      <c r="CC6" s="34">
        <v>0</v>
      </c>
      <c r="CD6" s="34">
        <v>0</v>
      </c>
      <c r="CE6" s="34">
        <v>0</v>
      </c>
      <c r="CF6" s="34">
        <v>0</v>
      </c>
      <c r="CG6" s="34">
        <v>0</v>
      </c>
      <c r="CH6" s="34">
        <v>0</v>
      </c>
      <c r="CI6" s="34">
        <v>0</v>
      </c>
      <c r="CJ6" s="34">
        <v>0</v>
      </c>
      <c r="CK6" s="34">
        <v>0</v>
      </c>
      <c r="CL6" s="34">
        <v>0</v>
      </c>
      <c r="CM6" s="34">
        <v>0</v>
      </c>
      <c r="CN6" s="34">
        <v>0</v>
      </c>
      <c r="CO6" s="34">
        <v>0</v>
      </c>
      <c r="CP6" s="34">
        <v>0</v>
      </c>
      <c r="CQ6" s="34">
        <v>0</v>
      </c>
      <c r="CR6" s="34">
        <v>1</v>
      </c>
      <c r="CS6" s="34">
        <v>0</v>
      </c>
      <c r="CT6" s="34">
        <v>0</v>
      </c>
      <c r="CU6" s="34">
        <v>0</v>
      </c>
      <c r="CV6" s="34">
        <v>0</v>
      </c>
      <c r="CW6" s="34">
        <v>0</v>
      </c>
      <c r="CX6" s="34">
        <v>0</v>
      </c>
      <c r="CY6" s="34">
        <v>0</v>
      </c>
      <c r="CZ6" s="34">
        <v>0</v>
      </c>
      <c r="DA6" s="34">
        <v>0</v>
      </c>
      <c r="DB6" s="34">
        <v>0</v>
      </c>
      <c r="DC6" s="34">
        <v>0</v>
      </c>
      <c r="DD6" s="34">
        <v>0</v>
      </c>
      <c r="DE6" s="34">
        <v>0</v>
      </c>
      <c r="DF6" s="34">
        <v>0</v>
      </c>
      <c r="DG6" s="34">
        <v>0</v>
      </c>
      <c r="DH6" s="34">
        <v>0</v>
      </c>
      <c r="DI6" s="34">
        <v>0</v>
      </c>
      <c r="DJ6" s="34">
        <v>0</v>
      </c>
      <c r="DK6" s="34">
        <v>0</v>
      </c>
      <c r="DL6" s="34">
        <v>0</v>
      </c>
      <c r="DM6" s="34">
        <v>0</v>
      </c>
      <c r="DN6" s="34">
        <v>0</v>
      </c>
      <c r="DO6" s="34">
        <v>0</v>
      </c>
      <c r="DP6" s="34">
        <v>0</v>
      </c>
      <c r="DQ6" s="34">
        <v>0</v>
      </c>
      <c r="DR6" s="34">
        <v>0</v>
      </c>
      <c r="DS6" s="34">
        <v>0</v>
      </c>
      <c r="DT6" s="34">
        <v>1</v>
      </c>
      <c r="DU6" s="34">
        <v>0</v>
      </c>
      <c r="DV6" s="34">
        <v>0</v>
      </c>
      <c r="DW6" s="34">
        <v>0</v>
      </c>
      <c r="DX6" s="34">
        <v>0</v>
      </c>
      <c r="DY6" s="34">
        <v>0</v>
      </c>
      <c r="DZ6" s="34">
        <v>0</v>
      </c>
      <c r="EA6" s="34">
        <v>0</v>
      </c>
      <c r="EB6" s="34">
        <v>0</v>
      </c>
      <c r="EC6" s="34">
        <v>0</v>
      </c>
      <c r="ED6" s="34">
        <v>0</v>
      </c>
      <c r="EE6" s="34">
        <v>0</v>
      </c>
      <c r="EF6" s="34">
        <v>0</v>
      </c>
      <c r="EG6" s="34">
        <v>0</v>
      </c>
      <c r="EH6" s="34">
        <v>0</v>
      </c>
      <c r="EI6" s="34">
        <v>0</v>
      </c>
      <c r="EJ6" s="34">
        <v>0</v>
      </c>
      <c r="EK6" s="34">
        <v>0</v>
      </c>
      <c r="EL6" s="34">
        <v>2</v>
      </c>
      <c r="EM6" s="34">
        <v>0</v>
      </c>
      <c r="EN6" s="34">
        <v>0</v>
      </c>
      <c r="EO6" s="34">
        <v>0</v>
      </c>
      <c r="EP6" s="34">
        <v>0</v>
      </c>
      <c r="EQ6" s="34">
        <v>0</v>
      </c>
      <c r="ER6" s="34">
        <v>0</v>
      </c>
      <c r="ES6" s="34">
        <v>0</v>
      </c>
      <c r="ET6" s="34">
        <v>0</v>
      </c>
      <c r="EU6" s="34">
        <v>0</v>
      </c>
      <c r="EV6" s="34">
        <v>0</v>
      </c>
      <c r="EW6" s="34">
        <v>0</v>
      </c>
      <c r="EX6" s="34">
        <v>0</v>
      </c>
      <c r="EY6" s="34">
        <v>0</v>
      </c>
      <c r="EZ6" s="34">
        <v>0</v>
      </c>
      <c r="FA6" s="34">
        <v>0</v>
      </c>
      <c r="FB6" s="34">
        <v>1</v>
      </c>
      <c r="FC6" s="34">
        <v>0</v>
      </c>
      <c r="FD6" s="34">
        <v>0</v>
      </c>
      <c r="FE6" s="34">
        <v>0</v>
      </c>
      <c r="FF6" s="34">
        <v>1</v>
      </c>
      <c r="FG6" s="34">
        <v>0</v>
      </c>
      <c r="FH6" s="34">
        <v>1</v>
      </c>
      <c r="FI6" s="34">
        <v>0</v>
      </c>
      <c r="FJ6" s="34">
        <v>0</v>
      </c>
      <c r="FK6" s="34">
        <v>0</v>
      </c>
      <c r="FL6" s="34">
        <v>0</v>
      </c>
      <c r="FM6" s="34">
        <v>0</v>
      </c>
      <c r="FN6" s="34">
        <v>0</v>
      </c>
      <c r="FO6" s="34">
        <v>0</v>
      </c>
      <c r="FP6" s="34">
        <v>0</v>
      </c>
      <c r="FQ6" s="34">
        <v>0</v>
      </c>
      <c r="FR6" s="34">
        <v>0</v>
      </c>
      <c r="FS6" s="34">
        <v>0</v>
      </c>
      <c r="FT6" s="34">
        <v>0</v>
      </c>
      <c r="FU6" s="34">
        <v>0</v>
      </c>
      <c r="FV6" s="34">
        <v>0</v>
      </c>
      <c r="FW6" s="34">
        <v>0</v>
      </c>
      <c r="FX6" s="34">
        <v>1</v>
      </c>
      <c r="FY6" s="34">
        <v>0</v>
      </c>
      <c r="FZ6" s="34">
        <v>0</v>
      </c>
      <c r="GA6" s="34">
        <v>0</v>
      </c>
      <c r="GB6" s="34">
        <v>0</v>
      </c>
      <c r="GC6" s="34">
        <v>0</v>
      </c>
      <c r="GD6" s="34">
        <v>0</v>
      </c>
      <c r="GE6" s="34">
        <v>0</v>
      </c>
      <c r="GF6" s="34">
        <v>0</v>
      </c>
      <c r="GG6" s="34">
        <v>0</v>
      </c>
      <c r="GH6" s="34">
        <v>0</v>
      </c>
      <c r="GI6" s="34">
        <v>0</v>
      </c>
      <c r="GJ6" s="34">
        <v>0</v>
      </c>
      <c r="GK6" s="34">
        <v>0</v>
      </c>
      <c r="GL6" s="34">
        <v>0</v>
      </c>
      <c r="GM6" s="34">
        <v>0</v>
      </c>
      <c r="GN6" s="34">
        <v>0</v>
      </c>
      <c r="GO6" s="34">
        <v>0</v>
      </c>
      <c r="GP6" s="34">
        <v>0</v>
      </c>
      <c r="GQ6" s="34">
        <v>0</v>
      </c>
      <c r="GR6" s="34">
        <v>0</v>
      </c>
      <c r="GS6" s="34">
        <v>0</v>
      </c>
      <c r="GT6" s="34">
        <v>0</v>
      </c>
      <c r="GU6" s="34">
        <v>0</v>
      </c>
      <c r="GV6" s="34">
        <v>0</v>
      </c>
      <c r="GW6" s="34">
        <v>0</v>
      </c>
      <c r="GX6" s="34">
        <v>0</v>
      </c>
      <c r="GY6" s="34">
        <v>0</v>
      </c>
      <c r="GZ6" s="34">
        <v>0</v>
      </c>
      <c r="HA6" s="34">
        <v>0</v>
      </c>
      <c r="HB6" s="34">
        <v>0</v>
      </c>
      <c r="HC6" s="34">
        <v>0</v>
      </c>
      <c r="HD6" s="34">
        <v>0</v>
      </c>
      <c r="HE6" s="34">
        <v>0</v>
      </c>
      <c r="HF6" s="34">
        <v>0</v>
      </c>
      <c r="HG6" s="34">
        <v>0</v>
      </c>
      <c r="HH6" s="34">
        <v>0</v>
      </c>
      <c r="HI6" s="34">
        <v>0</v>
      </c>
      <c r="HJ6" s="34">
        <v>0</v>
      </c>
      <c r="HK6" s="34">
        <v>0</v>
      </c>
      <c r="HL6" s="34">
        <v>0</v>
      </c>
      <c r="HM6" s="34">
        <v>0</v>
      </c>
      <c r="HN6" s="34">
        <v>0</v>
      </c>
      <c r="HO6" s="34">
        <v>0</v>
      </c>
      <c r="HP6" s="34">
        <v>1</v>
      </c>
      <c r="HQ6" s="34">
        <v>0</v>
      </c>
      <c r="HR6" s="34">
        <v>0</v>
      </c>
      <c r="HS6" s="34">
        <v>0</v>
      </c>
      <c r="HT6" s="34">
        <v>0</v>
      </c>
      <c r="HU6" s="34">
        <v>0</v>
      </c>
      <c r="HV6" s="34">
        <v>0</v>
      </c>
      <c r="HW6" s="34">
        <v>0</v>
      </c>
      <c r="HX6" s="34">
        <v>0</v>
      </c>
      <c r="HY6" s="34">
        <v>0</v>
      </c>
      <c r="HZ6" s="34">
        <v>0</v>
      </c>
      <c r="IA6" s="34">
        <v>1</v>
      </c>
      <c r="IB6" s="34">
        <v>0</v>
      </c>
      <c r="IC6" s="34">
        <v>0</v>
      </c>
      <c r="ID6" s="34">
        <v>0</v>
      </c>
      <c r="IE6" s="34">
        <v>0</v>
      </c>
      <c r="IF6" s="34">
        <v>0</v>
      </c>
      <c r="IG6" s="34">
        <v>0</v>
      </c>
    </row>
    <row r="7" spans="1:241" x14ac:dyDescent="0.3">
      <c r="A7" s="34" t="s">
        <v>40</v>
      </c>
      <c r="B7" s="38">
        <f t="shared" si="0"/>
        <v>17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34">
        <v>0</v>
      </c>
      <c r="M7" s="34">
        <v>1</v>
      </c>
      <c r="N7" s="34">
        <v>0</v>
      </c>
      <c r="O7" s="34">
        <v>1</v>
      </c>
      <c r="P7" s="34">
        <v>1</v>
      </c>
      <c r="Q7" s="34">
        <v>0</v>
      </c>
      <c r="R7" s="34">
        <v>0</v>
      </c>
      <c r="S7" s="34">
        <v>0</v>
      </c>
      <c r="T7" s="34">
        <v>0</v>
      </c>
      <c r="U7" s="34">
        <v>0</v>
      </c>
      <c r="V7" s="34"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  <c r="AB7" s="34">
        <v>0</v>
      </c>
      <c r="AC7" s="34">
        <v>1</v>
      </c>
      <c r="AD7" s="34">
        <v>0</v>
      </c>
      <c r="AE7" s="34">
        <v>0</v>
      </c>
      <c r="AF7" s="34">
        <v>0</v>
      </c>
      <c r="AG7" s="34">
        <v>0</v>
      </c>
      <c r="AH7" s="34">
        <v>1</v>
      </c>
      <c r="AI7" s="34">
        <v>0</v>
      </c>
      <c r="AJ7" s="34">
        <v>0</v>
      </c>
      <c r="AK7" s="34">
        <v>0</v>
      </c>
      <c r="AL7" s="34">
        <v>0</v>
      </c>
      <c r="AM7" s="34">
        <v>0</v>
      </c>
      <c r="AN7" s="34">
        <v>0</v>
      </c>
      <c r="AO7" s="34">
        <v>0</v>
      </c>
      <c r="AP7" s="34">
        <v>0</v>
      </c>
      <c r="AQ7" s="34">
        <v>0</v>
      </c>
      <c r="AR7" s="34">
        <v>0</v>
      </c>
      <c r="AS7" s="34">
        <v>0</v>
      </c>
      <c r="AT7" s="34">
        <v>0</v>
      </c>
      <c r="AU7" s="34">
        <v>0</v>
      </c>
      <c r="AV7" s="34">
        <v>0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4">
        <v>0</v>
      </c>
      <c r="BF7" s="34">
        <v>0</v>
      </c>
      <c r="BG7" s="34">
        <v>0</v>
      </c>
      <c r="BH7" s="34">
        <v>0</v>
      </c>
      <c r="BI7" s="34">
        <v>0</v>
      </c>
      <c r="BJ7" s="34">
        <v>0</v>
      </c>
      <c r="BK7" s="34">
        <v>0</v>
      </c>
      <c r="BL7" s="34">
        <v>0</v>
      </c>
      <c r="BM7" s="34">
        <v>0</v>
      </c>
      <c r="BN7" s="34">
        <v>0</v>
      </c>
      <c r="BO7" s="34">
        <v>0</v>
      </c>
      <c r="BP7" s="34">
        <v>0</v>
      </c>
      <c r="BQ7" s="34">
        <v>1</v>
      </c>
      <c r="BR7" s="34">
        <v>0</v>
      </c>
      <c r="BS7" s="34">
        <v>0</v>
      </c>
      <c r="BT7" s="34">
        <v>0</v>
      </c>
      <c r="BU7" s="34">
        <v>0</v>
      </c>
      <c r="BV7" s="34">
        <v>0</v>
      </c>
      <c r="BW7" s="34">
        <v>0</v>
      </c>
      <c r="BX7" s="34">
        <v>0</v>
      </c>
      <c r="BY7" s="34">
        <v>0</v>
      </c>
      <c r="BZ7" s="34">
        <v>0</v>
      </c>
      <c r="CA7" s="34">
        <v>1</v>
      </c>
      <c r="CB7" s="34">
        <v>0</v>
      </c>
      <c r="CC7" s="34">
        <v>0</v>
      </c>
      <c r="CD7" s="34">
        <v>0</v>
      </c>
      <c r="CE7" s="34">
        <v>0</v>
      </c>
      <c r="CF7" s="34">
        <v>0</v>
      </c>
      <c r="CG7" s="34">
        <v>0</v>
      </c>
      <c r="CH7" s="34">
        <v>0</v>
      </c>
      <c r="CI7" s="34">
        <v>0</v>
      </c>
      <c r="CJ7" s="34">
        <v>0</v>
      </c>
      <c r="CK7" s="34">
        <v>0</v>
      </c>
      <c r="CL7" s="34">
        <v>0</v>
      </c>
      <c r="CM7" s="34">
        <v>0</v>
      </c>
      <c r="CN7" s="34">
        <v>0</v>
      </c>
      <c r="CO7" s="34">
        <v>0</v>
      </c>
      <c r="CP7" s="34">
        <v>0</v>
      </c>
      <c r="CQ7" s="34">
        <v>0</v>
      </c>
      <c r="CR7" s="34">
        <v>1</v>
      </c>
      <c r="CS7" s="34">
        <v>1</v>
      </c>
      <c r="CT7" s="34">
        <v>0</v>
      </c>
      <c r="CU7" s="34">
        <v>0</v>
      </c>
      <c r="CV7" s="34">
        <v>0</v>
      </c>
      <c r="CW7" s="34">
        <v>0</v>
      </c>
      <c r="CX7" s="34">
        <v>0</v>
      </c>
      <c r="CY7" s="34">
        <v>0</v>
      </c>
      <c r="CZ7" s="34">
        <v>1</v>
      </c>
      <c r="DA7" s="34">
        <v>0</v>
      </c>
      <c r="DB7" s="34">
        <v>0</v>
      </c>
      <c r="DC7" s="34">
        <v>0</v>
      </c>
      <c r="DD7" s="34">
        <v>0</v>
      </c>
      <c r="DE7" s="34">
        <v>0</v>
      </c>
      <c r="DF7" s="34">
        <v>0</v>
      </c>
      <c r="DG7" s="34">
        <v>0</v>
      </c>
      <c r="DH7" s="34">
        <v>0</v>
      </c>
      <c r="DI7" s="34">
        <v>0</v>
      </c>
      <c r="DJ7" s="34">
        <v>0</v>
      </c>
      <c r="DK7" s="34">
        <v>0</v>
      </c>
      <c r="DL7" s="34">
        <v>0</v>
      </c>
      <c r="DM7" s="34">
        <v>0</v>
      </c>
      <c r="DN7" s="34">
        <v>1</v>
      </c>
      <c r="DO7" s="34">
        <v>0</v>
      </c>
      <c r="DP7" s="34">
        <v>1</v>
      </c>
      <c r="DQ7" s="34">
        <v>0</v>
      </c>
      <c r="DR7" s="34">
        <v>0</v>
      </c>
      <c r="DS7" s="34">
        <v>0</v>
      </c>
      <c r="DT7" s="34">
        <v>0</v>
      </c>
      <c r="DU7" s="34">
        <v>0</v>
      </c>
      <c r="DV7" s="34">
        <v>0</v>
      </c>
      <c r="DW7" s="34">
        <v>0</v>
      </c>
      <c r="DX7" s="34">
        <v>0</v>
      </c>
      <c r="DY7" s="34">
        <v>0</v>
      </c>
      <c r="DZ7" s="34">
        <v>0</v>
      </c>
      <c r="EA7" s="34">
        <v>0</v>
      </c>
      <c r="EB7" s="34">
        <v>0</v>
      </c>
      <c r="EC7" s="34">
        <v>0</v>
      </c>
      <c r="ED7" s="34">
        <v>0</v>
      </c>
      <c r="EE7" s="34">
        <v>0</v>
      </c>
      <c r="EF7" s="34">
        <v>1</v>
      </c>
      <c r="EG7" s="34">
        <v>0</v>
      </c>
      <c r="EH7" s="34">
        <v>1</v>
      </c>
      <c r="EI7" s="34">
        <v>0</v>
      </c>
      <c r="EJ7" s="34">
        <v>0</v>
      </c>
      <c r="EK7" s="34">
        <v>0</v>
      </c>
      <c r="EL7" s="34">
        <v>0</v>
      </c>
      <c r="EM7" s="34">
        <v>0</v>
      </c>
      <c r="EN7" s="34">
        <v>0</v>
      </c>
      <c r="EO7" s="34">
        <v>0</v>
      </c>
      <c r="EP7" s="34">
        <v>0</v>
      </c>
      <c r="EQ7" s="34">
        <v>0</v>
      </c>
      <c r="ER7" s="34">
        <v>0</v>
      </c>
      <c r="ES7" s="34">
        <v>0</v>
      </c>
      <c r="ET7" s="34">
        <v>0</v>
      </c>
      <c r="EU7" s="34">
        <v>0</v>
      </c>
      <c r="EV7" s="34">
        <v>0</v>
      </c>
      <c r="EW7" s="34">
        <v>0</v>
      </c>
      <c r="EX7" s="34">
        <v>0</v>
      </c>
      <c r="EY7" s="34">
        <v>0</v>
      </c>
      <c r="EZ7" s="34">
        <v>0</v>
      </c>
      <c r="FA7" s="34">
        <v>0</v>
      </c>
      <c r="FB7" s="34">
        <v>0</v>
      </c>
      <c r="FC7" s="34">
        <v>0</v>
      </c>
      <c r="FD7" s="34">
        <v>0</v>
      </c>
      <c r="FE7" s="34">
        <v>1</v>
      </c>
      <c r="FF7" s="34">
        <v>0</v>
      </c>
      <c r="FG7" s="34">
        <v>0</v>
      </c>
      <c r="FH7" s="34">
        <v>0</v>
      </c>
      <c r="FI7" s="34">
        <v>0</v>
      </c>
      <c r="FJ7" s="34">
        <v>0</v>
      </c>
      <c r="FK7" s="34">
        <v>0</v>
      </c>
      <c r="FL7" s="34">
        <v>1</v>
      </c>
      <c r="FM7" s="34">
        <v>0</v>
      </c>
      <c r="FN7" s="34">
        <v>0</v>
      </c>
      <c r="FO7" s="34">
        <v>0</v>
      </c>
      <c r="FP7" s="34">
        <v>0</v>
      </c>
      <c r="FQ7" s="34">
        <v>0</v>
      </c>
      <c r="FR7" s="34">
        <v>0</v>
      </c>
      <c r="FS7" s="34">
        <v>0</v>
      </c>
      <c r="FT7" s="34">
        <v>0</v>
      </c>
      <c r="FU7" s="34">
        <v>0</v>
      </c>
      <c r="FV7" s="34">
        <v>0</v>
      </c>
      <c r="FW7" s="34">
        <v>0</v>
      </c>
      <c r="FX7" s="34">
        <v>0</v>
      </c>
      <c r="FY7" s="34">
        <v>0</v>
      </c>
      <c r="FZ7" s="34">
        <v>0</v>
      </c>
      <c r="GA7" s="34">
        <v>0</v>
      </c>
      <c r="GB7" s="34">
        <v>0</v>
      </c>
      <c r="GC7" s="34">
        <v>0</v>
      </c>
      <c r="GD7" s="34">
        <v>0</v>
      </c>
      <c r="GE7" s="34">
        <v>0</v>
      </c>
      <c r="GF7" s="34">
        <v>0</v>
      </c>
      <c r="GG7" s="34">
        <v>0</v>
      </c>
      <c r="GH7" s="34">
        <v>0</v>
      </c>
      <c r="GI7" s="34">
        <v>0</v>
      </c>
      <c r="GJ7" s="34">
        <v>0</v>
      </c>
      <c r="GK7" s="34">
        <v>0</v>
      </c>
      <c r="GL7" s="34">
        <v>0</v>
      </c>
      <c r="GM7" s="34">
        <v>0</v>
      </c>
      <c r="GN7" s="34">
        <v>0</v>
      </c>
      <c r="GO7" s="34">
        <v>0</v>
      </c>
      <c r="GP7" s="34">
        <v>0</v>
      </c>
      <c r="GQ7" s="34">
        <v>0</v>
      </c>
      <c r="GR7" s="34">
        <v>0</v>
      </c>
      <c r="GS7" s="34">
        <v>0</v>
      </c>
      <c r="GT7" s="34">
        <v>0</v>
      </c>
      <c r="GU7" s="34">
        <v>0</v>
      </c>
      <c r="GV7" s="34">
        <v>0</v>
      </c>
      <c r="GW7" s="34">
        <v>0</v>
      </c>
      <c r="GX7" s="34">
        <v>0</v>
      </c>
      <c r="GY7" s="34">
        <v>0</v>
      </c>
      <c r="GZ7" s="34">
        <v>0</v>
      </c>
      <c r="HA7" s="34">
        <v>0</v>
      </c>
      <c r="HB7" s="34">
        <v>0</v>
      </c>
      <c r="HC7" s="34">
        <v>0</v>
      </c>
      <c r="HD7" s="34">
        <v>0</v>
      </c>
      <c r="HE7" s="34">
        <v>0</v>
      </c>
      <c r="HF7" s="34">
        <v>0</v>
      </c>
      <c r="HG7" s="34">
        <v>0</v>
      </c>
      <c r="HH7" s="34">
        <v>0</v>
      </c>
      <c r="HI7" s="34">
        <v>0</v>
      </c>
      <c r="HJ7" s="34">
        <v>0</v>
      </c>
      <c r="HK7" s="34">
        <v>0</v>
      </c>
      <c r="HL7" s="34">
        <v>0</v>
      </c>
      <c r="HM7" s="34">
        <v>0</v>
      </c>
      <c r="HN7" s="34">
        <v>0</v>
      </c>
      <c r="HO7" s="34">
        <v>0</v>
      </c>
      <c r="HP7" s="34">
        <v>0</v>
      </c>
      <c r="HQ7" s="34">
        <v>0</v>
      </c>
      <c r="HR7" s="34">
        <v>0</v>
      </c>
      <c r="HS7" s="34">
        <v>0</v>
      </c>
      <c r="HT7" s="34">
        <v>0</v>
      </c>
      <c r="HU7" s="34">
        <v>0</v>
      </c>
      <c r="HV7" s="34">
        <v>0</v>
      </c>
      <c r="HW7" s="34">
        <v>0</v>
      </c>
      <c r="HX7" s="34">
        <v>0</v>
      </c>
      <c r="HY7" s="34">
        <v>0</v>
      </c>
      <c r="HZ7" s="34">
        <v>1</v>
      </c>
      <c r="IA7" s="34">
        <v>0</v>
      </c>
      <c r="IB7" s="34">
        <v>0</v>
      </c>
      <c r="IC7" s="34">
        <v>0</v>
      </c>
      <c r="ID7" s="34">
        <v>0</v>
      </c>
      <c r="IE7" s="34">
        <v>0</v>
      </c>
      <c r="IF7" s="34">
        <v>0</v>
      </c>
      <c r="IG7" s="34">
        <v>0</v>
      </c>
    </row>
    <row r="8" spans="1:241" x14ac:dyDescent="0.3">
      <c r="A8" s="34" t="s">
        <v>41</v>
      </c>
      <c r="B8" s="38">
        <f t="shared" si="0"/>
        <v>20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34">
        <v>1</v>
      </c>
      <c r="K8" s="34">
        <v>0</v>
      </c>
      <c r="L8" s="34">
        <v>0</v>
      </c>
      <c r="M8" s="34">
        <v>0</v>
      </c>
      <c r="N8" s="34">
        <v>2</v>
      </c>
      <c r="O8" s="34">
        <v>0</v>
      </c>
      <c r="P8" s="34">
        <v>0</v>
      </c>
      <c r="Q8" s="34">
        <v>0</v>
      </c>
      <c r="R8" s="34">
        <v>0</v>
      </c>
      <c r="S8" s="34">
        <v>0</v>
      </c>
      <c r="T8" s="34">
        <v>0</v>
      </c>
      <c r="U8" s="34">
        <v>0</v>
      </c>
      <c r="V8" s="34"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34">
        <v>0</v>
      </c>
      <c r="AD8" s="34">
        <v>0</v>
      </c>
      <c r="AE8" s="34">
        <v>0</v>
      </c>
      <c r="AF8" s="34">
        <v>0</v>
      </c>
      <c r="AG8" s="34">
        <v>0</v>
      </c>
      <c r="AH8" s="34">
        <v>0</v>
      </c>
      <c r="AI8" s="34">
        <v>0</v>
      </c>
      <c r="AJ8" s="34">
        <v>0</v>
      </c>
      <c r="AK8" s="34">
        <v>0</v>
      </c>
      <c r="AL8" s="34">
        <v>1</v>
      </c>
      <c r="AM8" s="34">
        <v>0</v>
      </c>
      <c r="AN8" s="34">
        <v>0</v>
      </c>
      <c r="AO8" s="34">
        <v>0</v>
      </c>
      <c r="AP8" s="34">
        <v>0</v>
      </c>
      <c r="AQ8" s="34">
        <v>0</v>
      </c>
      <c r="AR8" s="34">
        <v>0</v>
      </c>
      <c r="AS8" s="34">
        <v>0</v>
      </c>
      <c r="AT8" s="34">
        <v>0</v>
      </c>
      <c r="AU8" s="34">
        <v>0</v>
      </c>
      <c r="AV8" s="34">
        <v>0</v>
      </c>
      <c r="AW8" s="34">
        <v>1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4">
        <v>1</v>
      </c>
      <c r="BF8" s="34">
        <v>1</v>
      </c>
      <c r="BG8" s="34">
        <v>0</v>
      </c>
      <c r="BH8" s="34">
        <v>0</v>
      </c>
      <c r="BI8" s="34">
        <v>0</v>
      </c>
      <c r="BJ8" s="34">
        <v>0</v>
      </c>
      <c r="BK8" s="34">
        <v>1</v>
      </c>
      <c r="BL8" s="34">
        <v>0</v>
      </c>
      <c r="BM8" s="34">
        <v>0</v>
      </c>
      <c r="BN8" s="34">
        <v>0</v>
      </c>
      <c r="BO8" s="34">
        <v>0</v>
      </c>
      <c r="BP8" s="34">
        <v>0</v>
      </c>
      <c r="BQ8" s="34">
        <v>0</v>
      </c>
      <c r="BR8" s="34">
        <v>0</v>
      </c>
      <c r="BS8" s="34">
        <v>0</v>
      </c>
      <c r="BT8" s="34">
        <v>0</v>
      </c>
      <c r="BU8" s="34">
        <v>0</v>
      </c>
      <c r="BV8" s="34">
        <v>0</v>
      </c>
      <c r="BW8" s="34">
        <v>0</v>
      </c>
      <c r="BX8" s="34">
        <v>0</v>
      </c>
      <c r="BY8" s="34">
        <v>0</v>
      </c>
      <c r="BZ8" s="34">
        <v>1</v>
      </c>
      <c r="CA8" s="34">
        <v>0</v>
      </c>
      <c r="CB8" s="34">
        <v>0</v>
      </c>
      <c r="CC8" s="34">
        <v>0</v>
      </c>
      <c r="CD8" s="34">
        <v>0</v>
      </c>
      <c r="CE8" s="34">
        <v>0</v>
      </c>
      <c r="CF8" s="34">
        <v>0</v>
      </c>
      <c r="CG8" s="34">
        <v>0</v>
      </c>
      <c r="CH8" s="34">
        <v>0</v>
      </c>
      <c r="CI8" s="34">
        <v>0</v>
      </c>
      <c r="CJ8" s="34">
        <v>0</v>
      </c>
      <c r="CK8" s="34">
        <v>0</v>
      </c>
      <c r="CL8" s="34">
        <v>0</v>
      </c>
      <c r="CM8" s="34">
        <v>0</v>
      </c>
      <c r="CN8" s="34">
        <v>0</v>
      </c>
      <c r="CO8" s="34">
        <v>0</v>
      </c>
      <c r="CP8" s="34">
        <v>0</v>
      </c>
      <c r="CQ8" s="34">
        <v>0</v>
      </c>
      <c r="CR8" s="34">
        <v>0</v>
      </c>
      <c r="CS8" s="34">
        <v>0</v>
      </c>
      <c r="CT8" s="34">
        <v>0</v>
      </c>
      <c r="CU8" s="34">
        <v>0</v>
      </c>
      <c r="CV8" s="34">
        <v>0</v>
      </c>
      <c r="CW8" s="34">
        <v>1</v>
      </c>
      <c r="CX8" s="34">
        <v>0</v>
      </c>
      <c r="CY8" s="34">
        <v>0</v>
      </c>
      <c r="CZ8" s="34">
        <v>0</v>
      </c>
      <c r="DA8" s="34">
        <v>0</v>
      </c>
      <c r="DB8" s="34">
        <v>0</v>
      </c>
      <c r="DC8" s="34">
        <v>0</v>
      </c>
      <c r="DD8" s="34">
        <v>0</v>
      </c>
      <c r="DE8" s="34">
        <v>0</v>
      </c>
      <c r="DF8" s="34">
        <v>0</v>
      </c>
      <c r="DG8" s="34">
        <v>0</v>
      </c>
      <c r="DH8" s="34">
        <v>0</v>
      </c>
      <c r="DI8" s="34">
        <v>0</v>
      </c>
      <c r="DJ8" s="34">
        <v>0</v>
      </c>
      <c r="DK8" s="34">
        <v>0</v>
      </c>
      <c r="DL8" s="34">
        <v>0</v>
      </c>
      <c r="DM8" s="34">
        <v>0</v>
      </c>
      <c r="DN8" s="34">
        <v>0</v>
      </c>
      <c r="DO8" s="34">
        <v>0</v>
      </c>
      <c r="DP8" s="34">
        <v>0</v>
      </c>
      <c r="DQ8" s="34">
        <v>0</v>
      </c>
      <c r="DR8" s="34">
        <v>0</v>
      </c>
      <c r="DS8" s="34">
        <v>0</v>
      </c>
      <c r="DT8" s="34">
        <v>0</v>
      </c>
      <c r="DU8" s="34">
        <v>0</v>
      </c>
      <c r="DV8" s="34">
        <v>0</v>
      </c>
      <c r="DW8" s="34">
        <v>0</v>
      </c>
      <c r="DX8" s="34">
        <v>0</v>
      </c>
      <c r="DY8" s="34">
        <v>0</v>
      </c>
      <c r="DZ8" s="34">
        <v>0</v>
      </c>
      <c r="EA8" s="34">
        <v>0</v>
      </c>
      <c r="EB8" s="34">
        <v>0</v>
      </c>
      <c r="EC8" s="34">
        <v>0</v>
      </c>
      <c r="ED8" s="34">
        <v>0</v>
      </c>
      <c r="EE8" s="34">
        <v>0</v>
      </c>
      <c r="EF8" s="34">
        <v>0</v>
      </c>
      <c r="EG8" s="34">
        <v>0</v>
      </c>
      <c r="EH8" s="34">
        <v>0</v>
      </c>
      <c r="EI8" s="34">
        <v>0</v>
      </c>
      <c r="EJ8" s="34">
        <v>0</v>
      </c>
      <c r="EK8" s="34">
        <v>0</v>
      </c>
      <c r="EL8" s="34">
        <v>0</v>
      </c>
      <c r="EM8" s="34">
        <v>1</v>
      </c>
      <c r="EN8" s="34">
        <v>1</v>
      </c>
      <c r="EO8" s="34">
        <v>0</v>
      </c>
      <c r="EP8" s="34">
        <v>1</v>
      </c>
      <c r="EQ8" s="34">
        <v>0</v>
      </c>
      <c r="ER8" s="34">
        <v>0</v>
      </c>
      <c r="ES8" s="34">
        <v>0</v>
      </c>
      <c r="ET8" s="34">
        <v>0</v>
      </c>
      <c r="EU8" s="34">
        <v>1</v>
      </c>
      <c r="EV8" s="34">
        <v>0</v>
      </c>
      <c r="EW8" s="34">
        <v>0</v>
      </c>
      <c r="EX8" s="34">
        <v>1</v>
      </c>
      <c r="EY8" s="34">
        <v>0</v>
      </c>
      <c r="EZ8" s="34">
        <v>0</v>
      </c>
      <c r="FA8" s="34">
        <v>0</v>
      </c>
      <c r="FB8" s="34">
        <v>0</v>
      </c>
      <c r="FC8" s="34">
        <v>0</v>
      </c>
      <c r="FD8" s="34">
        <v>0</v>
      </c>
      <c r="FE8" s="34">
        <v>0</v>
      </c>
      <c r="FF8" s="34">
        <v>0</v>
      </c>
      <c r="FG8" s="34">
        <v>0</v>
      </c>
      <c r="FH8" s="34">
        <v>0</v>
      </c>
      <c r="FI8" s="34">
        <v>0</v>
      </c>
      <c r="FJ8" s="34">
        <v>0</v>
      </c>
      <c r="FK8" s="34">
        <v>0</v>
      </c>
      <c r="FL8" s="34">
        <v>0</v>
      </c>
      <c r="FM8" s="34">
        <v>0</v>
      </c>
      <c r="FN8" s="34">
        <v>1</v>
      </c>
      <c r="FO8" s="34">
        <v>0</v>
      </c>
      <c r="FP8" s="34">
        <v>0</v>
      </c>
      <c r="FQ8" s="34">
        <v>1</v>
      </c>
      <c r="FR8" s="34">
        <v>0</v>
      </c>
      <c r="FS8" s="34">
        <v>0</v>
      </c>
      <c r="FT8" s="34">
        <v>0</v>
      </c>
      <c r="FU8" s="34">
        <v>0</v>
      </c>
      <c r="FV8" s="34">
        <v>0</v>
      </c>
      <c r="FW8" s="34">
        <v>0</v>
      </c>
      <c r="FX8" s="34">
        <v>0</v>
      </c>
      <c r="FY8" s="34">
        <v>0</v>
      </c>
      <c r="FZ8" s="34">
        <v>0</v>
      </c>
      <c r="GA8" s="34">
        <v>0</v>
      </c>
      <c r="GB8" s="34">
        <v>0</v>
      </c>
      <c r="GC8" s="34">
        <v>0</v>
      </c>
      <c r="GD8" s="34">
        <v>0</v>
      </c>
      <c r="GE8" s="34">
        <v>0</v>
      </c>
      <c r="GF8" s="34">
        <v>0</v>
      </c>
      <c r="GG8" s="34">
        <v>0</v>
      </c>
      <c r="GH8" s="34">
        <v>0</v>
      </c>
      <c r="GI8" s="34">
        <v>0</v>
      </c>
      <c r="GJ8" s="34">
        <v>0</v>
      </c>
      <c r="GK8" s="34">
        <v>0</v>
      </c>
      <c r="GL8" s="34">
        <v>1</v>
      </c>
      <c r="GM8" s="34">
        <v>0</v>
      </c>
      <c r="GN8" s="34">
        <v>0</v>
      </c>
      <c r="GO8" s="34">
        <v>0</v>
      </c>
      <c r="GP8" s="34">
        <v>0</v>
      </c>
      <c r="GQ8" s="34">
        <v>0</v>
      </c>
      <c r="GR8" s="34">
        <v>0</v>
      </c>
      <c r="GS8" s="34">
        <v>0</v>
      </c>
      <c r="GT8" s="34">
        <v>0</v>
      </c>
      <c r="GU8" s="34">
        <v>0</v>
      </c>
      <c r="GV8" s="34">
        <v>1</v>
      </c>
      <c r="GW8" s="34">
        <v>0</v>
      </c>
      <c r="GX8" s="34">
        <v>0</v>
      </c>
      <c r="GY8" s="34">
        <v>0</v>
      </c>
      <c r="GZ8" s="34">
        <v>0</v>
      </c>
      <c r="HA8" s="34">
        <v>0</v>
      </c>
      <c r="HB8" s="34">
        <v>0</v>
      </c>
      <c r="HC8" s="34">
        <v>0</v>
      </c>
      <c r="HD8" s="34">
        <v>0</v>
      </c>
      <c r="HE8" s="34">
        <v>0</v>
      </c>
      <c r="HF8" s="34">
        <v>0</v>
      </c>
      <c r="HG8" s="34">
        <v>0</v>
      </c>
      <c r="HH8" s="34">
        <v>0</v>
      </c>
      <c r="HI8" s="34">
        <v>0</v>
      </c>
      <c r="HJ8" s="34">
        <v>0</v>
      </c>
      <c r="HK8" s="34">
        <v>0</v>
      </c>
      <c r="HL8" s="34">
        <v>0</v>
      </c>
      <c r="HM8" s="34">
        <v>0</v>
      </c>
      <c r="HN8" s="34">
        <v>0</v>
      </c>
      <c r="HO8" s="34">
        <v>0</v>
      </c>
      <c r="HP8" s="34">
        <v>0</v>
      </c>
      <c r="HQ8" s="34">
        <v>0</v>
      </c>
      <c r="HR8" s="34">
        <v>1</v>
      </c>
      <c r="HS8" s="34">
        <v>0</v>
      </c>
      <c r="HT8" s="34">
        <v>0</v>
      </c>
      <c r="HU8" s="34">
        <v>0</v>
      </c>
      <c r="HV8" s="34">
        <v>0</v>
      </c>
      <c r="HW8" s="34">
        <v>0</v>
      </c>
      <c r="HX8" s="34">
        <v>0</v>
      </c>
      <c r="HY8" s="34">
        <v>0</v>
      </c>
      <c r="HZ8" s="34">
        <v>0</v>
      </c>
      <c r="IA8" s="34">
        <v>0</v>
      </c>
      <c r="IB8" s="34">
        <v>0</v>
      </c>
      <c r="IC8" s="34">
        <v>0</v>
      </c>
      <c r="ID8" s="34">
        <v>0</v>
      </c>
      <c r="IE8" s="34">
        <v>0</v>
      </c>
      <c r="IF8" s="34">
        <v>0</v>
      </c>
      <c r="IG8" s="34">
        <v>0</v>
      </c>
    </row>
    <row r="9" spans="1:241" x14ac:dyDescent="0.3">
      <c r="A9" s="34" t="s">
        <v>43</v>
      </c>
      <c r="B9" s="38">
        <f t="shared" si="0"/>
        <v>8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34">
        <v>0</v>
      </c>
      <c r="O9" s="34">
        <v>0</v>
      </c>
      <c r="P9" s="34">
        <v>0</v>
      </c>
      <c r="Q9" s="34">
        <v>0</v>
      </c>
      <c r="R9" s="34">
        <v>0</v>
      </c>
      <c r="S9" s="34">
        <v>0</v>
      </c>
      <c r="T9" s="34">
        <v>0</v>
      </c>
      <c r="U9" s="34">
        <v>0</v>
      </c>
      <c r="V9" s="34"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  <c r="AB9" s="34">
        <v>0</v>
      </c>
      <c r="AC9" s="34">
        <v>0</v>
      </c>
      <c r="AD9" s="34">
        <v>0</v>
      </c>
      <c r="AE9" s="34">
        <v>0</v>
      </c>
      <c r="AF9" s="34">
        <v>0</v>
      </c>
      <c r="AG9" s="34">
        <v>0</v>
      </c>
      <c r="AH9" s="34">
        <v>0</v>
      </c>
      <c r="AI9" s="34">
        <v>0</v>
      </c>
      <c r="AJ9" s="34">
        <v>0</v>
      </c>
      <c r="AK9" s="34">
        <v>0</v>
      </c>
      <c r="AL9" s="34">
        <v>0</v>
      </c>
      <c r="AM9" s="34">
        <v>0</v>
      </c>
      <c r="AN9" s="34">
        <v>0</v>
      </c>
      <c r="AO9" s="34">
        <v>0</v>
      </c>
      <c r="AP9" s="34">
        <v>0</v>
      </c>
      <c r="AQ9" s="34">
        <v>0</v>
      </c>
      <c r="AR9" s="34">
        <v>0</v>
      </c>
      <c r="AS9" s="34">
        <v>0</v>
      </c>
      <c r="AT9" s="34">
        <v>0</v>
      </c>
      <c r="AU9" s="34">
        <v>0</v>
      </c>
      <c r="AV9" s="34">
        <v>0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4">
        <v>0</v>
      </c>
      <c r="BF9" s="34">
        <v>0</v>
      </c>
      <c r="BG9" s="34">
        <v>0</v>
      </c>
      <c r="BH9" s="34">
        <v>0</v>
      </c>
      <c r="BI9" s="34">
        <v>0</v>
      </c>
      <c r="BJ9" s="34">
        <v>0</v>
      </c>
      <c r="BK9" s="34">
        <v>0</v>
      </c>
      <c r="BL9" s="34">
        <v>0</v>
      </c>
      <c r="BM9" s="34">
        <v>0</v>
      </c>
      <c r="BN9" s="34">
        <v>0</v>
      </c>
      <c r="BO9" s="34">
        <v>0</v>
      </c>
      <c r="BP9" s="34">
        <v>0</v>
      </c>
      <c r="BQ9" s="34">
        <v>0</v>
      </c>
      <c r="BR9" s="34">
        <v>0</v>
      </c>
      <c r="BS9" s="34">
        <v>0</v>
      </c>
      <c r="BT9" s="34">
        <v>0</v>
      </c>
      <c r="BU9" s="34">
        <v>0</v>
      </c>
      <c r="BV9" s="34">
        <v>0</v>
      </c>
      <c r="BW9" s="34">
        <v>0</v>
      </c>
      <c r="BX9" s="34">
        <v>0</v>
      </c>
      <c r="BY9" s="34">
        <v>0</v>
      </c>
      <c r="BZ9" s="34">
        <v>0</v>
      </c>
      <c r="CA9" s="34">
        <v>0</v>
      </c>
      <c r="CB9" s="34">
        <v>0</v>
      </c>
      <c r="CC9" s="34">
        <v>0</v>
      </c>
      <c r="CD9" s="34">
        <v>0</v>
      </c>
      <c r="CE9" s="34">
        <v>0</v>
      </c>
      <c r="CF9" s="34">
        <v>0</v>
      </c>
      <c r="CG9" s="34">
        <v>0</v>
      </c>
      <c r="CH9" s="34">
        <v>0</v>
      </c>
      <c r="CI9" s="34">
        <v>0</v>
      </c>
      <c r="CJ9" s="34">
        <v>0</v>
      </c>
      <c r="CK9" s="34">
        <v>0</v>
      </c>
      <c r="CL9" s="34">
        <v>0</v>
      </c>
      <c r="CM9" s="34">
        <v>0</v>
      </c>
      <c r="CN9" s="34">
        <v>0</v>
      </c>
      <c r="CO9" s="34">
        <v>0</v>
      </c>
      <c r="CP9" s="34">
        <v>0</v>
      </c>
      <c r="CQ9" s="34">
        <v>0</v>
      </c>
      <c r="CR9" s="34">
        <v>0</v>
      </c>
      <c r="CS9" s="34">
        <v>0</v>
      </c>
      <c r="CT9" s="34">
        <v>0</v>
      </c>
      <c r="CU9" s="34">
        <v>0</v>
      </c>
      <c r="CV9" s="34">
        <v>0</v>
      </c>
      <c r="CW9" s="34">
        <v>0</v>
      </c>
      <c r="CX9" s="34">
        <v>0</v>
      </c>
      <c r="CY9" s="34">
        <v>0</v>
      </c>
      <c r="CZ9" s="34">
        <v>0</v>
      </c>
      <c r="DA9" s="34">
        <v>1</v>
      </c>
      <c r="DB9" s="34">
        <v>0</v>
      </c>
      <c r="DC9" s="34">
        <v>0</v>
      </c>
      <c r="DD9" s="34">
        <v>0</v>
      </c>
      <c r="DE9" s="34">
        <v>0</v>
      </c>
      <c r="DF9" s="34">
        <v>0</v>
      </c>
      <c r="DG9" s="34">
        <v>0</v>
      </c>
      <c r="DH9" s="34">
        <v>0</v>
      </c>
      <c r="DI9" s="34">
        <v>0</v>
      </c>
      <c r="DJ9" s="34">
        <v>0</v>
      </c>
      <c r="DK9" s="34">
        <v>0</v>
      </c>
      <c r="DL9" s="34">
        <v>0</v>
      </c>
      <c r="DM9" s="34">
        <v>0</v>
      </c>
      <c r="DN9" s="34">
        <v>0</v>
      </c>
      <c r="DO9" s="34">
        <v>0</v>
      </c>
      <c r="DP9" s="34">
        <v>0</v>
      </c>
      <c r="DQ9" s="34">
        <v>0</v>
      </c>
      <c r="DR9" s="34">
        <v>0</v>
      </c>
      <c r="DS9" s="34">
        <v>0</v>
      </c>
      <c r="DT9" s="34">
        <v>0</v>
      </c>
      <c r="DU9" s="34">
        <v>0</v>
      </c>
      <c r="DV9" s="34">
        <v>0</v>
      </c>
      <c r="DW9" s="34">
        <v>0</v>
      </c>
      <c r="DX9" s="34">
        <v>0</v>
      </c>
      <c r="DY9" s="34">
        <v>0</v>
      </c>
      <c r="DZ9" s="34">
        <v>0</v>
      </c>
      <c r="EA9" s="34">
        <v>0</v>
      </c>
      <c r="EB9" s="34">
        <v>0</v>
      </c>
      <c r="EC9" s="34">
        <v>0</v>
      </c>
      <c r="ED9" s="34">
        <v>0</v>
      </c>
      <c r="EE9" s="34">
        <v>0</v>
      </c>
      <c r="EF9" s="34">
        <v>0</v>
      </c>
      <c r="EG9" s="34">
        <v>0</v>
      </c>
      <c r="EH9" s="34">
        <v>0</v>
      </c>
      <c r="EI9" s="34">
        <v>0</v>
      </c>
      <c r="EJ9" s="34">
        <v>0</v>
      </c>
      <c r="EK9" s="34">
        <v>0</v>
      </c>
      <c r="EL9" s="34">
        <v>0</v>
      </c>
      <c r="EM9" s="34">
        <v>0</v>
      </c>
      <c r="EN9" s="34">
        <v>0</v>
      </c>
      <c r="EO9" s="34">
        <v>0</v>
      </c>
      <c r="EP9" s="34">
        <v>0</v>
      </c>
      <c r="EQ9" s="34">
        <v>0</v>
      </c>
      <c r="ER9" s="34">
        <v>0</v>
      </c>
      <c r="ES9" s="34">
        <v>1</v>
      </c>
      <c r="ET9" s="34">
        <v>1</v>
      </c>
      <c r="EU9" s="34">
        <v>0</v>
      </c>
      <c r="EV9" s="34">
        <v>0</v>
      </c>
      <c r="EW9" s="34">
        <v>0</v>
      </c>
      <c r="EX9" s="34">
        <v>0</v>
      </c>
      <c r="EY9" s="34">
        <v>0</v>
      </c>
      <c r="EZ9" s="34">
        <v>0</v>
      </c>
      <c r="FA9" s="34">
        <v>0</v>
      </c>
      <c r="FB9" s="34">
        <v>0</v>
      </c>
      <c r="FC9" s="34">
        <v>0</v>
      </c>
      <c r="FD9" s="34">
        <v>0</v>
      </c>
      <c r="FE9" s="34">
        <v>0</v>
      </c>
      <c r="FF9" s="34">
        <v>0</v>
      </c>
      <c r="FG9" s="34">
        <v>0</v>
      </c>
      <c r="FH9" s="34">
        <v>0</v>
      </c>
      <c r="FI9" s="34">
        <v>0</v>
      </c>
      <c r="FJ9" s="34">
        <v>0</v>
      </c>
      <c r="FK9" s="34">
        <v>0</v>
      </c>
      <c r="FL9" s="34">
        <v>0</v>
      </c>
      <c r="FM9" s="34">
        <v>0</v>
      </c>
      <c r="FN9" s="34">
        <v>0</v>
      </c>
      <c r="FO9" s="34">
        <v>0</v>
      </c>
      <c r="FP9" s="34">
        <v>0</v>
      </c>
      <c r="FQ9" s="34">
        <v>0</v>
      </c>
      <c r="FR9" s="34">
        <v>0</v>
      </c>
      <c r="FS9" s="34">
        <v>0</v>
      </c>
      <c r="FT9" s="34">
        <v>0</v>
      </c>
      <c r="FU9" s="34">
        <v>0</v>
      </c>
      <c r="FV9" s="34">
        <v>0</v>
      </c>
      <c r="FW9" s="34">
        <v>0</v>
      </c>
      <c r="FX9" s="34">
        <v>0</v>
      </c>
      <c r="FY9" s="34">
        <v>0</v>
      </c>
      <c r="FZ9" s="34">
        <v>0</v>
      </c>
      <c r="GA9" s="34">
        <v>0</v>
      </c>
      <c r="GB9" s="34">
        <v>0</v>
      </c>
      <c r="GC9" s="34">
        <v>0</v>
      </c>
      <c r="GD9" s="34">
        <v>0</v>
      </c>
      <c r="GE9" s="34">
        <v>0</v>
      </c>
      <c r="GF9" s="34">
        <v>0</v>
      </c>
      <c r="GG9" s="34">
        <v>0</v>
      </c>
      <c r="GH9" s="34">
        <v>0</v>
      </c>
      <c r="GI9" s="34">
        <v>0</v>
      </c>
      <c r="GJ9" s="34">
        <v>0</v>
      </c>
      <c r="GK9" s="34">
        <v>1</v>
      </c>
      <c r="GL9" s="34">
        <v>0</v>
      </c>
      <c r="GM9" s="34">
        <v>0</v>
      </c>
      <c r="GN9" s="34">
        <v>0</v>
      </c>
      <c r="GO9" s="34">
        <v>0</v>
      </c>
      <c r="GP9" s="34">
        <v>0</v>
      </c>
      <c r="GQ9" s="34">
        <v>1</v>
      </c>
      <c r="GR9" s="34">
        <v>0</v>
      </c>
      <c r="GS9" s="34">
        <v>0</v>
      </c>
      <c r="GT9" s="34">
        <v>0</v>
      </c>
      <c r="GU9" s="34">
        <v>0</v>
      </c>
      <c r="GV9" s="34">
        <v>0</v>
      </c>
      <c r="GW9" s="34">
        <v>0</v>
      </c>
      <c r="GX9" s="34">
        <v>0</v>
      </c>
      <c r="GY9" s="34">
        <v>0</v>
      </c>
      <c r="GZ9" s="34">
        <v>0</v>
      </c>
      <c r="HA9" s="34">
        <v>0</v>
      </c>
      <c r="HB9" s="34">
        <v>0</v>
      </c>
      <c r="HC9" s="34">
        <v>0</v>
      </c>
      <c r="HD9" s="34">
        <v>0</v>
      </c>
      <c r="HE9" s="34">
        <v>0</v>
      </c>
      <c r="HF9" s="34">
        <v>0</v>
      </c>
      <c r="HG9" s="34">
        <v>0</v>
      </c>
      <c r="HH9" s="34">
        <v>0</v>
      </c>
      <c r="HI9" s="34">
        <v>0</v>
      </c>
      <c r="HJ9" s="34">
        <v>1</v>
      </c>
      <c r="HK9" s="34">
        <v>0</v>
      </c>
      <c r="HL9" s="34">
        <v>1</v>
      </c>
      <c r="HM9" s="34">
        <v>1</v>
      </c>
      <c r="HN9" s="34">
        <v>0</v>
      </c>
      <c r="HO9" s="34">
        <v>0</v>
      </c>
      <c r="HP9" s="34">
        <v>0</v>
      </c>
      <c r="HQ9" s="34">
        <v>0</v>
      </c>
      <c r="HR9" s="34">
        <v>0</v>
      </c>
      <c r="HS9" s="34">
        <v>0</v>
      </c>
      <c r="HT9" s="34">
        <v>0</v>
      </c>
      <c r="HU9" s="34">
        <v>0</v>
      </c>
      <c r="HV9" s="34">
        <v>0</v>
      </c>
      <c r="HW9" s="34">
        <v>0</v>
      </c>
      <c r="HX9" s="34">
        <v>0</v>
      </c>
      <c r="HY9" s="34">
        <v>0</v>
      </c>
      <c r="HZ9" s="34">
        <v>0</v>
      </c>
      <c r="IA9" s="34">
        <v>0</v>
      </c>
      <c r="IB9" s="34">
        <v>0</v>
      </c>
      <c r="IC9" s="34">
        <v>0</v>
      </c>
      <c r="ID9" s="34">
        <v>0</v>
      </c>
      <c r="IE9" s="34">
        <v>0</v>
      </c>
      <c r="IF9" s="34">
        <v>0</v>
      </c>
      <c r="IG9" s="34">
        <v>0</v>
      </c>
    </row>
    <row r="10" spans="1:241" x14ac:dyDescent="0.3">
      <c r="A10" s="34" t="s">
        <v>44</v>
      </c>
      <c r="B10" s="38">
        <f t="shared" si="0"/>
        <v>26</v>
      </c>
      <c r="C10" s="34">
        <v>1</v>
      </c>
      <c r="D10" s="34">
        <v>0</v>
      </c>
      <c r="E10" s="34">
        <v>1</v>
      </c>
      <c r="F10" s="34">
        <v>1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34">
        <v>0</v>
      </c>
      <c r="S10" s="34">
        <v>0</v>
      </c>
      <c r="T10" s="34">
        <v>0</v>
      </c>
      <c r="U10" s="34">
        <v>0</v>
      </c>
      <c r="V10" s="34">
        <v>0</v>
      </c>
      <c r="W10" s="34">
        <v>0</v>
      </c>
      <c r="X10" s="34">
        <v>0</v>
      </c>
      <c r="Y10" s="34">
        <v>1</v>
      </c>
      <c r="Z10" s="34">
        <v>0</v>
      </c>
      <c r="AA10" s="34">
        <v>0</v>
      </c>
      <c r="AB10" s="34">
        <v>0</v>
      </c>
      <c r="AC10" s="34">
        <v>0</v>
      </c>
      <c r="AD10" s="34">
        <v>1</v>
      </c>
      <c r="AE10" s="34">
        <v>0</v>
      </c>
      <c r="AF10" s="34">
        <v>0</v>
      </c>
      <c r="AG10" s="34">
        <v>0</v>
      </c>
      <c r="AH10" s="34">
        <v>0</v>
      </c>
      <c r="AI10" s="34">
        <v>0</v>
      </c>
      <c r="AJ10" s="34">
        <v>1</v>
      </c>
      <c r="AK10" s="34">
        <v>0</v>
      </c>
      <c r="AL10" s="34">
        <v>0</v>
      </c>
      <c r="AM10" s="34">
        <v>0</v>
      </c>
      <c r="AN10" s="34">
        <v>0</v>
      </c>
      <c r="AO10" s="34">
        <v>0</v>
      </c>
      <c r="AP10" s="34">
        <v>0</v>
      </c>
      <c r="AQ10" s="34">
        <v>0</v>
      </c>
      <c r="AR10" s="34">
        <v>1</v>
      </c>
      <c r="AS10" s="34">
        <v>0</v>
      </c>
      <c r="AT10" s="34">
        <v>0</v>
      </c>
      <c r="AU10" s="34">
        <v>1</v>
      </c>
      <c r="AV10" s="34">
        <v>1</v>
      </c>
      <c r="AW10" s="34">
        <v>0</v>
      </c>
      <c r="AX10" s="34">
        <v>0</v>
      </c>
      <c r="AY10" s="34">
        <v>0</v>
      </c>
      <c r="AZ10" s="34">
        <v>1</v>
      </c>
      <c r="BA10" s="34">
        <v>0</v>
      </c>
      <c r="BB10" s="34">
        <v>0</v>
      </c>
      <c r="BC10" s="34">
        <v>0</v>
      </c>
      <c r="BD10" s="34">
        <v>0</v>
      </c>
      <c r="BE10" s="34">
        <v>0</v>
      </c>
      <c r="BF10" s="34">
        <v>0</v>
      </c>
      <c r="BG10" s="34">
        <v>0</v>
      </c>
      <c r="BH10" s="34">
        <v>0</v>
      </c>
      <c r="BI10" s="34">
        <v>0</v>
      </c>
      <c r="BJ10" s="34">
        <v>0</v>
      </c>
      <c r="BK10" s="34">
        <v>0</v>
      </c>
      <c r="BL10" s="34">
        <v>0</v>
      </c>
      <c r="BM10" s="34">
        <v>0</v>
      </c>
      <c r="BN10" s="34">
        <v>0</v>
      </c>
      <c r="BO10" s="34">
        <v>0</v>
      </c>
      <c r="BP10" s="34">
        <v>0</v>
      </c>
      <c r="BQ10" s="34">
        <v>0</v>
      </c>
      <c r="BR10" s="34">
        <v>0</v>
      </c>
      <c r="BS10" s="34">
        <v>0</v>
      </c>
      <c r="BT10" s="34">
        <v>0</v>
      </c>
      <c r="BU10" s="34">
        <v>0</v>
      </c>
      <c r="BV10" s="34">
        <v>0</v>
      </c>
      <c r="BW10" s="34">
        <v>0</v>
      </c>
      <c r="BX10" s="34">
        <v>0</v>
      </c>
      <c r="BY10" s="34">
        <v>0</v>
      </c>
      <c r="BZ10" s="34">
        <v>0</v>
      </c>
      <c r="CA10" s="34">
        <v>0</v>
      </c>
      <c r="CB10" s="34">
        <v>0</v>
      </c>
      <c r="CC10" s="34">
        <v>0</v>
      </c>
      <c r="CD10" s="34">
        <v>0</v>
      </c>
      <c r="CE10" s="34">
        <v>0</v>
      </c>
      <c r="CF10" s="34">
        <v>0</v>
      </c>
      <c r="CG10" s="34">
        <v>0</v>
      </c>
      <c r="CH10" s="34">
        <v>0</v>
      </c>
      <c r="CI10" s="34">
        <v>0</v>
      </c>
      <c r="CJ10" s="34">
        <v>0</v>
      </c>
      <c r="CK10" s="34">
        <v>0</v>
      </c>
      <c r="CL10" s="34">
        <v>0</v>
      </c>
      <c r="CM10" s="34">
        <v>0</v>
      </c>
      <c r="CN10" s="34">
        <v>0</v>
      </c>
      <c r="CO10" s="34">
        <v>0</v>
      </c>
      <c r="CP10" s="34">
        <v>0</v>
      </c>
      <c r="CQ10" s="34">
        <v>0</v>
      </c>
      <c r="CR10" s="34">
        <v>0</v>
      </c>
      <c r="CS10" s="34">
        <v>0</v>
      </c>
      <c r="CT10" s="34">
        <v>0</v>
      </c>
      <c r="CU10" s="34">
        <v>0</v>
      </c>
      <c r="CV10" s="34">
        <v>0</v>
      </c>
      <c r="CW10" s="34">
        <v>0</v>
      </c>
      <c r="CX10" s="34">
        <v>0</v>
      </c>
      <c r="CY10" s="34">
        <v>0</v>
      </c>
      <c r="CZ10" s="34">
        <v>0</v>
      </c>
      <c r="DA10" s="34">
        <v>0</v>
      </c>
      <c r="DB10" s="34">
        <v>0</v>
      </c>
      <c r="DC10" s="34">
        <v>0</v>
      </c>
      <c r="DD10" s="34">
        <v>0</v>
      </c>
      <c r="DE10" s="34">
        <v>0</v>
      </c>
      <c r="DF10" s="34">
        <v>0</v>
      </c>
      <c r="DG10" s="34">
        <v>0</v>
      </c>
      <c r="DH10" s="34">
        <v>0</v>
      </c>
      <c r="DI10" s="34">
        <v>1</v>
      </c>
      <c r="DJ10" s="34">
        <v>0</v>
      </c>
      <c r="DK10" s="34">
        <v>0</v>
      </c>
      <c r="DL10" s="34">
        <v>0</v>
      </c>
      <c r="DM10" s="34">
        <v>0</v>
      </c>
      <c r="DN10" s="34">
        <v>0</v>
      </c>
      <c r="DO10" s="34">
        <v>0</v>
      </c>
      <c r="DP10" s="34">
        <v>0</v>
      </c>
      <c r="DQ10" s="34">
        <v>0</v>
      </c>
      <c r="DR10" s="34">
        <v>0</v>
      </c>
      <c r="DS10" s="34">
        <v>0</v>
      </c>
      <c r="DT10" s="34">
        <v>0</v>
      </c>
      <c r="DU10" s="34">
        <v>0</v>
      </c>
      <c r="DV10" s="34">
        <v>0</v>
      </c>
      <c r="DW10" s="34">
        <v>0</v>
      </c>
      <c r="DX10" s="34">
        <v>0</v>
      </c>
      <c r="DY10" s="34">
        <v>0</v>
      </c>
      <c r="DZ10" s="34">
        <v>0</v>
      </c>
      <c r="EA10" s="34">
        <v>0</v>
      </c>
      <c r="EB10" s="34">
        <v>0</v>
      </c>
      <c r="EC10" s="34">
        <v>0</v>
      </c>
      <c r="ED10" s="34">
        <v>0</v>
      </c>
      <c r="EE10" s="34">
        <v>0</v>
      </c>
      <c r="EF10" s="34">
        <v>0</v>
      </c>
      <c r="EG10" s="34">
        <v>0</v>
      </c>
      <c r="EH10" s="34">
        <v>0</v>
      </c>
      <c r="EI10" s="34">
        <v>0</v>
      </c>
      <c r="EJ10" s="34">
        <v>0</v>
      </c>
      <c r="EK10" s="34">
        <v>0</v>
      </c>
      <c r="EL10" s="34">
        <v>2</v>
      </c>
      <c r="EM10" s="34">
        <v>0</v>
      </c>
      <c r="EN10" s="34">
        <v>0</v>
      </c>
      <c r="EO10" s="34">
        <v>0</v>
      </c>
      <c r="EP10" s="34">
        <v>0</v>
      </c>
      <c r="EQ10" s="34">
        <v>0</v>
      </c>
      <c r="ER10" s="34">
        <v>0</v>
      </c>
      <c r="ES10" s="34">
        <v>0</v>
      </c>
      <c r="ET10" s="34">
        <v>0</v>
      </c>
      <c r="EU10" s="34">
        <v>0</v>
      </c>
      <c r="EV10" s="34">
        <v>0</v>
      </c>
      <c r="EW10" s="34">
        <v>0</v>
      </c>
      <c r="EX10" s="34">
        <v>0</v>
      </c>
      <c r="EY10" s="34">
        <v>1</v>
      </c>
      <c r="EZ10" s="34">
        <v>1</v>
      </c>
      <c r="FA10" s="34">
        <v>1</v>
      </c>
      <c r="FB10" s="34">
        <v>0</v>
      </c>
      <c r="FC10" s="34">
        <v>0</v>
      </c>
      <c r="FD10" s="34">
        <v>0</v>
      </c>
      <c r="FE10" s="34">
        <v>1</v>
      </c>
      <c r="FF10" s="34">
        <v>0</v>
      </c>
      <c r="FG10" s="34">
        <v>0</v>
      </c>
      <c r="FH10" s="34">
        <v>0</v>
      </c>
      <c r="FI10" s="34">
        <v>0</v>
      </c>
      <c r="FJ10" s="34">
        <v>0</v>
      </c>
      <c r="FK10" s="34">
        <v>1</v>
      </c>
      <c r="FL10" s="34">
        <v>0</v>
      </c>
      <c r="FM10" s="34">
        <v>1</v>
      </c>
      <c r="FN10" s="34">
        <v>0</v>
      </c>
      <c r="FO10" s="34">
        <v>0</v>
      </c>
      <c r="FP10" s="34">
        <v>1</v>
      </c>
      <c r="FQ10" s="34">
        <v>0</v>
      </c>
      <c r="FR10" s="34">
        <v>0</v>
      </c>
      <c r="FS10" s="34">
        <v>0</v>
      </c>
      <c r="FT10" s="34">
        <v>0</v>
      </c>
      <c r="FU10" s="34">
        <v>0</v>
      </c>
      <c r="FV10" s="34">
        <v>0</v>
      </c>
      <c r="FW10" s="34">
        <v>0</v>
      </c>
      <c r="FX10" s="34">
        <v>0</v>
      </c>
      <c r="FY10" s="34">
        <v>0</v>
      </c>
      <c r="FZ10" s="34">
        <v>0</v>
      </c>
      <c r="GA10" s="34">
        <v>0</v>
      </c>
      <c r="GB10" s="34">
        <v>0</v>
      </c>
      <c r="GC10" s="34">
        <v>0</v>
      </c>
      <c r="GD10" s="34">
        <v>0</v>
      </c>
      <c r="GE10" s="34">
        <v>1</v>
      </c>
      <c r="GF10" s="34">
        <v>0</v>
      </c>
      <c r="GG10" s="34">
        <v>0</v>
      </c>
      <c r="GH10" s="34">
        <v>1</v>
      </c>
      <c r="GI10" s="34">
        <v>0</v>
      </c>
      <c r="GJ10" s="34">
        <v>0</v>
      </c>
      <c r="GK10" s="34">
        <v>0</v>
      </c>
      <c r="GL10" s="34">
        <v>0</v>
      </c>
      <c r="GM10" s="34">
        <v>0</v>
      </c>
      <c r="GN10" s="34">
        <v>0</v>
      </c>
      <c r="GO10" s="34">
        <v>0</v>
      </c>
      <c r="GP10" s="34">
        <v>0</v>
      </c>
      <c r="GQ10" s="34">
        <v>0</v>
      </c>
      <c r="GR10" s="34">
        <v>0</v>
      </c>
      <c r="GS10" s="34">
        <v>0</v>
      </c>
      <c r="GT10" s="34">
        <v>0</v>
      </c>
      <c r="GU10" s="34">
        <v>0</v>
      </c>
      <c r="GV10" s="34">
        <v>0</v>
      </c>
      <c r="GW10" s="34">
        <v>0</v>
      </c>
      <c r="GX10" s="34">
        <v>0</v>
      </c>
      <c r="GY10" s="34">
        <v>0</v>
      </c>
      <c r="GZ10" s="34">
        <v>0</v>
      </c>
      <c r="HA10" s="34">
        <v>0</v>
      </c>
      <c r="HB10" s="34">
        <v>0</v>
      </c>
      <c r="HC10" s="34">
        <v>1</v>
      </c>
      <c r="HD10" s="34">
        <v>1</v>
      </c>
      <c r="HE10" s="34">
        <v>0</v>
      </c>
      <c r="HF10" s="34">
        <v>0</v>
      </c>
      <c r="HG10" s="34">
        <v>0</v>
      </c>
      <c r="HH10" s="34">
        <v>0</v>
      </c>
      <c r="HI10" s="34">
        <v>0</v>
      </c>
      <c r="HJ10" s="34">
        <v>0</v>
      </c>
      <c r="HK10" s="34">
        <v>0</v>
      </c>
      <c r="HL10" s="34">
        <v>0</v>
      </c>
      <c r="HM10" s="34">
        <v>0</v>
      </c>
      <c r="HN10" s="34">
        <v>0</v>
      </c>
      <c r="HO10" s="34">
        <v>0</v>
      </c>
      <c r="HP10" s="34">
        <v>0</v>
      </c>
      <c r="HQ10" s="34">
        <v>0</v>
      </c>
      <c r="HR10" s="34">
        <v>0</v>
      </c>
      <c r="HS10" s="34">
        <v>0</v>
      </c>
      <c r="HT10" s="34">
        <v>0</v>
      </c>
      <c r="HU10" s="34">
        <v>1</v>
      </c>
      <c r="HV10" s="34">
        <v>0</v>
      </c>
      <c r="HW10" s="34">
        <v>0</v>
      </c>
      <c r="HX10" s="34">
        <v>0</v>
      </c>
      <c r="HY10" s="34">
        <v>0</v>
      </c>
      <c r="HZ10" s="34">
        <v>0</v>
      </c>
      <c r="IA10" s="34">
        <v>0</v>
      </c>
      <c r="IB10" s="34">
        <v>0</v>
      </c>
      <c r="IC10" s="34">
        <v>0</v>
      </c>
      <c r="ID10" s="34">
        <v>0</v>
      </c>
      <c r="IE10" s="34">
        <v>0</v>
      </c>
      <c r="IF10" s="34">
        <v>1</v>
      </c>
      <c r="IG10" s="34">
        <v>0</v>
      </c>
    </row>
    <row r="11" spans="1:241" x14ac:dyDescent="0.3">
      <c r="A11" s="34" t="s">
        <v>42</v>
      </c>
      <c r="B11" s="38">
        <f t="shared" si="0"/>
        <v>16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34">
        <v>0</v>
      </c>
      <c r="S11" s="34">
        <v>0</v>
      </c>
      <c r="T11" s="34">
        <v>0</v>
      </c>
      <c r="U11" s="34">
        <v>0</v>
      </c>
      <c r="V11" s="34"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  <c r="AB11" s="34">
        <v>0</v>
      </c>
      <c r="AC11" s="34">
        <v>0</v>
      </c>
      <c r="AD11" s="34">
        <v>0</v>
      </c>
      <c r="AE11" s="34">
        <v>0</v>
      </c>
      <c r="AF11" s="34">
        <v>0</v>
      </c>
      <c r="AG11" s="34">
        <v>0</v>
      </c>
      <c r="AH11" s="34">
        <v>0</v>
      </c>
      <c r="AI11" s="34">
        <v>0</v>
      </c>
      <c r="AJ11" s="34">
        <v>1</v>
      </c>
      <c r="AK11" s="34">
        <v>0</v>
      </c>
      <c r="AL11" s="34">
        <v>0</v>
      </c>
      <c r="AM11" s="34">
        <v>0</v>
      </c>
      <c r="AN11" s="34">
        <v>0</v>
      </c>
      <c r="AO11" s="34">
        <v>0</v>
      </c>
      <c r="AP11" s="34">
        <v>0</v>
      </c>
      <c r="AQ11" s="34">
        <v>0</v>
      </c>
      <c r="AR11" s="34">
        <v>0</v>
      </c>
      <c r="AS11" s="34">
        <v>0</v>
      </c>
      <c r="AT11" s="34">
        <v>0</v>
      </c>
      <c r="AU11" s="34">
        <v>1</v>
      </c>
      <c r="AV11" s="34">
        <v>0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1</v>
      </c>
      <c r="BD11" s="34">
        <v>0</v>
      </c>
      <c r="BE11" s="34">
        <v>0</v>
      </c>
      <c r="BF11" s="34">
        <v>0</v>
      </c>
      <c r="BG11" s="34">
        <v>0</v>
      </c>
      <c r="BH11" s="34">
        <v>0</v>
      </c>
      <c r="BI11" s="34">
        <v>1</v>
      </c>
      <c r="BJ11" s="34">
        <v>0</v>
      </c>
      <c r="BK11" s="34">
        <v>0</v>
      </c>
      <c r="BL11" s="34">
        <v>0</v>
      </c>
      <c r="BM11" s="34">
        <v>0</v>
      </c>
      <c r="BN11" s="34">
        <v>0</v>
      </c>
      <c r="BO11" s="34">
        <v>0</v>
      </c>
      <c r="BP11" s="34">
        <v>0</v>
      </c>
      <c r="BQ11" s="34">
        <v>0</v>
      </c>
      <c r="BR11" s="34">
        <v>0</v>
      </c>
      <c r="BS11" s="34">
        <v>0</v>
      </c>
      <c r="BT11" s="34">
        <v>0</v>
      </c>
      <c r="BU11" s="34">
        <v>0</v>
      </c>
      <c r="BV11" s="34">
        <v>0</v>
      </c>
      <c r="BW11" s="34">
        <v>0</v>
      </c>
      <c r="BX11" s="34">
        <v>0</v>
      </c>
      <c r="BY11" s="34">
        <v>0</v>
      </c>
      <c r="BZ11" s="34">
        <v>0</v>
      </c>
      <c r="CA11" s="34">
        <v>0</v>
      </c>
      <c r="CB11" s="34">
        <v>0</v>
      </c>
      <c r="CC11" s="34">
        <v>0</v>
      </c>
      <c r="CD11" s="34">
        <v>0</v>
      </c>
      <c r="CE11" s="34">
        <v>0</v>
      </c>
      <c r="CF11" s="34">
        <v>0</v>
      </c>
      <c r="CG11" s="34">
        <v>0</v>
      </c>
      <c r="CH11" s="34">
        <v>0</v>
      </c>
      <c r="CI11" s="34">
        <v>0</v>
      </c>
      <c r="CJ11" s="34">
        <v>0</v>
      </c>
      <c r="CK11" s="34">
        <v>0</v>
      </c>
      <c r="CL11" s="34">
        <v>0</v>
      </c>
      <c r="CM11" s="34">
        <v>0</v>
      </c>
      <c r="CN11" s="34">
        <v>0</v>
      </c>
      <c r="CO11" s="34">
        <v>0</v>
      </c>
      <c r="CP11" s="34">
        <v>0</v>
      </c>
      <c r="CQ11" s="34">
        <v>0</v>
      </c>
      <c r="CR11" s="34">
        <v>0</v>
      </c>
      <c r="CS11" s="34">
        <v>0</v>
      </c>
      <c r="CT11" s="34">
        <v>0</v>
      </c>
      <c r="CU11" s="34">
        <v>0</v>
      </c>
      <c r="CV11" s="34">
        <v>0</v>
      </c>
      <c r="CW11" s="34">
        <v>0</v>
      </c>
      <c r="CX11" s="34">
        <v>0</v>
      </c>
      <c r="CY11" s="34">
        <v>0</v>
      </c>
      <c r="CZ11" s="34">
        <v>0</v>
      </c>
      <c r="DA11" s="34">
        <v>0</v>
      </c>
      <c r="DB11" s="34">
        <v>0</v>
      </c>
      <c r="DC11" s="34">
        <v>0</v>
      </c>
      <c r="DD11" s="34">
        <v>0</v>
      </c>
      <c r="DE11" s="34">
        <v>0</v>
      </c>
      <c r="DF11" s="34">
        <v>0</v>
      </c>
      <c r="DG11" s="34">
        <v>0</v>
      </c>
      <c r="DH11" s="34">
        <v>0</v>
      </c>
      <c r="DI11" s="34">
        <v>0</v>
      </c>
      <c r="DJ11" s="34">
        <v>0</v>
      </c>
      <c r="DK11" s="34">
        <v>1</v>
      </c>
      <c r="DL11" s="34">
        <v>0</v>
      </c>
      <c r="DM11" s="34">
        <v>0</v>
      </c>
      <c r="DN11" s="34">
        <v>0</v>
      </c>
      <c r="DO11" s="34">
        <v>0</v>
      </c>
      <c r="DP11" s="34">
        <v>0</v>
      </c>
      <c r="DQ11" s="34">
        <v>0</v>
      </c>
      <c r="DR11" s="34">
        <v>0</v>
      </c>
      <c r="DS11" s="34">
        <v>0</v>
      </c>
      <c r="DT11" s="34">
        <v>0</v>
      </c>
      <c r="DU11" s="34">
        <v>0</v>
      </c>
      <c r="DV11" s="34">
        <v>1</v>
      </c>
      <c r="DW11" s="34">
        <v>0</v>
      </c>
      <c r="DX11" s="34">
        <v>0</v>
      </c>
      <c r="DY11" s="34">
        <v>0</v>
      </c>
      <c r="DZ11" s="34">
        <v>0</v>
      </c>
      <c r="EA11" s="34">
        <v>0</v>
      </c>
      <c r="EB11" s="34">
        <v>0</v>
      </c>
      <c r="EC11" s="34">
        <v>0</v>
      </c>
      <c r="ED11" s="34">
        <v>0</v>
      </c>
      <c r="EE11" s="34">
        <v>1</v>
      </c>
      <c r="EF11" s="34">
        <v>0</v>
      </c>
      <c r="EG11" s="34">
        <v>0</v>
      </c>
      <c r="EH11" s="34">
        <v>0</v>
      </c>
      <c r="EI11" s="34">
        <v>0</v>
      </c>
      <c r="EJ11" s="34">
        <v>0</v>
      </c>
      <c r="EK11" s="34">
        <v>0</v>
      </c>
      <c r="EL11" s="34">
        <v>2</v>
      </c>
      <c r="EM11" s="34">
        <v>0</v>
      </c>
      <c r="EN11" s="34">
        <v>0</v>
      </c>
      <c r="EO11" s="34">
        <v>0</v>
      </c>
      <c r="EP11" s="34">
        <v>0</v>
      </c>
      <c r="EQ11" s="34">
        <v>0</v>
      </c>
      <c r="ER11" s="34">
        <v>1</v>
      </c>
      <c r="ES11" s="34">
        <v>0</v>
      </c>
      <c r="ET11" s="34">
        <v>0</v>
      </c>
      <c r="EU11" s="34">
        <v>0</v>
      </c>
      <c r="EV11" s="34">
        <v>0</v>
      </c>
      <c r="EW11" s="34">
        <v>0</v>
      </c>
      <c r="EX11" s="34">
        <v>0</v>
      </c>
      <c r="EY11" s="34">
        <v>0</v>
      </c>
      <c r="EZ11" s="34">
        <v>0</v>
      </c>
      <c r="FA11" s="34">
        <v>0</v>
      </c>
      <c r="FB11" s="34">
        <v>0</v>
      </c>
      <c r="FC11" s="34">
        <v>0</v>
      </c>
      <c r="FD11" s="34">
        <v>0</v>
      </c>
      <c r="FE11" s="34">
        <v>1</v>
      </c>
      <c r="FF11" s="34">
        <v>0</v>
      </c>
      <c r="FG11" s="34">
        <v>0</v>
      </c>
      <c r="FH11" s="34">
        <v>0</v>
      </c>
      <c r="FI11" s="34">
        <v>0</v>
      </c>
      <c r="FJ11" s="34">
        <v>0</v>
      </c>
      <c r="FK11" s="34">
        <v>0</v>
      </c>
      <c r="FL11" s="34">
        <v>0</v>
      </c>
      <c r="FM11" s="34">
        <v>0</v>
      </c>
      <c r="FN11" s="34">
        <v>0</v>
      </c>
      <c r="FO11" s="34">
        <v>0</v>
      </c>
      <c r="FP11" s="34">
        <v>0</v>
      </c>
      <c r="FQ11" s="34">
        <v>0</v>
      </c>
      <c r="FR11" s="34">
        <v>0</v>
      </c>
      <c r="FS11" s="34">
        <v>0</v>
      </c>
      <c r="FT11" s="34">
        <v>0</v>
      </c>
      <c r="FU11" s="34">
        <v>0</v>
      </c>
      <c r="FV11" s="34">
        <v>0</v>
      </c>
      <c r="FW11" s="34">
        <v>0</v>
      </c>
      <c r="FX11" s="34">
        <v>0</v>
      </c>
      <c r="FY11" s="34">
        <v>0</v>
      </c>
      <c r="FZ11" s="34">
        <v>0</v>
      </c>
      <c r="GA11" s="34">
        <v>0</v>
      </c>
      <c r="GB11" s="34">
        <v>0</v>
      </c>
      <c r="GC11" s="34">
        <v>0</v>
      </c>
      <c r="GD11" s="34">
        <v>0</v>
      </c>
      <c r="GE11" s="34">
        <v>0</v>
      </c>
      <c r="GF11" s="34">
        <v>0</v>
      </c>
      <c r="GG11" s="34">
        <v>0</v>
      </c>
      <c r="GH11" s="34">
        <v>0</v>
      </c>
      <c r="GI11" s="34">
        <v>1</v>
      </c>
      <c r="GJ11" s="34">
        <v>0</v>
      </c>
      <c r="GK11" s="34">
        <v>0</v>
      </c>
      <c r="GL11" s="34">
        <v>0</v>
      </c>
      <c r="GM11" s="34">
        <v>1</v>
      </c>
      <c r="GN11" s="34">
        <v>0</v>
      </c>
      <c r="GO11" s="34">
        <v>0</v>
      </c>
      <c r="GP11" s="34">
        <v>0</v>
      </c>
      <c r="GQ11" s="34">
        <v>0</v>
      </c>
      <c r="GR11" s="34">
        <v>0</v>
      </c>
      <c r="GS11" s="34">
        <v>0</v>
      </c>
      <c r="GT11" s="34">
        <v>0</v>
      </c>
      <c r="GU11" s="34">
        <v>0</v>
      </c>
      <c r="GV11" s="34">
        <v>0</v>
      </c>
      <c r="GW11" s="34">
        <v>0</v>
      </c>
      <c r="GX11" s="34">
        <v>1</v>
      </c>
      <c r="GY11" s="34">
        <v>0</v>
      </c>
      <c r="GZ11" s="34">
        <v>0</v>
      </c>
      <c r="HA11" s="34">
        <v>0</v>
      </c>
      <c r="HB11" s="34">
        <v>0</v>
      </c>
      <c r="HC11" s="34">
        <v>0</v>
      </c>
      <c r="HD11" s="34">
        <v>0</v>
      </c>
      <c r="HE11" s="34">
        <v>1</v>
      </c>
      <c r="HF11" s="34">
        <v>0</v>
      </c>
      <c r="HG11" s="34">
        <v>0</v>
      </c>
      <c r="HH11" s="34">
        <v>0</v>
      </c>
      <c r="HI11" s="34">
        <v>0</v>
      </c>
      <c r="HJ11" s="34">
        <v>0</v>
      </c>
      <c r="HK11" s="34">
        <v>0</v>
      </c>
      <c r="HL11" s="34">
        <v>0</v>
      </c>
      <c r="HM11" s="34">
        <v>0</v>
      </c>
      <c r="HN11" s="34">
        <v>0</v>
      </c>
      <c r="HO11" s="34">
        <v>0</v>
      </c>
      <c r="HP11" s="34">
        <v>0</v>
      </c>
      <c r="HQ11" s="34">
        <v>0</v>
      </c>
      <c r="HR11" s="34">
        <v>0</v>
      </c>
      <c r="HS11" s="34">
        <v>0</v>
      </c>
      <c r="HT11" s="34">
        <v>0</v>
      </c>
      <c r="HU11" s="34">
        <v>0</v>
      </c>
      <c r="HV11" s="34">
        <v>0</v>
      </c>
      <c r="HW11" s="34">
        <v>0</v>
      </c>
      <c r="HX11" s="34">
        <v>0</v>
      </c>
      <c r="HY11" s="34">
        <v>0</v>
      </c>
      <c r="HZ11" s="34">
        <v>0</v>
      </c>
      <c r="IA11" s="34">
        <v>0</v>
      </c>
      <c r="IB11" s="34">
        <v>1</v>
      </c>
      <c r="IC11" s="34">
        <v>0</v>
      </c>
      <c r="ID11" s="34">
        <v>0</v>
      </c>
      <c r="IE11" s="34">
        <v>0</v>
      </c>
      <c r="IF11" s="34">
        <v>0</v>
      </c>
      <c r="IG11" s="34">
        <v>0</v>
      </c>
    </row>
    <row r="12" spans="1:241" x14ac:dyDescent="0.3">
      <c r="A12" s="34" t="s">
        <v>45</v>
      </c>
      <c r="B12" s="38">
        <f t="shared" si="0"/>
        <v>17</v>
      </c>
      <c r="C12" s="34">
        <v>0</v>
      </c>
      <c r="D12" s="34">
        <v>1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1</v>
      </c>
      <c r="M12" s="34">
        <v>0</v>
      </c>
      <c r="N12" s="34">
        <v>0</v>
      </c>
      <c r="O12" s="34">
        <v>1</v>
      </c>
      <c r="P12" s="34">
        <v>0</v>
      </c>
      <c r="Q12" s="34">
        <v>0</v>
      </c>
      <c r="R12" s="34">
        <v>0</v>
      </c>
      <c r="S12" s="34">
        <v>0</v>
      </c>
      <c r="T12" s="34">
        <v>0</v>
      </c>
      <c r="U12" s="34">
        <v>0</v>
      </c>
      <c r="V12" s="34"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  <c r="AB12" s="34">
        <v>0</v>
      </c>
      <c r="AC12" s="34">
        <v>0</v>
      </c>
      <c r="AD12" s="34">
        <v>0</v>
      </c>
      <c r="AE12" s="34">
        <v>0</v>
      </c>
      <c r="AF12" s="34">
        <v>0</v>
      </c>
      <c r="AG12" s="34">
        <v>0</v>
      </c>
      <c r="AH12" s="34">
        <v>0</v>
      </c>
      <c r="AI12" s="34">
        <v>0</v>
      </c>
      <c r="AJ12" s="34">
        <v>0</v>
      </c>
      <c r="AK12" s="34">
        <v>0</v>
      </c>
      <c r="AL12" s="34">
        <v>0</v>
      </c>
      <c r="AM12" s="34">
        <v>0</v>
      </c>
      <c r="AN12" s="34">
        <v>0</v>
      </c>
      <c r="AO12" s="34">
        <v>1</v>
      </c>
      <c r="AP12" s="34">
        <v>0</v>
      </c>
      <c r="AQ12" s="34">
        <v>0</v>
      </c>
      <c r="AR12" s="34">
        <v>0</v>
      </c>
      <c r="AS12" s="34">
        <v>0</v>
      </c>
      <c r="AT12" s="34">
        <v>0</v>
      </c>
      <c r="AU12" s="34">
        <v>0</v>
      </c>
      <c r="AV12" s="34">
        <v>0</v>
      </c>
      <c r="AW12" s="34">
        <v>0</v>
      </c>
      <c r="AX12" s="34">
        <v>0</v>
      </c>
      <c r="AY12" s="34">
        <v>0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4">
        <v>0</v>
      </c>
      <c r="BF12" s="34">
        <v>0</v>
      </c>
      <c r="BG12" s="34">
        <v>0</v>
      </c>
      <c r="BH12" s="34">
        <v>0</v>
      </c>
      <c r="BI12" s="34">
        <v>0</v>
      </c>
      <c r="BJ12" s="34">
        <v>0</v>
      </c>
      <c r="BK12" s="34">
        <v>0</v>
      </c>
      <c r="BL12" s="34">
        <v>0</v>
      </c>
      <c r="BM12" s="34">
        <v>0</v>
      </c>
      <c r="BN12" s="34">
        <v>0</v>
      </c>
      <c r="BO12" s="34">
        <v>0</v>
      </c>
      <c r="BP12" s="34">
        <v>0</v>
      </c>
      <c r="BQ12" s="34">
        <v>0</v>
      </c>
      <c r="BR12" s="34">
        <v>0</v>
      </c>
      <c r="BS12" s="34">
        <v>0</v>
      </c>
      <c r="BT12" s="34">
        <v>1</v>
      </c>
      <c r="BU12" s="34">
        <v>0</v>
      </c>
      <c r="BV12" s="34">
        <v>0</v>
      </c>
      <c r="BW12" s="34">
        <v>0</v>
      </c>
      <c r="BX12" s="34">
        <v>0</v>
      </c>
      <c r="BY12" s="34">
        <v>0</v>
      </c>
      <c r="BZ12" s="34">
        <v>1</v>
      </c>
      <c r="CA12" s="34">
        <v>0</v>
      </c>
      <c r="CB12" s="34">
        <v>0</v>
      </c>
      <c r="CC12" s="34">
        <v>0</v>
      </c>
      <c r="CD12" s="34">
        <v>0</v>
      </c>
      <c r="CE12" s="34">
        <v>0</v>
      </c>
      <c r="CF12" s="34">
        <v>0</v>
      </c>
      <c r="CG12" s="34">
        <v>0</v>
      </c>
      <c r="CH12" s="34">
        <v>0</v>
      </c>
      <c r="CI12" s="34">
        <v>0</v>
      </c>
      <c r="CJ12" s="34">
        <v>0</v>
      </c>
      <c r="CK12" s="34">
        <v>0</v>
      </c>
      <c r="CL12" s="34">
        <v>0</v>
      </c>
      <c r="CM12" s="34">
        <v>1</v>
      </c>
      <c r="CN12" s="34">
        <v>1</v>
      </c>
      <c r="CO12" s="34">
        <v>0</v>
      </c>
      <c r="CP12" s="34">
        <v>0</v>
      </c>
      <c r="CQ12" s="34">
        <v>0</v>
      </c>
      <c r="CR12" s="34">
        <v>0</v>
      </c>
      <c r="CS12" s="34">
        <v>0</v>
      </c>
      <c r="CT12" s="34">
        <v>1</v>
      </c>
      <c r="CU12" s="34">
        <v>0</v>
      </c>
      <c r="CV12" s="34">
        <v>0</v>
      </c>
      <c r="CW12" s="34">
        <v>0</v>
      </c>
      <c r="CX12" s="34">
        <v>0</v>
      </c>
      <c r="CY12" s="34">
        <v>0</v>
      </c>
      <c r="CZ12" s="34">
        <v>0</v>
      </c>
      <c r="DA12" s="34">
        <v>0</v>
      </c>
      <c r="DB12" s="34">
        <v>0</v>
      </c>
      <c r="DC12" s="34">
        <v>0</v>
      </c>
      <c r="DD12" s="34">
        <v>0</v>
      </c>
      <c r="DE12" s="34">
        <v>0</v>
      </c>
      <c r="DF12" s="34">
        <v>0</v>
      </c>
      <c r="DG12" s="34">
        <v>1</v>
      </c>
      <c r="DH12" s="34">
        <v>0</v>
      </c>
      <c r="DI12" s="34">
        <v>0</v>
      </c>
      <c r="DJ12" s="34">
        <v>0</v>
      </c>
      <c r="DK12" s="34">
        <v>0</v>
      </c>
      <c r="DL12" s="34">
        <v>0</v>
      </c>
      <c r="DM12" s="34">
        <v>0</v>
      </c>
      <c r="DN12" s="34">
        <v>0</v>
      </c>
      <c r="DO12" s="34">
        <v>0</v>
      </c>
      <c r="DP12" s="34">
        <v>0</v>
      </c>
      <c r="DQ12" s="34">
        <v>0</v>
      </c>
      <c r="DR12" s="34">
        <v>0</v>
      </c>
      <c r="DS12" s="34">
        <v>0</v>
      </c>
      <c r="DT12" s="34">
        <v>0</v>
      </c>
      <c r="DU12" s="34">
        <v>0</v>
      </c>
      <c r="DV12" s="34">
        <v>0</v>
      </c>
      <c r="DW12" s="34">
        <v>0</v>
      </c>
      <c r="DX12" s="34">
        <v>0</v>
      </c>
      <c r="DY12" s="34">
        <v>0</v>
      </c>
      <c r="DZ12" s="34">
        <v>0</v>
      </c>
      <c r="EA12" s="34">
        <v>0</v>
      </c>
      <c r="EB12" s="34">
        <v>0</v>
      </c>
      <c r="EC12" s="34">
        <v>0</v>
      </c>
      <c r="ED12" s="34">
        <v>0</v>
      </c>
      <c r="EE12" s="34">
        <v>0</v>
      </c>
      <c r="EF12" s="34">
        <v>0</v>
      </c>
      <c r="EG12" s="34">
        <v>0</v>
      </c>
      <c r="EH12" s="34">
        <v>0</v>
      </c>
      <c r="EI12" s="34">
        <v>0</v>
      </c>
      <c r="EJ12" s="34">
        <v>1</v>
      </c>
      <c r="EK12" s="34">
        <v>0</v>
      </c>
      <c r="EL12" s="34">
        <v>0</v>
      </c>
      <c r="EM12" s="34">
        <v>0</v>
      </c>
      <c r="EN12" s="34">
        <v>0</v>
      </c>
      <c r="EO12" s="34">
        <v>0</v>
      </c>
      <c r="EP12" s="34">
        <v>0</v>
      </c>
      <c r="EQ12" s="34">
        <v>0</v>
      </c>
      <c r="ER12" s="34">
        <v>0</v>
      </c>
      <c r="ES12" s="34">
        <v>0</v>
      </c>
      <c r="ET12" s="34">
        <v>0</v>
      </c>
      <c r="EU12" s="34">
        <v>0</v>
      </c>
      <c r="EV12" s="34">
        <v>0</v>
      </c>
      <c r="EW12" s="34">
        <v>1</v>
      </c>
      <c r="EX12" s="34">
        <v>0</v>
      </c>
      <c r="EY12" s="34">
        <v>0</v>
      </c>
      <c r="EZ12" s="34">
        <v>0</v>
      </c>
      <c r="FA12" s="34">
        <v>0</v>
      </c>
      <c r="FB12" s="34">
        <v>0</v>
      </c>
      <c r="FC12" s="34">
        <v>0</v>
      </c>
      <c r="FD12" s="34">
        <v>0</v>
      </c>
      <c r="FE12" s="34">
        <v>1</v>
      </c>
      <c r="FF12" s="34">
        <v>0</v>
      </c>
      <c r="FG12" s="34">
        <v>0</v>
      </c>
      <c r="FH12" s="34">
        <v>0</v>
      </c>
      <c r="FI12" s="34">
        <v>0</v>
      </c>
      <c r="FJ12" s="34">
        <v>0</v>
      </c>
      <c r="FK12" s="34">
        <v>0</v>
      </c>
      <c r="FL12" s="34">
        <v>0</v>
      </c>
      <c r="FM12" s="34">
        <v>0</v>
      </c>
      <c r="FN12" s="34">
        <v>0</v>
      </c>
      <c r="FO12" s="34">
        <v>0</v>
      </c>
      <c r="FP12" s="34">
        <v>0</v>
      </c>
      <c r="FQ12" s="34">
        <v>0</v>
      </c>
      <c r="FR12" s="34">
        <v>0</v>
      </c>
      <c r="FS12" s="34">
        <v>0</v>
      </c>
      <c r="FT12" s="34">
        <v>0</v>
      </c>
      <c r="FU12" s="34">
        <v>0</v>
      </c>
      <c r="FV12" s="34">
        <v>1</v>
      </c>
      <c r="FW12" s="34">
        <v>0</v>
      </c>
      <c r="FX12" s="34">
        <v>0</v>
      </c>
      <c r="FY12" s="34">
        <v>0</v>
      </c>
      <c r="FZ12" s="34">
        <v>0</v>
      </c>
      <c r="GA12" s="34">
        <v>0</v>
      </c>
      <c r="GB12" s="34">
        <v>0</v>
      </c>
      <c r="GC12" s="34">
        <v>0</v>
      </c>
      <c r="GD12" s="34">
        <v>0</v>
      </c>
      <c r="GE12" s="34">
        <v>0</v>
      </c>
      <c r="GF12" s="34">
        <v>0</v>
      </c>
      <c r="GG12" s="34">
        <v>1</v>
      </c>
      <c r="GH12" s="34">
        <v>0</v>
      </c>
      <c r="GI12" s="34">
        <v>0</v>
      </c>
      <c r="GJ12" s="34">
        <v>0</v>
      </c>
      <c r="GK12" s="34">
        <v>0</v>
      </c>
      <c r="GL12" s="34">
        <v>0</v>
      </c>
      <c r="GM12" s="34">
        <v>0</v>
      </c>
      <c r="GN12" s="34">
        <v>0</v>
      </c>
      <c r="GO12" s="34">
        <v>0</v>
      </c>
      <c r="GP12" s="34">
        <v>1</v>
      </c>
      <c r="GQ12" s="34">
        <v>0</v>
      </c>
      <c r="GR12" s="34">
        <v>0</v>
      </c>
      <c r="GS12" s="34">
        <v>0</v>
      </c>
      <c r="GT12" s="34">
        <v>0</v>
      </c>
      <c r="GU12" s="34">
        <v>0</v>
      </c>
      <c r="GV12" s="34">
        <v>0</v>
      </c>
      <c r="GW12" s="34">
        <v>0</v>
      </c>
      <c r="GX12" s="34">
        <v>0</v>
      </c>
      <c r="GY12" s="34">
        <v>0</v>
      </c>
      <c r="GZ12" s="34">
        <v>0</v>
      </c>
      <c r="HA12" s="34">
        <v>0</v>
      </c>
      <c r="HB12" s="34">
        <v>0</v>
      </c>
      <c r="HC12" s="34">
        <v>0</v>
      </c>
      <c r="HD12" s="34">
        <v>0</v>
      </c>
      <c r="HE12" s="34">
        <v>0</v>
      </c>
      <c r="HF12" s="34">
        <v>0</v>
      </c>
      <c r="HG12" s="34">
        <v>0</v>
      </c>
      <c r="HH12" s="34">
        <v>0</v>
      </c>
      <c r="HI12" s="34">
        <v>0</v>
      </c>
      <c r="HJ12" s="34">
        <v>0</v>
      </c>
      <c r="HK12" s="34">
        <v>0</v>
      </c>
      <c r="HL12" s="34">
        <v>0</v>
      </c>
      <c r="HM12" s="34">
        <v>0</v>
      </c>
      <c r="HN12" s="34">
        <v>0</v>
      </c>
      <c r="HO12" s="34">
        <v>0</v>
      </c>
      <c r="HP12" s="34">
        <v>0</v>
      </c>
      <c r="HQ12" s="34">
        <v>0</v>
      </c>
      <c r="HR12" s="34">
        <v>0</v>
      </c>
      <c r="HS12" s="34">
        <v>0</v>
      </c>
      <c r="HT12" s="34">
        <v>0</v>
      </c>
      <c r="HU12" s="34">
        <v>0</v>
      </c>
      <c r="HV12" s="34">
        <v>0</v>
      </c>
      <c r="HW12" s="34">
        <v>0</v>
      </c>
      <c r="HX12" s="34">
        <v>0</v>
      </c>
      <c r="HY12" s="34">
        <v>0</v>
      </c>
      <c r="HZ12" s="34">
        <v>0</v>
      </c>
      <c r="IA12" s="34">
        <v>0</v>
      </c>
      <c r="IB12" s="34">
        <v>0</v>
      </c>
      <c r="IC12" s="34">
        <v>0</v>
      </c>
      <c r="ID12" s="34">
        <v>1</v>
      </c>
      <c r="IE12" s="34">
        <v>0</v>
      </c>
      <c r="IF12" s="34">
        <v>0</v>
      </c>
      <c r="IG12" s="34">
        <v>0</v>
      </c>
    </row>
    <row r="13" spans="1:241" x14ac:dyDescent="0.3">
      <c r="A13" s="34" t="s">
        <v>46</v>
      </c>
      <c r="B13" s="38">
        <f t="shared" si="0"/>
        <v>14</v>
      </c>
      <c r="C13" s="34">
        <v>0</v>
      </c>
      <c r="D13" s="34">
        <v>0</v>
      </c>
      <c r="E13" s="34">
        <v>0</v>
      </c>
      <c r="F13" s="34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34">
        <v>0</v>
      </c>
      <c r="O13" s="34">
        <v>0</v>
      </c>
      <c r="P13" s="34">
        <v>0</v>
      </c>
      <c r="Q13" s="34">
        <v>1</v>
      </c>
      <c r="R13" s="34">
        <v>0</v>
      </c>
      <c r="S13" s="34">
        <v>1</v>
      </c>
      <c r="T13" s="34">
        <v>0</v>
      </c>
      <c r="U13" s="34">
        <v>0</v>
      </c>
      <c r="V13" s="34">
        <v>0</v>
      </c>
      <c r="W13" s="34">
        <v>0</v>
      </c>
      <c r="X13" s="34">
        <v>0</v>
      </c>
      <c r="Y13" s="34">
        <v>0</v>
      </c>
      <c r="Z13" s="34">
        <v>0</v>
      </c>
      <c r="AA13" s="34">
        <v>1</v>
      </c>
      <c r="AB13" s="34">
        <v>0</v>
      </c>
      <c r="AC13" s="34">
        <v>0</v>
      </c>
      <c r="AD13" s="34">
        <v>0</v>
      </c>
      <c r="AE13" s="34">
        <v>0</v>
      </c>
      <c r="AF13" s="34">
        <v>0</v>
      </c>
      <c r="AG13" s="34">
        <v>0</v>
      </c>
      <c r="AH13" s="34">
        <v>0</v>
      </c>
      <c r="AI13" s="34">
        <v>0</v>
      </c>
      <c r="AJ13" s="34">
        <v>0</v>
      </c>
      <c r="AK13" s="34">
        <v>0</v>
      </c>
      <c r="AL13" s="34">
        <v>0</v>
      </c>
      <c r="AM13" s="34">
        <v>0</v>
      </c>
      <c r="AN13" s="34">
        <v>0</v>
      </c>
      <c r="AO13" s="34">
        <v>0</v>
      </c>
      <c r="AP13" s="34">
        <v>0</v>
      </c>
      <c r="AQ13" s="34">
        <v>0</v>
      </c>
      <c r="AR13" s="34">
        <v>0</v>
      </c>
      <c r="AS13" s="34">
        <v>0</v>
      </c>
      <c r="AT13" s="34">
        <v>0</v>
      </c>
      <c r="AU13" s="34">
        <v>0</v>
      </c>
      <c r="AV13" s="34">
        <v>0</v>
      </c>
      <c r="AW13" s="34">
        <v>0</v>
      </c>
      <c r="AX13" s="34">
        <v>0</v>
      </c>
      <c r="AY13" s="34">
        <v>0</v>
      </c>
      <c r="AZ13" s="34">
        <v>0</v>
      </c>
      <c r="BA13" s="34">
        <v>0</v>
      </c>
      <c r="BB13" s="34">
        <v>1</v>
      </c>
      <c r="BC13" s="34">
        <v>0</v>
      </c>
      <c r="BD13" s="34">
        <v>0</v>
      </c>
      <c r="BE13" s="34">
        <v>0</v>
      </c>
      <c r="BF13" s="34">
        <v>0</v>
      </c>
      <c r="BG13" s="34">
        <v>0</v>
      </c>
      <c r="BH13" s="34">
        <v>0</v>
      </c>
      <c r="BI13" s="34">
        <v>0</v>
      </c>
      <c r="BJ13" s="34">
        <v>0</v>
      </c>
      <c r="BK13" s="34">
        <v>0</v>
      </c>
      <c r="BL13" s="34">
        <v>0</v>
      </c>
      <c r="BM13" s="34">
        <v>0</v>
      </c>
      <c r="BN13" s="34">
        <v>0</v>
      </c>
      <c r="BO13" s="34">
        <v>0</v>
      </c>
      <c r="BP13" s="34">
        <v>0</v>
      </c>
      <c r="BQ13" s="34">
        <v>0</v>
      </c>
      <c r="BR13" s="34">
        <v>0</v>
      </c>
      <c r="BS13" s="34">
        <v>0</v>
      </c>
      <c r="BT13" s="34">
        <v>0</v>
      </c>
      <c r="BU13" s="34">
        <v>0</v>
      </c>
      <c r="BV13" s="34">
        <v>0</v>
      </c>
      <c r="BW13" s="34">
        <v>0</v>
      </c>
      <c r="BX13" s="34">
        <v>0</v>
      </c>
      <c r="BY13" s="34">
        <v>0</v>
      </c>
      <c r="BZ13" s="34">
        <v>0</v>
      </c>
      <c r="CA13" s="34">
        <v>0</v>
      </c>
      <c r="CB13" s="34">
        <v>0</v>
      </c>
      <c r="CC13" s="34">
        <v>0</v>
      </c>
      <c r="CD13" s="34">
        <v>0</v>
      </c>
      <c r="CE13" s="34">
        <v>0</v>
      </c>
      <c r="CF13" s="34">
        <v>0</v>
      </c>
      <c r="CG13" s="34">
        <v>0</v>
      </c>
      <c r="CH13" s="34">
        <v>0</v>
      </c>
      <c r="CI13" s="34">
        <v>0</v>
      </c>
      <c r="CJ13" s="34">
        <v>0</v>
      </c>
      <c r="CK13" s="34">
        <v>0</v>
      </c>
      <c r="CL13" s="34">
        <v>0</v>
      </c>
      <c r="CM13" s="34">
        <v>0</v>
      </c>
      <c r="CN13" s="34">
        <v>1</v>
      </c>
      <c r="CO13" s="34">
        <v>0</v>
      </c>
      <c r="CP13" s="34">
        <v>0</v>
      </c>
      <c r="CQ13" s="34">
        <v>0</v>
      </c>
      <c r="CR13" s="34">
        <v>0</v>
      </c>
      <c r="CS13" s="34">
        <v>0</v>
      </c>
      <c r="CT13" s="34">
        <v>0</v>
      </c>
      <c r="CU13" s="34">
        <v>0</v>
      </c>
      <c r="CV13" s="34">
        <v>0</v>
      </c>
      <c r="CW13" s="34">
        <v>1</v>
      </c>
      <c r="CX13" s="34">
        <v>0</v>
      </c>
      <c r="CY13" s="34">
        <v>0</v>
      </c>
      <c r="CZ13" s="34">
        <v>0</v>
      </c>
      <c r="DA13" s="34">
        <v>0</v>
      </c>
      <c r="DB13" s="34">
        <v>0</v>
      </c>
      <c r="DC13" s="34">
        <v>0</v>
      </c>
      <c r="DD13" s="34">
        <v>0</v>
      </c>
      <c r="DE13" s="34">
        <v>0</v>
      </c>
      <c r="DF13" s="34">
        <v>0</v>
      </c>
      <c r="DG13" s="34">
        <v>0</v>
      </c>
      <c r="DH13" s="34">
        <v>0</v>
      </c>
      <c r="DI13" s="34">
        <v>0</v>
      </c>
      <c r="DJ13" s="34">
        <v>0</v>
      </c>
      <c r="DK13" s="34">
        <v>0</v>
      </c>
      <c r="DL13" s="34">
        <v>0</v>
      </c>
      <c r="DM13" s="34">
        <v>0</v>
      </c>
      <c r="DN13" s="34">
        <v>0</v>
      </c>
      <c r="DO13" s="34">
        <v>0</v>
      </c>
      <c r="DP13" s="34">
        <v>0</v>
      </c>
      <c r="DQ13" s="34">
        <v>0</v>
      </c>
      <c r="DR13" s="34">
        <v>0</v>
      </c>
      <c r="DS13" s="34">
        <v>0</v>
      </c>
      <c r="DT13" s="34">
        <v>0</v>
      </c>
      <c r="DU13" s="34">
        <v>0</v>
      </c>
      <c r="DV13" s="34">
        <v>0</v>
      </c>
      <c r="DW13" s="34">
        <v>0</v>
      </c>
      <c r="DX13" s="34">
        <v>0</v>
      </c>
      <c r="DY13" s="34">
        <v>0</v>
      </c>
      <c r="DZ13" s="34">
        <v>0</v>
      </c>
      <c r="EA13" s="34">
        <v>0</v>
      </c>
      <c r="EB13" s="34">
        <v>0</v>
      </c>
      <c r="EC13" s="34">
        <v>0</v>
      </c>
      <c r="ED13" s="34">
        <v>0</v>
      </c>
      <c r="EE13" s="34">
        <v>0</v>
      </c>
      <c r="EF13" s="34">
        <v>0</v>
      </c>
      <c r="EG13" s="34">
        <v>0</v>
      </c>
      <c r="EH13" s="34">
        <v>0</v>
      </c>
      <c r="EI13" s="34">
        <v>0</v>
      </c>
      <c r="EJ13" s="34">
        <v>0</v>
      </c>
      <c r="EK13" s="34">
        <v>0</v>
      </c>
      <c r="EL13" s="34">
        <v>0</v>
      </c>
      <c r="EM13" s="34">
        <v>0</v>
      </c>
      <c r="EN13" s="34">
        <v>0</v>
      </c>
      <c r="EO13" s="34">
        <v>0</v>
      </c>
      <c r="EP13" s="34">
        <v>0</v>
      </c>
      <c r="EQ13" s="34">
        <v>0</v>
      </c>
      <c r="ER13" s="34">
        <v>0</v>
      </c>
      <c r="ES13" s="34">
        <v>0</v>
      </c>
      <c r="ET13" s="34">
        <v>0</v>
      </c>
      <c r="EU13" s="34">
        <v>0</v>
      </c>
      <c r="EV13" s="34">
        <v>1</v>
      </c>
      <c r="EW13" s="34">
        <v>0</v>
      </c>
      <c r="EX13" s="34">
        <v>0</v>
      </c>
      <c r="EY13" s="34">
        <v>0</v>
      </c>
      <c r="EZ13" s="34">
        <v>1</v>
      </c>
      <c r="FA13" s="34">
        <v>0</v>
      </c>
      <c r="FB13" s="34">
        <v>0</v>
      </c>
      <c r="FC13" s="34">
        <v>0</v>
      </c>
      <c r="FD13" s="34">
        <v>0</v>
      </c>
      <c r="FE13" s="34">
        <v>0</v>
      </c>
      <c r="FF13" s="34">
        <v>0</v>
      </c>
      <c r="FG13" s="34">
        <v>0</v>
      </c>
      <c r="FH13" s="34">
        <v>0</v>
      </c>
      <c r="FI13" s="34">
        <v>0</v>
      </c>
      <c r="FJ13" s="34">
        <v>0</v>
      </c>
      <c r="FK13" s="34">
        <v>0</v>
      </c>
      <c r="FL13" s="34">
        <v>0</v>
      </c>
      <c r="FM13" s="34">
        <v>0</v>
      </c>
      <c r="FN13" s="34">
        <v>0</v>
      </c>
      <c r="FO13" s="34">
        <v>0</v>
      </c>
      <c r="FP13" s="34">
        <v>0</v>
      </c>
      <c r="FQ13" s="34">
        <v>0</v>
      </c>
      <c r="FR13" s="34">
        <v>0</v>
      </c>
      <c r="FS13" s="34">
        <v>0</v>
      </c>
      <c r="FT13" s="34">
        <v>1</v>
      </c>
      <c r="FU13" s="34">
        <v>0</v>
      </c>
      <c r="FV13" s="34">
        <v>0</v>
      </c>
      <c r="FW13" s="34">
        <v>0</v>
      </c>
      <c r="FX13" s="34">
        <v>0</v>
      </c>
      <c r="FY13" s="34">
        <v>0</v>
      </c>
      <c r="FZ13" s="34">
        <v>0</v>
      </c>
      <c r="GA13" s="34">
        <v>0</v>
      </c>
      <c r="GB13" s="34">
        <v>0</v>
      </c>
      <c r="GC13" s="34">
        <v>0</v>
      </c>
      <c r="GD13" s="34">
        <v>0</v>
      </c>
      <c r="GE13" s="34">
        <v>0</v>
      </c>
      <c r="GF13" s="34">
        <v>0</v>
      </c>
      <c r="GG13" s="34">
        <v>0</v>
      </c>
      <c r="GH13" s="34">
        <v>0</v>
      </c>
      <c r="GI13" s="34">
        <v>0</v>
      </c>
      <c r="GJ13" s="34">
        <v>0</v>
      </c>
      <c r="GK13" s="34">
        <v>0</v>
      </c>
      <c r="GL13" s="34">
        <v>0</v>
      </c>
      <c r="GM13" s="34">
        <v>0</v>
      </c>
      <c r="GN13" s="34">
        <v>0</v>
      </c>
      <c r="GO13" s="34">
        <v>0</v>
      </c>
      <c r="GP13" s="34">
        <v>0</v>
      </c>
      <c r="GQ13" s="34">
        <v>0</v>
      </c>
      <c r="GR13" s="34">
        <v>0</v>
      </c>
      <c r="GS13" s="34">
        <v>0</v>
      </c>
      <c r="GT13" s="34">
        <v>0</v>
      </c>
      <c r="GU13" s="34">
        <v>0</v>
      </c>
      <c r="GV13" s="34">
        <v>0</v>
      </c>
      <c r="GW13" s="34">
        <v>1</v>
      </c>
      <c r="GX13" s="34">
        <v>0</v>
      </c>
      <c r="GY13" s="34">
        <v>0</v>
      </c>
      <c r="GZ13" s="34">
        <v>0</v>
      </c>
      <c r="HA13" s="34">
        <v>0</v>
      </c>
      <c r="HB13" s="34">
        <v>0</v>
      </c>
      <c r="HC13" s="34">
        <v>0</v>
      </c>
      <c r="HD13" s="34">
        <v>0</v>
      </c>
      <c r="HE13" s="34">
        <v>0</v>
      </c>
      <c r="HF13" s="34">
        <v>0</v>
      </c>
      <c r="HG13" s="34">
        <v>0</v>
      </c>
      <c r="HH13" s="34">
        <v>0</v>
      </c>
      <c r="HI13" s="34">
        <v>0</v>
      </c>
      <c r="HJ13" s="34">
        <v>0</v>
      </c>
      <c r="HK13" s="34">
        <v>1</v>
      </c>
      <c r="HL13" s="34">
        <v>0</v>
      </c>
      <c r="HM13" s="34">
        <v>0</v>
      </c>
      <c r="HN13" s="34">
        <v>0</v>
      </c>
      <c r="HO13" s="34">
        <v>1</v>
      </c>
      <c r="HP13" s="34">
        <v>0</v>
      </c>
      <c r="HQ13" s="34">
        <v>0</v>
      </c>
      <c r="HR13" s="34">
        <v>0</v>
      </c>
      <c r="HS13" s="34">
        <v>1</v>
      </c>
      <c r="HT13" s="34">
        <v>1</v>
      </c>
      <c r="HU13" s="34">
        <v>0</v>
      </c>
      <c r="HV13" s="34">
        <v>0</v>
      </c>
      <c r="HW13" s="34">
        <v>0</v>
      </c>
      <c r="HX13" s="34">
        <v>0</v>
      </c>
      <c r="HY13" s="34">
        <v>0</v>
      </c>
      <c r="HZ13" s="34">
        <v>0</v>
      </c>
      <c r="IA13" s="34">
        <v>0</v>
      </c>
      <c r="IB13" s="34">
        <v>0</v>
      </c>
      <c r="IC13" s="34">
        <v>0</v>
      </c>
      <c r="ID13" s="34">
        <v>0</v>
      </c>
      <c r="IE13" s="34">
        <v>0</v>
      </c>
      <c r="IF13" s="34">
        <v>0</v>
      </c>
      <c r="IG13" s="34">
        <v>0</v>
      </c>
    </row>
    <row r="14" spans="1:241" x14ac:dyDescent="0.3">
      <c r="A14" s="34" t="s">
        <v>47</v>
      </c>
      <c r="B14" s="38">
        <f t="shared" si="0"/>
        <v>17</v>
      </c>
      <c r="C14" s="34">
        <v>0</v>
      </c>
      <c r="D14" s="34">
        <v>0</v>
      </c>
      <c r="E14" s="34">
        <v>0</v>
      </c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34">
        <v>0</v>
      </c>
      <c r="O14" s="34">
        <v>0</v>
      </c>
      <c r="P14" s="34">
        <v>0</v>
      </c>
      <c r="Q14" s="34">
        <v>0</v>
      </c>
      <c r="R14" s="34">
        <v>0</v>
      </c>
      <c r="S14" s="34">
        <v>0</v>
      </c>
      <c r="T14" s="34">
        <v>0</v>
      </c>
      <c r="U14" s="34">
        <v>0</v>
      </c>
      <c r="V14" s="34">
        <v>0</v>
      </c>
      <c r="W14" s="34">
        <v>0</v>
      </c>
      <c r="X14" s="34">
        <v>1</v>
      </c>
      <c r="Y14" s="34">
        <v>0</v>
      </c>
      <c r="Z14" s="34">
        <v>0</v>
      </c>
      <c r="AA14" s="34">
        <v>0</v>
      </c>
      <c r="AB14" s="34">
        <v>0</v>
      </c>
      <c r="AC14" s="34">
        <v>0</v>
      </c>
      <c r="AD14" s="34">
        <v>0</v>
      </c>
      <c r="AE14" s="34">
        <v>0</v>
      </c>
      <c r="AF14" s="34">
        <v>0</v>
      </c>
      <c r="AG14" s="34">
        <v>0</v>
      </c>
      <c r="AH14" s="34">
        <v>0</v>
      </c>
      <c r="AI14" s="34">
        <v>0</v>
      </c>
      <c r="AJ14" s="34">
        <v>0</v>
      </c>
      <c r="AK14" s="34">
        <v>0</v>
      </c>
      <c r="AL14" s="34">
        <v>0</v>
      </c>
      <c r="AM14" s="34">
        <v>0</v>
      </c>
      <c r="AN14" s="34">
        <v>0</v>
      </c>
      <c r="AO14" s="34">
        <v>0</v>
      </c>
      <c r="AP14" s="34">
        <v>0</v>
      </c>
      <c r="AQ14" s="34">
        <v>0</v>
      </c>
      <c r="AR14" s="34">
        <v>0</v>
      </c>
      <c r="AS14" s="34">
        <v>1</v>
      </c>
      <c r="AT14" s="34">
        <v>0</v>
      </c>
      <c r="AU14" s="34">
        <v>0</v>
      </c>
      <c r="AV14" s="34">
        <v>0</v>
      </c>
      <c r="AW14" s="34">
        <v>0</v>
      </c>
      <c r="AX14" s="34">
        <v>0</v>
      </c>
      <c r="AY14" s="34">
        <v>0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4">
        <v>0</v>
      </c>
      <c r="BF14" s="34">
        <v>0</v>
      </c>
      <c r="BG14" s="34">
        <v>0</v>
      </c>
      <c r="BH14" s="34">
        <v>0</v>
      </c>
      <c r="BI14" s="34">
        <v>0</v>
      </c>
      <c r="BJ14" s="34">
        <v>0</v>
      </c>
      <c r="BK14" s="34">
        <v>0</v>
      </c>
      <c r="BL14" s="34">
        <v>1</v>
      </c>
      <c r="BM14" s="34">
        <v>0</v>
      </c>
      <c r="BN14" s="34">
        <v>0</v>
      </c>
      <c r="BO14" s="34">
        <v>0</v>
      </c>
      <c r="BP14" s="34">
        <v>0</v>
      </c>
      <c r="BQ14" s="34">
        <v>0</v>
      </c>
      <c r="BR14" s="34">
        <v>0</v>
      </c>
      <c r="BS14" s="34">
        <v>0</v>
      </c>
      <c r="BT14" s="34">
        <v>0</v>
      </c>
      <c r="BU14" s="34">
        <v>0</v>
      </c>
      <c r="BV14" s="34">
        <v>0</v>
      </c>
      <c r="BW14" s="34">
        <v>0</v>
      </c>
      <c r="BX14" s="34">
        <v>0</v>
      </c>
      <c r="BY14" s="34">
        <v>0</v>
      </c>
      <c r="BZ14" s="34">
        <v>0</v>
      </c>
      <c r="CA14" s="34">
        <v>0</v>
      </c>
      <c r="CB14" s="34">
        <v>0</v>
      </c>
      <c r="CC14" s="34">
        <v>0</v>
      </c>
      <c r="CD14" s="34">
        <v>0</v>
      </c>
      <c r="CE14" s="34">
        <v>0</v>
      </c>
      <c r="CF14" s="34">
        <v>0</v>
      </c>
      <c r="CG14" s="34">
        <v>0</v>
      </c>
      <c r="CH14" s="34">
        <v>0</v>
      </c>
      <c r="CI14" s="34">
        <v>0</v>
      </c>
      <c r="CJ14" s="34">
        <v>0</v>
      </c>
      <c r="CK14" s="34">
        <v>0</v>
      </c>
      <c r="CL14" s="34">
        <v>0</v>
      </c>
      <c r="CM14" s="34">
        <v>0</v>
      </c>
      <c r="CN14" s="34">
        <v>0</v>
      </c>
      <c r="CO14" s="34">
        <v>0</v>
      </c>
      <c r="CP14" s="34">
        <v>0</v>
      </c>
      <c r="CQ14" s="34">
        <v>0</v>
      </c>
      <c r="CR14" s="34">
        <v>0</v>
      </c>
      <c r="CS14" s="34">
        <v>0</v>
      </c>
      <c r="CT14" s="34">
        <v>0</v>
      </c>
      <c r="CU14" s="34">
        <v>0</v>
      </c>
      <c r="CV14" s="34">
        <v>0</v>
      </c>
      <c r="CW14" s="34">
        <v>0</v>
      </c>
      <c r="CX14" s="34">
        <v>1</v>
      </c>
      <c r="CY14" s="34">
        <v>0</v>
      </c>
      <c r="CZ14" s="34">
        <v>0</v>
      </c>
      <c r="DA14" s="34">
        <v>0</v>
      </c>
      <c r="DB14" s="34">
        <v>0</v>
      </c>
      <c r="DC14" s="34">
        <v>0</v>
      </c>
      <c r="DD14" s="34">
        <v>0</v>
      </c>
      <c r="DE14" s="34">
        <v>1</v>
      </c>
      <c r="DF14" s="34">
        <v>0</v>
      </c>
      <c r="DG14" s="34">
        <v>0</v>
      </c>
      <c r="DH14" s="34">
        <v>0</v>
      </c>
      <c r="DI14" s="34">
        <v>0</v>
      </c>
      <c r="DJ14" s="34">
        <v>1</v>
      </c>
      <c r="DK14" s="34">
        <v>0</v>
      </c>
      <c r="DL14" s="34">
        <v>0</v>
      </c>
      <c r="DM14" s="34">
        <v>0</v>
      </c>
      <c r="DN14" s="34">
        <v>0</v>
      </c>
      <c r="DO14" s="34">
        <v>0</v>
      </c>
      <c r="DP14" s="34">
        <v>0</v>
      </c>
      <c r="DQ14" s="34">
        <v>1</v>
      </c>
      <c r="DR14" s="34">
        <v>0</v>
      </c>
      <c r="DS14" s="34">
        <v>0</v>
      </c>
      <c r="DT14" s="34">
        <v>0</v>
      </c>
      <c r="DU14" s="34">
        <v>0</v>
      </c>
      <c r="DV14" s="34">
        <v>0</v>
      </c>
      <c r="DW14" s="34">
        <v>0</v>
      </c>
      <c r="DX14" s="34">
        <v>0</v>
      </c>
      <c r="DY14" s="34">
        <v>0</v>
      </c>
      <c r="DZ14" s="34">
        <v>0</v>
      </c>
      <c r="EA14" s="34">
        <v>0</v>
      </c>
      <c r="EB14" s="34">
        <v>1</v>
      </c>
      <c r="EC14" s="34">
        <v>0</v>
      </c>
      <c r="ED14" s="34">
        <v>0</v>
      </c>
      <c r="EE14" s="34">
        <v>0</v>
      </c>
      <c r="EF14" s="34">
        <v>0</v>
      </c>
      <c r="EG14" s="34">
        <v>0</v>
      </c>
      <c r="EH14" s="34">
        <v>0</v>
      </c>
      <c r="EI14" s="34">
        <v>0</v>
      </c>
      <c r="EJ14" s="34">
        <v>0</v>
      </c>
      <c r="EK14" s="34">
        <v>0</v>
      </c>
      <c r="EL14" s="34">
        <v>2</v>
      </c>
      <c r="EM14" s="34">
        <v>0</v>
      </c>
      <c r="EN14" s="34">
        <v>0</v>
      </c>
      <c r="EO14" s="34">
        <v>0</v>
      </c>
      <c r="EP14" s="34">
        <v>0</v>
      </c>
      <c r="EQ14" s="34">
        <v>0</v>
      </c>
      <c r="ER14" s="34">
        <v>0</v>
      </c>
      <c r="ES14" s="34">
        <v>0</v>
      </c>
      <c r="ET14" s="34">
        <v>0</v>
      </c>
      <c r="EU14" s="34">
        <v>0</v>
      </c>
      <c r="EV14" s="34">
        <v>0</v>
      </c>
      <c r="EW14" s="34">
        <v>0</v>
      </c>
      <c r="EX14" s="34">
        <v>0</v>
      </c>
      <c r="EY14" s="34">
        <v>0</v>
      </c>
      <c r="EZ14" s="34">
        <v>1</v>
      </c>
      <c r="FA14" s="34">
        <v>0</v>
      </c>
      <c r="FB14" s="34">
        <v>0</v>
      </c>
      <c r="FC14" s="34">
        <v>0</v>
      </c>
      <c r="FD14" s="34">
        <v>0</v>
      </c>
      <c r="FE14" s="34">
        <v>0</v>
      </c>
      <c r="FF14" s="34">
        <v>0</v>
      </c>
      <c r="FG14" s="34">
        <v>0</v>
      </c>
      <c r="FH14" s="34">
        <v>0</v>
      </c>
      <c r="FI14" s="34">
        <v>0</v>
      </c>
      <c r="FJ14" s="34">
        <v>0</v>
      </c>
      <c r="FK14" s="34">
        <v>0</v>
      </c>
      <c r="FL14" s="34">
        <v>0</v>
      </c>
      <c r="FM14" s="34">
        <v>0</v>
      </c>
      <c r="FN14" s="34">
        <v>0</v>
      </c>
      <c r="FO14" s="34">
        <v>0</v>
      </c>
      <c r="FP14" s="34">
        <v>0</v>
      </c>
      <c r="FQ14" s="34">
        <v>0</v>
      </c>
      <c r="FR14" s="34">
        <v>0</v>
      </c>
      <c r="FS14" s="34">
        <v>0</v>
      </c>
      <c r="FT14" s="34">
        <v>0</v>
      </c>
      <c r="FU14" s="34">
        <v>0</v>
      </c>
      <c r="FV14" s="34">
        <v>0</v>
      </c>
      <c r="FW14" s="34">
        <v>0</v>
      </c>
      <c r="FX14" s="34">
        <v>0</v>
      </c>
      <c r="FY14" s="34">
        <v>0</v>
      </c>
      <c r="FZ14" s="34">
        <v>0</v>
      </c>
      <c r="GA14" s="34">
        <v>0</v>
      </c>
      <c r="GB14" s="34">
        <v>0</v>
      </c>
      <c r="GC14" s="34">
        <v>0</v>
      </c>
      <c r="GD14" s="34">
        <v>0</v>
      </c>
      <c r="GE14" s="34">
        <v>0</v>
      </c>
      <c r="GF14" s="34">
        <v>0</v>
      </c>
      <c r="GG14" s="34">
        <v>0</v>
      </c>
      <c r="GH14" s="34">
        <v>0</v>
      </c>
      <c r="GI14" s="34">
        <v>0</v>
      </c>
      <c r="GJ14" s="34">
        <v>0</v>
      </c>
      <c r="GK14" s="34">
        <v>0</v>
      </c>
      <c r="GL14" s="34">
        <v>0</v>
      </c>
      <c r="GM14" s="34">
        <v>0</v>
      </c>
      <c r="GN14" s="34">
        <v>0</v>
      </c>
      <c r="GO14" s="34">
        <v>0</v>
      </c>
      <c r="GP14" s="34">
        <v>0</v>
      </c>
      <c r="GQ14" s="34">
        <v>0</v>
      </c>
      <c r="GR14" s="34">
        <v>1</v>
      </c>
      <c r="GS14" s="34">
        <v>1</v>
      </c>
      <c r="GT14" s="34">
        <v>1</v>
      </c>
      <c r="GU14" s="34">
        <v>0</v>
      </c>
      <c r="GV14" s="34">
        <v>0</v>
      </c>
      <c r="GW14" s="34">
        <v>0</v>
      </c>
      <c r="GX14" s="34">
        <v>0</v>
      </c>
      <c r="GY14" s="34">
        <v>0</v>
      </c>
      <c r="GZ14" s="34">
        <v>0</v>
      </c>
      <c r="HA14" s="34">
        <v>0</v>
      </c>
      <c r="HB14" s="34">
        <v>1</v>
      </c>
      <c r="HC14" s="34">
        <v>0</v>
      </c>
      <c r="HD14" s="34">
        <v>0</v>
      </c>
      <c r="HE14" s="34">
        <v>0</v>
      </c>
      <c r="HF14" s="34">
        <v>0</v>
      </c>
      <c r="HG14" s="34">
        <v>0</v>
      </c>
      <c r="HH14" s="34">
        <v>0</v>
      </c>
      <c r="HI14" s="34">
        <v>0</v>
      </c>
      <c r="HJ14" s="34">
        <v>0</v>
      </c>
      <c r="HK14" s="34">
        <v>0</v>
      </c>
      <c r="HL14" s="34">
        <v>0</v>
      </c>
      <c r="HM14" s="34">
        <v>0</v>
      </c>
      <c r="HN14" s="34">
        <v>0</v>
      </c>
      <c r="HO14" s="34">
        <v>0</v>
      </c>
      <c r="HP14" s="34">
        <v>0</v>
      </c>
      <c r="HQ14" s="34">
        <v>0</v>
      </c>
      <c r="HR14" s="34">
        <v>0</v>
      </c>
      <c r="HS14" s="34">
        <v>0</v>
      </c>
      <c r="HT14" s="34">
        <v>0</v>
      </c>
      <c r="HU14" s="34">
        <v>0</v>
      </c>
      <c r="HV14" s="34">
        <v>0</v>
      </c>
      <c r="HW14" s="34">
        <v>0</v>
      </c>
      <c r="HX14" s="34">
        <v>0</v>
      </c>
      <c r="HY14" s="34">
        <v>0</v>
      </c>
      <c r="HZ14" s="34">
        <v>0</v>
      </c>
      <c r="IA14" s="34">
        <v>0</v>
      </c>
      <c r="IB14" s="34">
        <v>0</v>
      </c>
      <c r="IC14" s="34">
        <v>1</v>
      </c>
      <c r="ID14" s="34">
        <v>0</v>
      </c>
      <c r="IE14" s="34">
        <v>1</v>
      </c>
      <c r="IF14" s="34">
        <v>0</v>
      </c>
      <c r="IG14" s="34">
        <v>0</v>
      </c>
    </row>
    <row r="15" spans="1:241" x14ac:dyDescent="0.3">
      <c r="A15" s="34" t="s">
        <v>48</v>
      </c>
      <c r="B15" s="38">
        <f t="shared" si="0"/>
        <v>25</v>
      </c>
      <c r="C15" s="34">
        <v>0</v>
      </c>
      <c r="D15" s="34">
        <v>0</v>
      </c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1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1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1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1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1</v>
      </c>
      <c r="AY15" s="34">
        <v>1</v>
      </c>
      <c r="AZ15" s="34">
        <v>0</v>
      </c>
      <c r="BA15" s="34">
        <v>1</v>
      </c>
      <c r="BB15" s="34">
        <v>0</v>
      </c>
      <c r="BC15" s="34">
        <v>0</v>
      </c>
      <c r="BD15" s="34">
        <v>1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1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1</v>
      </c>
      <c r="CN15" s="34">
        <v>1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1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1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  <c r="FA15" s="34">
        <v>0</v>
      </c>
      <c r="FB15" s="34">
        <v>0</v>
      </c>
      <c r="FC15" s="34">
        <v>1</v>
      </c>
      <c r="FD15" s="34">
        <v>0</v>
      </c>
      <c r="FE15" s="34">
        <v>0</v>
      </c>
      <c r="FF15" s="34">
        <v>0</v>
      </c>
      <c r="FG15" s="34">
        <v>0</v>
      </c>
      <c r="FH15" s="34">
        <v>0</v>
      </c>
      <c r="FI15" s="34">
        <v>1</v>
      </c>
      <c r="FJ15" s="34">
        <v>0</v>
      </c>
      <c r="FK15" s="34">
        <v>0</v>
      </c>
      <c r="FL15" s="34">
        <v>0</v>
      </c>
      <c r="FM15" s="34">
        <v>1</v>
      </c>
      <c r="FN15" s="34">
        <v>0</v>
      </c>
      <c r="FO15" s="34">
        <v>0</v>
      </c>
      <c r="FP15" s="34">
        <v>0</v>
      </c>
      <c r="FQ15" s="34">
        <v>1</v>
      </c>
      <c r="FR15" s="34">
        <v>0</v>
      </c>
      <c r="FS15" s="34">
        <v>1</v>
      </c>
      <c r="FT15" s="34">
        <v>0</v>
      </c>
      <c r="FU15" s="34">
        <v>0</v>
      </c>
      <c r="FV15" s="34">
        <v>0</v>
      </c>
      <c r="FW15" s="34">
        <v>1</v>
      </c>
      <c r="FX15" s="34">
        <v>0</v>
      </c>
      <c r="FY15" s="34">
        <v>0</v>
      </c>
      <c r="FZ15" s="34">
        <v>0</v>
      </c>
      <c r="GA15" s="34">
        <v>0</v>
      </c>
      <c r="GB15" s="34">
        <v>0</v>
      </c>
      <c r="GC15" s="34">
        <v>0</v>
      </c>
      <c r="GD15" s="34">
        <v>0</v>
      </c>
      <c r="GE15" s="34">
        <v>0</v>
      </c>
      <c r="GF15" s="34">
        <v>0</v>
      </c>
      <c r="GG15" s="34">
        <v>0</v>
      </c>
      <c r="GH15" s="34">
        <v>0</v>
      </c>
      <c r="GI15" s="34">
        <v>0</v>
      </c>
      <c r="GJ15" s="34">
        <v>0</v>
      </c>
      <c r="GK15" s="34">
        <v>0</v>
      </c>
      <c r="GL15" s="34">
        <v>0</v>
      </c>
      <c r="GM15" s="34">
        <v>0</v>
      </c>
      <c r="GN15" s="34">
        <v>0</v>
      </c>
      <c r="GO15" s="34">
        <v>0</v>
      </c>
      <c r="GP15" s="34">
        <v>0</v>
      </c>
      <c r="GQ15" s="34">
        <v>0</v>
      </c>
      <c r="GR15" s="34">
        <v>0</v>
      </c>
      <c r="GS15" s="34">
        <v>1</v>
      </c>
      <c r="GT15" s="34">
        <v>1</v>
      </c>
      <c r="GU15" s="34">
        <v>0</v>
      </c>
      <c r="GV15" s="34">
        <v>0</v>
      </c>
      <c r="GW15" s="34">
        <v>0</v>
      </c>
      <c r="GX15" s="34">
        <v>0</v>
      </c>
      <c r="GY15" s="34">
        <v>0</v>
      </c>
      <c r="GZ15" s="34">
        <v>0</v>
      </c>
      <c r="HA15" s="34">
        <v>1</v>
      </c>
      <c r="HB15" s="34">
        <v>0</v>
      </c>
      <c r="HC15" s="34">
        <v>0</v>
      </c>
      <c r="HD15" s="34">
        <v>0</v>
      </c>
      <c r="HE15" s="34">
        <v>0</v>
      </c>
      <c r="HF15" s="34">
        <v>0</v>
      </c>
      <c r="HG15" s="34">
        <v>0</v>
      </c>
      <c r="HH15" s="34">
        <v>0</v>
      </c>
      <c r="HI15" s="34">
        <v>0</v>
      </c>
      <c r="HJ15" s="34">
        <v>0</v>
      </c>
      <c r="HK15" s="34">
        <v>0</v>
      </c>
      <c r="HL15" s="34">
        <v>0</v>
      </c>
      <c r="HM15" s="34">
        <v>0</v>
      </c>
      <c r="HN15" s="34">
        <v>0</v>
      </c>
      <c r="HO15" s="34">
        <v>0</v>
      </c>
      <c r="HP15" s="34">
        <v>0</v>
      </c>
      <c r="HQ15" s="34">
        <v>0</v>
      </c>
      <c r="HR15" s="34">
        <v>0</v>
      </c>
      <c r="HS15" s="34">
        <v>0</v>
      </c>
      <c r="HT15" s="34">
        <v>0</v>
      </c>
      <c r="HU15" s="34">
        <v>0</v>
      </c>
      <c r="HV15" s="34">
        <v>1</v>
      </c>
      <c r="HW15" s="34">
        <v>1</v>
      </c>
      <c r="HX15" s="34">
        <v>1</v>
      </c>
      <c r="HY15" s="34">
        <v>0</v>
      </c>
      <c r="HZ15" s="34">
        <v>0</v>
      </c>
      <c r="IA15" s="34">
        <v>0</v>
      </c>
      <c r="IB15" s="34">
        <v>0</v>
      </c>
      <c r="IC15" s="34">
        <v>0</v>
      </c>
      <c r="ID15" s="34">
        <v>0</v>
      </c>
      <c r="IE15" s="34">
        <v>0</v>
      </c>
      <c r="IF15" s="34">
        <v>0</v>
      </c>
      <c r="IG15" s="34">
        <v>0</v>
      </c>
    </row>
    <row r="16" spans="1:241" x14ac:dyDescent="0.3">
      <c r="A16" s="34" t="s">
        <v>49</v>
      </c>
      <c r="B16" s="38">
        <f t="shared" si="0"/>
        <v>15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34">
        <v>0</v>
      </c>
      <c r="O16" s="34">
        <v>1</v>
      </c>
      <c r="P16" s="34">
        <v>0</v>
      </c>
      <c r="Q16" s="34">
        <v>0</v>
      </c>
      <c r="R16" s="34">
        <v>0</v>
      </c>
      <c r="S16" s="34">
        <v>0</v>
      </c>
      <c r="T16" s="34">
        <v>1</v>
      </c>
      <c r="U16" s="34">
        <v>0</v>
      </c>
      <c r="V16" s="34">
        <v>1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34">
        <v>0</v>
      </c>
      <c r="AD16" s="34">
        <v>0</v>
      </c>
      <c r="AE16" s="34">
        <v>0</v>
      </c>
      <c r="AF16" s="34">
        <v>0</v>
      </c>
      <c r="AG16" s="34">
        <v>0</v>
      </c>
      <c r="AH16" s="34">
        <v>0</v>
      </c>
      <c r="AI16" s="34">
        <v>0</v>
      </c>
      <c r="AJ16" s="34">
        <v>0</v>
      </c>
      <c r="AK16" s="34">
        <v>0</v>
      </c>
      <c r="AL16" s="34">
        <v>0</v>
      </c>
      <c r="AM16" s="34">
        <v>0</v>
      </c>
      <c r="AN16" s="34">
        <v>1</v>
      </c>
      <c r="AO16" s="34">
        <v>0</v>
      </c>
      <c r="AP16" s="34">
        <v>0</v>
      </c>
      <c r="AQ16" s="34">
        <v>0</v>
      </c>
      <c r="AR16" s="34">
        <v>0</v>
      </c>
      <c r="AS16" s="34">
        <v>0</v>
      </c>
      <c r="AT16" s="34">
        <v>0</v>
      </c>
      <c r="AU16" s="34">
        <v>0</v>
      </c>
      <c r="AV16" s="34">
        <v>0</v>
      </c>
      <c r="AW16" s="34">
        <v>0</v>
      </c>
      <c r="AX16" s="34">
        <v>0</v>
      </c>
      <c r="AY16" s="34">
        <v>0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4">
        <v>0</v>
      </c>
      <c r="BF16" s="34">
        <v>0</v>
      </c>
      <c r="BG16" s="34">
        <v>0</v>
      </c>
      <c r="BH16" s="34">
        <v>0</v>
      </c>
      <c r="BI16" s="34">
        <v>0</v>
      </c>
      <c r="BJ16" s="34">
        <v>0</v>
      </c>
      <c r="BK16" s="34">
        <v>0</v>
      </c>
      <c r="BL16" s="34">
        <v>0</v>
      </c>
      <c r="BM16" s="34">
        <v>0</v>
      </c>
      <c r="BN16" s="34">
        <v>0</v>
      </c>
      <c r="BO16" s="34">
        <v>0</v>
      </c>
      <c r="BP16" s="34">
        <v>0</v>
      </c>
      <c r="BQ16" s="34">
        <v>0</v>
      </c>
      <c r="BR16" s="34">
        <v>0</v>
      </c>
      <c r="BS16" s="34">
        <v>1</v>
      </c>
      <c r="BT16" s="34">
        <v>0</v>
      </c>
      <c r="BU16" s="34">
        <v>0</v>
      </c>
      <c r="BV16" s="34">
        <v>0</v>
      </c>
      <c r="BW16" s="34">
        <v>0</v>
      </c>
      <c r="BX16" s="34">
        <v>0</v>
      </c>
      <c r="BY16" s="34">
        <v>0</v>
      </c>
      <c r="BZ16" s="34">
        <v>0</v>
      </c>
      <c r="CA16" s="34">
        <v>0</v>
      </c>
      <c r="CB16" s="34">
        <v>0</v>
      </c>
      <c r="CC16" s="34">
        <v>0</v>
      </c>
      <c r="CD16" s="34">
        <v>0</v>
      </c>
      <c r="CE16" s="34">
        <v>0</v>
      </c>
      <c r="CF16" s="34">
        <v>0</v>
      </c>
      <c r="CG16" s="34">
        <v>0</v>
      </c>
      <c r="CH16" s="34">
        <v>0</v>
      </c>
      <c r="CI16" s="34">
        <v>0</v>
      </c>
      <c r="CJ16" s="34">
        <v>0</v>
      </c>
      <c r="CK16" s="34">
        <v>0</v>
      </c>
      <c r="CL16" s="34">
        <v>0</v>
      </c>
      <c r="CM16" s="34">
        <v>0</v>
      </c>
      <c r="CN16" s="34">
        <v>0</v>
      </c>
      <c r="CO16" s="34">
        <v>0</v>
      </c>
      <c r="CP16" s="34">
        <v>0</v>
      </c>
      <c r="CQ16" s="34">
        <v>0</v>
      </c>
      <c r="CR16" s="34">
        <v>1</v>
      </c>
      <c r="CS16" s="34">
        <v>0</v>
      </c>
      <c r="CT16" s="34">
        <v>0</v>
      </c>
      <c r="CU16" s="34">
        <v>0</v>
      </c>
      <c r="CV16" s="34">
        <v>0</v>
      </c>
      <c r="CW16" s="34">
        <v>0</v>
      </c>
      <c r="CX16" s="34">
        <v>0</v>
      </c>
      <c r="CY16" s="34">
        <v>0</v>
      </c>
      <c r="CZ16" s="34">
        <v>0</v>
      </c>
      <c r="DA16" s="34">
        <v>0</v>
      </c>
      <c r="DB16" s="34">
        <v>0</v>
      </c>
      <c r="DC16" s="34">
        <v>0</v>
      </c>
      <c r="DD16" s="34">
        <v>0</v>
      </c>
      <c r="DE16" s="34">
        <v>0</v>
      </c>
      <c r="DF16" s="34">
        <v>0</v>
      </c>
      <c r="DG16" s="34">
        <v>0</v>
      </c>
      <c r="DH16" s="34">
        <v>0</v>
      </c>
      <c r="DI16" s="34">
        <v>0</v>
      </c>
      <c r="DJ16" s="34">
        <v>0</v>
      </c>
      <c r="DK16" s="34">
        <v>0</v>
      </c>
      <c r="DL16" s="34">
        <v>0</v>
      </c>
      <c r="DM16" s="34">
        <v>0</v>
      </c>
      <c r="DN16" s="34">
        <v>0</v>
      </c>
      <c r="DO16" s="34">
        <v>0</v>
      </c>
      <c r="DP16" s="34">
        <v>0</v>
      </c>
      <c r="DQ16" s="34">
        <v>0</v>
      </c>
      <c r="DR16" s="34">
        <v>0</v>
      </c>
      <c r="DS16" s="34">
        <v>0</v>
      </c>
      <c r="DT16" s="34">
        <v>0</v>
      </c>
      <c r="DU16" s="34">
        <v>0</v>
      </c>
      <c r="DV16" s="34">
        <v>0</v>
      </c>
      <c r="DW16" s="34">
        <v>0</v>
      </c>
      <c r="DX16" s="34">
        <v>0</v>
      </c>
      <c r="DY16" s="34">
        <v>0</v>
      </c>
      <c r="DZ16" s="34">
        <v>0</v>
      </c>
      <c r="EA16" s="34">
        <v>0</v>
      </c>
      <c r="EB16" s="34">
        <v>0</v>
      </c>
      <c r="EC16" s="34">
        <v>0</v>
      </c>
      <c r="ED16" s="34">
        <v>0</v>
      </c>
      <c r="EE16" s="34">
        <v>0</v>
      </c>
      <c r="EF16" s="34">
        <v>0</v>
      </c>
      <c r="EG16" s="34">
        <v>0</v>
      </c>
      <c r="EH16" s="34">
        <v>0</v>
      </c>
      <c r="EI16" s="34">
        <v>1</v>
      </c>
      <c r="EJ16" s="34">
        <v>0</v>
      </c>
      <c r="EK16" s="34">
        <v>1</v>
      </c>
      <c r="EL16" s="34">
        <v>1</v>
      </c>
      <c r="EM16" s="34">
        <v>0</v>
      </c>
      <c r="EN16" s="34">
        <v>0</v>
      </c>
      <c r="EO16" s="34">
        <v>0</v>
      </c>
      <c r="EP16" s="34">
        <v>0</v>
      </c>
      <c r="EQ16" s="34">
        <v>0</v>
      </c>
      <c r="ER16" s="34">
        <v>0</v>
      </c>
      <c r="ES16" s="34">
        <v>0</v>
      </c>
      <c r="ET16" s="34">
        <v>0</v>
      </c>
      <c r="EU16" s="34">
        <v>0</v>
      </c>
      <c r="EV16" s="34">
        <v>0</v>
      </c>
      <c r="EW16" s="34">
        <v>0</v>
      </c>
      <c r="EX16" s="34">
        <v>0</v>
      </c>
      <c r="EY16" s="34">
        <v>0</v>
      </c>
      <c r="EZ16" s="34">
        <v>0</v>
      </c>
      <c r="FA16" s="34">
        <v>0</v>
      </c>
      <c r="FB16" s="34">
        <v>0</v>
      </c>
      <c r="FC16" s="34">
        <v>0</v>
      </c>
      <c r="FD16" s="34">
        <v>0</v>
      </c>
      <c r="FE16" s="34">
        <v>0</v>
      </c>
      <c r="FF16" s="34">
        <v>0</v>
      </c>
      <c r="FG16" s="34">
        <v>0</v>
      </c>
      <c r="FH16" s="34">
        <v>0</v>
      </c>
      <c r="FI16" s="34">
        <v>0</v>
      </c>
      <c r="FJ16" s="34">
        <v>0</v>
      </c>
      <c r="FK16" s="34">
        <v>0</v>
      </c>
      <c r="FL16" s="34">
        <v>0</v>
      </c>
      <c r="FM16" s="34">
        <v>0</v>
      </c>
      <c r="FN16" s="34">
        <v>0</v>
      </c>
      <c r="FO16" s="34">
        <v>0</v>
      </c>
      <c r="FP16" s="34">
        <v>0</v>
      </c>
      <c r="FQ16" s="34">
        <v>0</v>
      </c>
      <c r="FR16" s="34">
        <v>0</v>
      </c>
      <c r="FS16" s="34">
        <v>0</v>
      </c>
      <c r="FT16" s="34">
        <v>0</v>
      </c>
      <c r="FU16" s="34">
        <v>0</v>
      </c>
      <c r="FV16" s="34">
        <v>1</v>
      </c>
      <c r="FW16" s="34">
        <v>0</v>
      </c>
      <c r="FX16" s="34">
        <v>0</v>
      </c>
      <c r="FY16" s="34">
        <v>0</v>
      </c>
      <c r="FZ16" s="34">
        <v>0</v>
      </c>
      <c r="GA16" s="34">
        <v>0</v>
      </c>
      <c r="GB16" s="34">
        <v>0</v>
      </c>
      <c r="GC16" s="34">
        <v>0</v>
      </c>
      <c r="GD16" s="34">
        <v>1</v>
      </c>
      <c r="GE16" s="34">
        <v>0</v>
      </c>
      <c r="GF16" s="34">
        <v>0</v>
      </c>
      <c r="GG16" s="34">
        <v>0</v>
      </c>
      <c r="GH16" s="34">
        <v>0</v>
      </c>
      <c r="GI16" s="34">
        <v>0</v>
      </c>
      <c r="GJ16" s="34">
        <v>0</v>
      </c>
      <c r="GK16" s="34">
        <v>0</v>
      </c>
      <c r="GL16" s="34">
        <v>0</v>
      </c>
      <c r="GM16" s="34">
        <v>0</v>
      </c>
      <c r="GN16" s="34">
        <v>0</v>
      </c>
      <c r="GO16" s="34">
        <v>1</v>
      </c>
      <c r="GP16" s="34">
        <v>0</v>
      </c>
      <c r="GQ16" s="34">
        <v>0</v>
      </c>
      <c r="GR16" s="34">
        <v>0</v>
      </c>
      <c r="GS16" s="34">
        <v>0</v>
      </c>
      <c r="GT16" s="34">
        <v>0</v>
      </c>
      <c r="GU16" s="34">
        <v>0</v>
      </c>
      <c r="GV16" s="34">
        <v>0</v>
      </c>
      <c r="GW16" s="34">
        <v>0</v>
      </c>
      <c r="GX16" s="34">
        <v>0</v>
      </c>
      <c r="GY16" s="34">
        <v>0</v>
      </c>
      <c r="GZ16" s="34">
        <v>0</v>
      </c>
      <c r="HA16" s="34">
        <v>0</v>
      </c>
      <c r="HB16" s="34">
        <v>0</v>
      </c>
      <c r="HC16" s="34">
        <v>0</v>
      </c>
      <c r="HD16" s="34">
        <v>0</v>
      </c>
      <c r="HE16" s="34">
        <v>0</v>
      </c>
      <c r="HF16" s="34">
        <v>0</v>
      </c>
      <c r="HG16" s="34">
        <v>0</v>
      </c>
      <c r="HH16" s="34">
        <v>0</v>
      </c>
      <c r="HI16" s="34">
        <v>1</v>
      </c>
      <c r="HJ16" s="34">
        <v>0</v>
      </c>
      <c r="HK16" s="34">
        <v>0</v>
      </c>
      <c r="HL16" s="34">
        <v>0</v>
      </c>
      <c r="HM16" s="34">
        <v>0</v>
      </c>
      <c r="HN16" s="34">
        <v>0</v>
      </c>
      <c r="HO16" s="34">
        <v>0</v>
      </c>
      <c r="HP16" s="34">
        <v>0</v>
      </c>
      <c r="HQ16" s="34">
        <v>1</v>
      </c>
      <c r="HR16" s="34">
        <v>0</v>
      </c>
      <c r="HS16" s="34">
        <v>0</v>
      </c>
      <c r="HT16" s="34">
        <v>0</v>
      </c>
      <c r="HU16" s="34">
        <v>0</v>
      </c>
      <c r="HV16" s="34">
        <v>0</v>
      </c>
      <c r="HW16" s="34">
        <v>0</v>
      </c>
      <c r="HX16" s="34">
        <v>0</v>
      </c>
      <c r="HY16" s="34">
        <v>0</v>
      </c>
      <c r="HZ16" s="34">
        <v>0</v>
      </c>
      <c r="IA16" s="34">
        <v>0</v>
      </c>
      <c r="IB16" s="34">
        <v>0</v>
      </c>
      <c r="IC16" s="34">
        <v>0</v>
      </c>
      <c r="ID16" s="34">
        <v>0</v>
      </c>
      <c r="IE16" s="34">
        <v>0</v>
      </c>
      <c r="IF16" s="34">
        <v>0</v>
      </c>
      <c r="IG16" s="34">
        <v>1</v>
      </c>
    </row>
    <row r="17" spans="1:241" x14ac:dyDescent="0.3">
      <c r="A17" s="34" t="s">
        <v>50</v>
      </c>
      <c r="B17" s="38">
        <f t="shared" si="0"/>
        <v>9</v>
      </c>
      <c r="C17" s="34">
        <v>0</v>
      </c>
      <c r="D17" s="34">
        <v>0</v>
      </c>
      <c r="E17" s="34">
        <v>0</v>
      </c>
      <c r="F17" s="34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v>0</v>
      </c>
      <c r="P17" s="34">
        <v>0</v>
      </c>
      <c r="Q17" s="34">
        <v>0</v>
      </c>
      <c r="R17" s="34">
        <v>0</v>
      </c>
      <c r="S17" s="34">
        <v>0</v>
      </c>
      <c r="T17" s="34">
        <v>0</v>
      </c>
      <c r="U17" s="34">
        <v>0</v>
      </c>
      <c r="V17" s="34"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  <c r="AB17" s="34">
        <v>1</v>
      </c>
      <c r="AC17" s="34">
        <v>0</v>
      </c>
      <c r="AD17" s="34">
        <v>0</v>
      </c>
      <c r="AE17" s="34">
        <v>0</v>
      </c>
      <c r="AF17" s="34">
        <v>0</v>
      </c>
      <c r="AG17" s="34">
        <v>0</v>
      </c>
      <c r="AH17" s="34">
        <v>0</v>
      </c>
      <c r="AI17" s="34">
        <v>0</v>
      </c>
      <c r="AJ17" s="34">
        <v>0</v>
      </c>
      <c r="AK17" s="34">
        <v>0</v>
      </c>
      <c r="AL17" s="34">
        <v>0</v>
      </c>
      <c r="AM17" s="34">
        <v>0</v>
      </c>
      <c r="AN17" s="34">
        <v>0</v>
      </c>
      <c r="AO17" s="34">
        <v>0</v>
      </c>
      <c r="AP17" s="34">
        <v>0</v>
      </c>
      <c r="AQ17" s="34">
        <v>0</v>
      </c>
      <c r="AR17" s="34">
        <v>0</v>
      </c>
      <c r="AS17" s="34">
        <v>0</v>
      </c>
      <c r="AT17" s="34">
        <v>0</v>
      </c>
      <c r="AU17" s="34">
        <v>0</v>
      </c>
      <c r="AV17" s="34">
        <v>0</v>
      </c>
      <c r="AW17" s="34">
        <v>0</v>
      </c>
      <c r="AX17" s="34">
        <v>0</v>
      </c>
      <c r="AY17" s="34">
        <v>0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4">
        <v>0</v>
      </c>
      <c r="BF17" s="34">
        <v>0</v>
      </c>
      <c r="BG17" s="34">
        <v>0</v>
      </c>
      <c r="BH17" s="34">
        <v>0</v>
      </c>
      <c r="BI17" s="34">
        <v>0</v>
      </c>
      <c r="BJ17" s="34">
        <v>0</v>
      </c>
      <c r="BK17" s="34">
        <v>0</v>
      </c>
      <c r="BL17" s="34">
        <v>0</v>
      </c>
      <c r="BM17" s="34">
        <v>0</v>
      </c>
      <c r="BN17" s="34">
        <v>0</v>
      </c>
      <c r="BO17" s="34">
        <v>0</v>
      </c>
      <c r="BP17" s="34">
        <v>0</v>
      </c>
      <c r="BQ17" s="34">
        <v>0</v>
      </c>
      <c r="BR17" s="34">
        <v>0</v>
      </c>
      <c r="BS17" s="34">
        <v>0</v>
      </c>
      <c r="BT17" s="34">
        <v>0</v>
      </c>
      <c r="BU17" s="34">
        <v>0</v>
      </c>
      <c r="BV17" s="34">
        <v>0</v>
      </c>
      <c r="BW17" s="34">
        <v>0</v>
      </c>
      <c r="BX17" s="34">
        <v>0</v>
      </c>
      <c r="BY17" s="34">
        <v>0</v>
      </c>
      <c r="BZ17" s="34">
        <v>0</v>
      </c>
      <c r="CA17" s="34">
        <v>0</v>
      </c>
      <c r="CB17" s="34">
        <v>0</v>
      </c>
      <c r="CC17" s="34">
        <v>1</v>
      </c>
      <c r="CD17" s="34">
        <v>1</v>
      </c>
      <c r="CE17" s="34">
        <v>0</v>
      </c>
      <c r="CF17" s="34">
        <v>0</v>
      </c>
      <c r="CG17" s="34">
        <v>0</v>
      </c>
      <c r="CH17" s="34">
        <v>0</v>
      </c>
      <c r="CI17" s="34">
        <v>0</v>
      </c>
      <c r="CJ17" s="34">
        <v>0</v>
      </c>
      <c r="CK17" s="34">
        <v>0</v>
      </c>
      <c r="CL17" s="34">
        <v>0</v>
      </c>
      <c r="CM17" s="34">
        <v>0</v>
      </c>
      <c r="CN17" s="34">
        <v>0</v>
      </c>
      <c r="CO17" s="34">
        <v>0</v>
      </c>
      <c r="CP17" s="34">
        <v>0</v>
      </c>
      <c r="CQ17" s="34">
        <v>0</v>
      </c>
      <c r="CR17" s="34">
        <v>0</v>
      </c>
      <c r="CS17" s="34">
        <v>0</v>
      </c>
      <c r="CT17" s="34">
        <v>0</v>
      </c>
      <c r="CU17" s="34">
        <v>0</v>
      </c>
      <c r="CV17" s="34">
        <v>0</v>
      </c>
      <c r="CW17" s="34">
        <v>0</v>
      </c>
      <c r="CX17" s="34">
        <v>0</v>
      </c>
      <c r="CY17" s="34">
        <v>0</v>
      </c>
      <c r="CZ17" s="34">
        <v>0</v>
      </c>
      <c r="DA17" s="34">
        <v>0</v>
      </c>
      <c r="DB17" s="34">
        <v>0</v>
      </c>
      <c r="DC17" s="34">
        <v>0</v>
      </c>
      <c r="DD17" s="34">
        <v>0</v>
      </c>
      <c r="DE17" s="34">
        <v>0</v>
      </c>
      <c r="DF17" s="34">
        <v>1</v>
      </c>
      <c r="DG17" s="34">
        <v>0</v>
      </c>
      <c r="DH17" s="34">
        <v>0</v>
      </c>
      <c r="DI17" s="34">
        <v>0</v>
      </c>
      <c r="DJ17" s="34">
        <v>0</v>
      </c>
      <c r="DK17" s="34">
        <v>0</v>
      </c>
      <c r="DL17" s="34">
        <v>0</v>
      </c>
      <c r="DM17" s="34">
        <v>0</v>
      </c>
      <c r="DN17" s="34">
        <v>0</v>
      </c>
      <c r="DO17" s="34">
        <v>0</v>
      </c>
      <c r="DP17" s="34">
        <v>0</v>
      </c>
      <c r="DQ17" s="34">
        <v>1</v>
      </c>
      <c r="DR17" s="34">
        <v>0</v>
      </c>
      <c r="DS17" s="34">
        <v>1</v>
      </c>
      <c r="DT17" s="34">
        <v>0</v>
      </c>
      <c r="DU17" s="34">
        <v>0</v>
      </c>
      <c r="DV17" s="34">
        <v>0</v>
      </c>
      <c r="DW17" s="34">
        <v>0</v>
      </c>
      <c r="DX17" s="34">
        <v>0</v>
      </c>
      <c r="DY17" s="34">
        <v>0</v>
      </c>
      <c r="DZ17" s="34">
        <v>0</v>
      </c>
      <c r="EA17" s="34">
        <v>1</v>
      </c>
      <c r="EB17" s="34">
        <v>0</v>
      </c>
      <c r="EC17" s="34">
        <v>0</v>
      </c>
      <c r="ED17" s="34">
        <v>0</v>
      </c>
      <c r="EE17" s="34">
        <v>0</v>
      </c>
      <c r="EF17" s="34">
        <v>0</v>
      </c>
      <c r="EG17" s="34">
        <v>0</v>
      </c>
      <c r="EH17" s="34">
        <v>0</v>
      </c>
      <c r="EI17" s="34">
        <v>0</v>
      </c>
      <c r="EJ17" s="34">
        <v>0</v>
      </c>
      <c r="EK17" s="34">
        <v>0</v>
      </c>
      <c r="EL17" s="34">
        <v>1</v>
      </c>
      <c r="EM17" s="34">
        <v>0</v>
      </c>
      <c r="EN17" s="34">
        <v>0</v>
      </c>
      <c r="EO17" s="34">
        <v>0</v>
      </c>
      <c r="EP17" s="34">
        <v>0</v>
      </c>
      <c r="EQ17" s="34">
        <v>0</v>
      </c>
      <c r="ER17" s="34">
        <v>0</v>
      </c>
      <c r="ES17" s="34">
        <v>0</v>
      </c>
      <c r="ET17" s="34">
        <v>0</v>
      </c>
      <c r="EU17" s="34">
        <v>0</v>
      </c>
      <c r="EV17" s="34">
        <v>0</v>
      </c>
      <c r="EW17" s="34">
        <v>0</v>
      </c>
      <c r="EX17" s="34">
        <v>0</v>
      </c>
      <c r="EY17" s="34">
        <v>0</v>
      </c>
      <c r="EZ17" s="34">
        <v>0</v>
      </c>
      <c r="FA17" s="34">
        <v>0</v>
      </c>
      <c r="FB17" s="34">
        <v>0</v>
      </c>
      <c r="FC17" s="34">
        <v>0</v>
      </c>
      <c r="FD17" s="34">
        <v>0</v>
      </c>
      <c r="FE17" s="34">
        <v>0</v>
      </c>
      <c r="FF17" s="34">
        <v>0</v>
      </c>
      <c r="FG17" s="34">
        <v>0</v>
      </c>
      <c r="FH17" s="34">
        <v>0</v>
      </c>
      <c r="FI17" s="34">
        <v>0</v>
      </c>
      <c r="FJ17" s="34">
        <v>0</v>
      </c>
      <c r="FK17" s="34">
        <v>0</v>
      </c>
      <c r="FL17" s="34">
        <v>0</v>
      </c>
      <c r="FM17" s="34">
        <v>0</v>
      </c>
      <c r="FN17" s="34">
        <v>0</v>
      </c>
      <c r="FO17" s="34">
        <v>0</v>
      </c>
      <c r="FP17" s="34">
        <v>0</v>
      </c>
      <c r="FQ17" s="34">
        <v>0</v>
      </c>
      <c r="FR17" s="34">
        <v>0</v>
      </c>
      <c r="FS17" s="34">
        <v>0</v>
      </c>
      <c r="FT17" s="34">
        <v>0</v>
      </c>
      <c r="FU17" s="34">
        <v>0</v>
      </c>
      <c r="FV17" s="34">
        <v>0</v>
      </c>
      <c r="FW17" s="34">
        <v>0</v>
      </c>
      <c r="FX17" s="34">
        <v>0</v>
      </c>
      <c r="FY17" s="34">
        <v>0</v>
      </c>
      <c r="FZ17" s="34">
        <v>0</v>
      </c>
      <c r="GA17" s="34">
        <v>0</v>
      </c>
      <c r="GB17" s="34">
        <v>0</v>
      </c>
      <c r="GC17" s="34">
        <v>0</v>
      </c>
      <c r="GD17" s="34">
        <v>0</v>
      </c>
      <c r="GE17" s="34">
        <v>0</v>
      </c>
      <c r="GF17" s="34">
        <v>0</v>
      </c>
      <c r="GG17" s="34">
        <v>0</v>
      </c>
      <c r="GH17" s="34">
        <v>0</v>
      </c>
      <c r="GI17" s="34">
        <v>0</v>
      </c>
      <c r="GJ17" s="34">
        <v>0</v>
      </c>
      <c r="GK17" s="34">
        <v>0</v>
      </c>
      <c r="GL17" s="34">
        <v>0</v>
      </c>
      <c r="GM17" s="34">
        <v>0</v>
      </c>
      <c r="GN17" s="34">
        <v>0</v>
      </c>
      <c r="GO17" s="34">
        <v>0</v>
      </c>
      <c r="GP17" s="34">
        <v>0</v>
      </c>
      <c r="GQ17" s="34">
        <v>0</v>
      </c>
      <c r="GR17" s="34">
        <v>0</v>
      </c>
      <c r="GS17" s="34">
        <v>0</v>
      </c>
      <c r="GT17" s="34">
        <v>0</v>
      </c>
      <c r="GU17" s="34">
        <v>0</v>
      </c>
      <c r="GV17" s="34">
        <v>0</v>
      </c>
      <c r="GW17" s="34">
        <v>0</v>
      </c>
      <c r="GX17" s="34">
        <v>0</v>
      </c>
      <c r="GY17" s="34">
        <v>0</v>
      </c>
      <c r="GZ17" s="34">
        <v>0</v>
      </c>
      <c r="HA17" s="34">
        <v>0</v>
      </c>
      <c r="HB17" s="34">
        <v>0</v>
      </c>
      <c r="HC17" s="34">
        <v>0</v>
      </c>
      <c r="HD17" s="34">
        <v>0</v>
      </c>
      <c r="HE17" s="34">
        <v>0</v>
      </c>
      <c r="HF17" s="34">
        <v>0</v>
      </c>
      <c r="HG17" s="34">
        <v>0</v>
      </c>
      <c r="HH17" s="34">
        <v>0</v>
      </c>
      <c r="HI17" s="34">
        <v>0</v>
      </c>
      <c r="HJ17" s="34">
        <v>0</v>
      </c>
      <c r="HK17" s="34">
        <v>0</v>
      </c>
      <c r="HL17" s="34">
        <v>0</v>
      </c>
      <c r="HM17" s="34">
        <v>0</v>
      </c>
      <c r="HN17" s="34">
        <v>0</v>
      </c>
      <c r="HO17" s="34">
        <v>0</v>
      </c>
      <c r="HP17" s="34">
        <v>0</v>
      </c>
      <c r="HQ17" s="34">
        <v>0</v>
      </c>
      <c r="HR17" s="34">
        <v>0</v>
      </c>
      <c r="HS17" s="34">
        <v>0</v>
      </c>
      <c r="HT17" s="34">
        <v>0</v>
      </c>
      <c r="HU17" s="34">
        <v>0</v>
      </c>
      <c r="HV17" s="34">
        <v>0</v>
      </c>
      <c r="HW17" s="34">
        <v>0</v>
      </c>
      <c r="HX17" s="34">
        <v>0</v>
      </c>
      <c r="HY17" s="34">
        <v>0</v>
      </c>
      <c r="HZ17" s="34">
        <v>0</v>
      </c>
      <c r="IA17" s="34">
        <v>0</v>
      </c>
      <c r="IB17" s="34">
        <v>0</v>
      </c>
      <c r="IC17" s="34">
        <v>0</v>
      </c>
      <c r="ID17" s="34">
        <v>0</v>
      </c>
      <c r="IE17" s="34">
        <v>1</v>
      </c>
      <c r="IF17" s="34">
        <v>0</v>
      </c>
      <c r="IG17" s="34">
        <v>0</v>
      </c>
    </row>
    <row r="18" spans="1:241" x14ac:dyDescent="0.3">
      <c r="A18" s="34" t="s">
        <v>51</v>
      </c>
      <c r="B18" s="38">
        <f t="shared" si="0"/>
        <v>18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1</v>
      </c>
      <c r="S18" s="34">
        <v>0</v>
      </c>
      <c r="T18" s="34">
        <v>0</v>
      </c>
      <c r="U18" s="34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4">
        <v>1</v>
      </c>
      <c r="AC18" s="34">
        <v>0</v>
      </c>
      <c r="AD18" s="34">
        <v>0</v>
      </c>
      <c r="AE18" s="34">
        <v>1</v>
      </c>
      <c r="AF18" s="34">
        <v>0</v>
      </c>
      <c r="AG18" s="34">
        <v>0</v>
      </c>
      <c r="AH18" s="34">
        <v>0</v>
      </c>
      <c r="AI18" s="34">
        <v>0</v>
      </c>
      <c r="AJ18" s="34">
        <v>0</v>
      </c>
      <c r="AK18" s="34">
        <v>0</v>
      </c>
      <c r="AL18" s="34">
        <v>0</v>
      </c>
      <c r="AM18" s="34">
        <v>1</v>
      </c>
      <c r="AN18" s="34">
        <v>1</v>
      </c>
      <c r="AO18" s="34">
        <v>0</v>
      </c>
      <c r="AP18" s="34">
        <v>0</v>
      </c>
      <c r="AQ18" s="34">
        <v>0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4">
        <v>0</v>
      </c>
      <c r="AY18" s="34">
        <v>0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4">
        <v>0</v>
      </c>
      <c r="BF18" s="34">
        <v>0</v>
      </c>
      <c r="BG18" s="34">
        <v>0</v>
      </c>
      <c r="BH18" s="34">
        <v>0</v>
      </c>
      <c r="BI18" s="34">
        <v>0</v>
      </c>
      <c r="BJ18" s="34">
        <v>0</v>
      </c>
      <c r="BK18" s="34">
        <v>0</v>
      </c>
      <c r="BL18" s="34">
        <v>0</v>
      </c>
      <c r="BM18" s="34">
        <v>0</v>
      </c>
      <c r="BN18" s="34">
        <v>0</v>
      </c>
      <c r="BO18" s="34">
        <v>0</v>
      </c>
      <c r="BP18" s="34">
        <v>0</v>
      </c>
      <c r="BQ18" s="34">
        <v>0</v>
      </c>
      <c r="BR18" s="34">
        <v>1</v>
      </c>
      <c r="BS18" s="34">
        <v>0</v>
      </c>
      <c r="BT18" s="34">
        <v>0</v>
      </c>
      <c r="BU18" s="34">
        <v>0</v>
      </c>
      <c r="BV18" s="34">
        <v>0</v>
      </c>
      <c r="BW18" s="34">
        <v>0</v>
      </c>
      <c r="BX18" s="34">
        <v>0</v>
      </c>
      <c r="BY18" s="34">
        <v>0</v>
      </c>
      <c r="BZ18" s="34">
        <v>0</v>
      </c>
      <c r="CA18" s="34">
        <v>0</v>
      </c>
      <c r="CB18" s="34">
        <v>0</v>
      </c>
      <c r="CC18" s="34">
        <v>0</v>
      </c>
      <c r="CD18" s="34">
        <v>0</v>
      </c>
      <c r="CE18" s="34">
        <v>0</v>
      </c>
      <c r="CF18" s="34">
        <v>0</v>
      </c>
      <c r="CG18" s="34">
        <v>0</v>
      </c>
      <c r="CH18" s="34">
        <v>0</v>
      </c>
      <c r="CI18" s="34">
        <v>0</v>
      </c>
      <c r="CJ18" s="34">
        <v>0</v>
      </c>
      <c r="CK18" s="34">
        <v>0</v>
      </c>
      <c r="CL18" s="34">
        <v>0</v>
      </c>
      <c r="CM18" s="34">
        <v>0</v>
      </c>
      <c r="CN18" s="34">
        <v>0</v>
      </c>
      <c r="CO18" s="34">
        <v>0</v>
      </c>
      <c r="CP18" s="34">
        <v>0</v>
      </c>
      <c r="CQ18" s="34">
        <v>0</v>
      </c>
      <c r="CR18" s="34">
        <v>0</v>
      </c>
      <c r="CS18" s="34">
        <v>0</v>
      </c>
      <c r="CT18" s="34">
        <v>0</v>
      </c>
      <c r="CU18" s="34">
        <v>0</v>
      </c>
      <c r="CV18" s="34">
        <v>0</v>
      </c>
      <c r="CW18" s="34">
        <v>0</v>
      </c>
      <c r="CX18" s="34">
        <v>0</v>
      </c>
      <c r="CY18" s="34">
        <v>0</v>
      </c>
      <c r="CZ18" s="34">
        <v>0</v>
      </c>
      <c r="DA18" s="34">
        <v>0</v>
      </c>
      <c r="DB18" s="34">
        <v>0</v>
      </c>
      <c r="DC18" s="34">
        <v>0</v>
      </c>
      <c r="DD18" s="34">
        <v>0</v>
      </c>
      <c r="DE18" s="34">
        <v>0</v>
      </c>
      <c r="DF18" s="34">
        <v>0</v>
      </c>
      <c r="DG18" s="34">
        <v>0</v>
      </c>
      <c r="DH18" s="34">
        <v>0</v>
      </c>
      <c r="DI18" s="34">
        <v>0</v>
      </c>
      <c r="DJ18" s="34">
        <v>0</v>
      </c>
      <c r="DK18" s="34">
        <v>0</v>
      </c>
      <c r="DL18" s="34">
        <v>0</v>
      </c>
      <c r="DM18" s="34">
        <v>0</v>
      </c>
      <c r="DN18" s="34">
        <v>0</v>
      </c>
      <c r="DO18" s="34">
        <v>0</v>
      </c>
      <c r="DP18" s="34">
        <v>0</v>
      </c>
      <c r="DQ18" s="34">
        <v>0</v>
      </c>
      <c r="DR18" s="34">
        <v>0</v>
      </c>
      <c r="DS18" s="34">
        <v>0</v>
      </c>
      <c r="DT18" s="34">
        <v>0</v>
      </c>
      <c r="DU18" s="34">
        <v>0</v>
      </c>
      <c r="DV18" s="34">
        <v>0</v>
      </c>
      <c r="DW18" s="34">
        <v>0</v>
      </c>
      <c r="DX18" s="34">
        <v>0</v>
      </c>
      <c r="DY18" s="34">
        <v>0</v>
      </c>
      <c r="DZ18" s="34">
        <v>0</v>
      </c>
      <c r="EA18" s="34">
        <v>0</v>
      </c>
      <c r="EB18" s="34">
        <v>0</v>
      </c>
      <c r="EC18" s="34">
        <v>0</v>
      </c>
      <c r="ED18" s="34">
        <v>0</v>
      </c>
      <c r="EE18" s="34">
        <v>0</v>
      </c>
      <c r="EF18" s="34">
        <v>0</v>
      </c>
      <c r="EG18" s="34">
        <v>0</v>
      </c>
      <c r="EH18" s="34">
        <v>0</v>
      </c>
      <c r="EI18" s="34">
        <v>1</v>
      </c>
      <c r="EJ18" s="34">
        <v>0</v>
      </c>
      <c r="EK18" s="34">
        <v>0</v>
      </c>
      <c r="EL18" s="34">
        <v>2</v>
      </c>
      <c r="EM18" s="34">
        <v>0</v>
      </c>
      <c r="EN18" s="34">
        <v>0</v>
      </c>
      <c r="EO18" s="34">
        <v>0</v>
      </c>
      <c r="EP18" s="34">
        <v>0</v>
      </c>
      <c r="EQ18" s="34">
        <v>1</v>
      </c>
      <c r="ER18" s="34">
        <v>0</v>
      </c>
      <c r="ES18" s="34">
        <v>0</v>
      </c>
      <c r="ET18" s="34">
        <v>0</v>
      </c>
      <c r="EU18" s="34">
        <v>0</v>
      </c>
      <c r="EV18" s="34">
        <v>0</v>
      </c>
      <c r="EW18" s="34">
        <v>0</v>
      </c>
      <c r="EX18" s="34">
        <v>0</v>
      </c>
      <c r="EY18" s="34">
        <v>0</v>
      </c>
      <c r="EZ18" s="34">
        <v>0</v>
      </c>
      <c r="FA18" s="34">
        <v>0</v>
      </c>
      <c r="FB18" s="34">
        <v>0</v>
      </c>
      <c r="FC18" s="34">
        <v>0</v>
      </c>
      <c r="FD18" s="34">
        <v>0</v>
      </c>
      <c r="FE18" s="34">
        <v>1</v>
      </c>
      <c r="FF18" s="34">
        <v>0</v>
      </c>
      <c r="FG18" s="34">
        <v>1</v>
      </c>
      <c r="FH18" s="34">
        <v>0</v>
      </c>
      <c r="FI18" s="34">
        <v>0</v>
      </c>
      <c r="FJ18" s="34">
        <v>1</v>
      </c>
      <c r="FK18" s="34">
        <v>0</v>
      </c>
      <c r="FL18" s="34">
        <v>0</v>
      </c>
      <c r="FM18" s="34">
        <v>0</v>
      </c>
      <c r="FN18" s="34">
        <v>0</v>
      </c>
      <c r="FO18" s="34">
        <v>0</v>
      </c>
      <c r="FP18" s="34">
        <v>0</v>
      </c>
      <c r="FQ18" s="34">
        <v>0</v>
      </c>
      <c r="FR18" s="34">
        <v>0</v>
      </c>
      <c r="FS18" s="34">
        <v>0</v>
      </c>
      <c r="FT18" s="34">
        <v>0</v>
      </c>
      <c r="FU18" s="34">
        <v>1</v>
      </c>
      <c r="FV18" s="34">
        <v>0</v>
      </c>
      <c r="FW18" s="34">
        <v>0</v>
      </c>
      <c r="FX18" s="34">
        <v>0</v>
      </c>
      <c r="FY18" s="34">
        <v>1</v>
      </c>
      <c r="FZ18" s="34">
        <v>1</v>
      </c>
      <c r="GA18" s="34">
        <v>0</v>
      </c>
      <c r="GB18" s="34">
        <v>0</v>
      </c>
      <c r="GC18" s="34">
        <v>1</v>
      </c>
      <c r="GD18" s="34">
        <v>0</v>
      </c>
      <c r="GE18" s="34">
        <v>0</v>
      </c>
      <c r="GF18" s="34">
        <v>0</v>
      </c>
      <c r="GG18" s="34">
        <v>0</v>
      </c>
      <c r="GH18" s="34">
        <v>0</v>
      </c>
      <c r="GI18" s="34">
        <v>0</v>
      </c>
      <c r="GJ18" s="34">
        <v>0</v>
      </c>
      <c r="GK18" s="34">
        <v>0</v>
      </c>
      <c r="GL18" s="34">
        <v>0</v>
      </c>
      <c r="GM18" s="34">
        <v>0</v>
      </c>
      <c r="GN18" s="34">
        <v>0</v>
      </c>
      <c r="GO18" s="34">
        <v>0</v>
      </c>
      <c r="GP18" s="34">
        <v>0</v>
      </c>
      <c r="GQ18" s="34">
        <v>0</v>
      </c>
      <c r="GR18" s="34">
        <v>0</v>
      </c>
      <c r="GS18" s="34">
        <v>0</v>
      </c>
      <c r="GT18" s="34">
        <v>0</v>
      </c>
      <c r="GU18" s="34">
        <v>0</v>
      </c>
      <c r="GV18" s="34">
        <v>0</v>
      </c>
      <c r="GW18" s="34">
        <v>0</v>
      </c>
      <c r="GX18" s="34">
        <v>0</v>
      </c>
      <c r="GY18" s="34">
        <v>0</v>
      </c>
      <c r="GZ18" s="34">
        <v>0</v>
      </c>
      <c r="HA18" s="34">
        <v>0</v>
      </c>
      <c r="HB18" s="34">
        <v>0</v>
      </c>
      <c r="HC18" s="34">
        <v>0</v>
      </c>
      <c r="HD18" s="34">
        <v>0</v>
      </c>
      <c r="HE18" s="34">
        <v>0</v>
      </c>
      <c r="HF18" s="34">
        <v>0</v>
      </c>
      <c r="HG18" s="34">
        <v>0</v>
      </c>
      <c r="HH18" s="34">
        <v>0</v>
      </c>
      <c r="HI18" s="34">
        <v>0</v>
      </c>
      <c r="HJ18" s="34">
        <v>0</v>
      </c>
      <c r="HK18" s="34">
        <v>0</v>
      </c>
      <c r="HL18" s="34">
        <v>0</v>
      </c>
      <c r="HM18" s="34">
        <v>0</v>
      </c>
      <c r="HN18" s="34">
        <v>0</v>
      </c>
      <c r="HO18" s="34">
        <v>0</v>
      </c>
      <c r="HP18" s="34">
        <v>0</v>
      </c>
      <c r="HQ18" s="34">
        <v>0</v>
      </c>
      <c r="HR18" s="34">
        <v>0</v>
      </c>
      <c r="HS18" s="34">
        <v>0</v>
      </c>
      <c r="HT18" s="34">
        <v>0</v>
      </c>
      <c r="HU18" s="34">
        <v>0</v>
      </c>
      <c r="HV18" s="34">
        <v>0</v>
      </c>
      <c r="HW18" s="34">
        <v>0</v>
      </c>
      <c r="HX18" s="34">
        <v>0</v>
      </c>
      <c r="HY18" s="34">
        <v>0</v>
      </c>
      <c r="HZ18" s="34">
        <v>0</v>
      </c>
      <c r="IA18" s="34">
        <v>1</v>
      </c>
      <c r="IB18" s="34">
        <v>0</v>
      </c>
      <c r="IC18" s="34">
        <v>0</v>
      </c>
      <c r="ID18" s="34">
        <v>0</v>
      </c>
      <c r="IE18" s="34">
        <v>0</v>
      </c>
      <c r="IF18" s="34">
        <v>0</v>
      </c>
      <c r="IG18" s="34">
        <v>0</v>
      </c>
    </row>
    <row r="19" spans="1:241" x14ac:dyDescent="0.3">
      <c r="A19" s="34" t="s">
        <v>52</v>
      </c>
      <c r="B19" s="38">
        <f t="shared" si="0"/>
        <v>7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P19" s="34">
        <v>0</v>
      </c>
      <c r="Q19" s="34">
        <v>0</v>
      </c>
      <c r="R19" s="34">
        <v>0</v>
      </c>
      <c r="S19" s="34">
        <v>0</v>
      </c>
      <c r="T19" s="34">
        <v>0</v>
      </c>
      <c r="U19" s="34">
        <v>0</v>
      </c>
      <c r="V19" s="34"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  <c r="AB19" s="34">
        <v>1</v>
      </c>
      <c r="AC19" s="34">
        <v>0</v>
      </c>
      <c r="AD19" s="34">
        <v>0</v>
      </c>
      <c r="AE19" s="34">
        <v>0</v>
      </c>
      <c r="AF19" s="34">
        <v>0</v>
      </c>
      <c r="AG19" s="34">
        <v>0</v>
      </c>
      <c r="AH19" s="34">
        <v>0</v>
      </c>
      <c r="AI19" s="34">
        <v>0</v>
      </c>
      <c r="AJ19" s="34">
        <v>0</v>
      </c>
      <c r="AK19" s="34">
        <v>0</v>
      </c>
      <c r="AL19" s="34">
        <v>0</v>
      </c>
      <c r="AM19" s="34">
        <v>0</v>
      </c>
      <c r="AN19" s="34">
        <v>0</v>
      </c>
      <c r="AO19" s="34">
        <v>0</v>
      </c>
      <c r="AP19" s="34">
        <v>0</v>
      </c>
      <c r="AQ19" s="34">
        <v>0</v>
      </c>
      <c r="AR19" s="34">
        <v>0</v>
      </c>
      <c r="AS19" s="34">
        <v>0</v>
      </c>
      <c r="AT19" s="34">
        <v>0</v>
      </c>
      <c r="AU19" s="34">
        <v>0</v>
      </c>
      <c r="AV19" s="34">
        <v>0</v>
      </c>
      <c r="AW19" s="34">
        <v>0</v>
      </c>
      <c r="AX19" s="34">
        <v>0</v>
      </c>
      <c r="AY19" s="34">
        <v>0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4">
        <v>0</v>
      </c>
      <c r="BF19" s="34">
        <v>0</v>
      </c>
      <c r="BG19" s="34">
        <v>0</v>
      </c>
      <c r="BH19" s="34">
        <v>0</v>
      </c>
      <c r="BI19" s="34">
        <v>0</v>
      </c>
      <c r="BJ19" s="34">
        <v>0</v>
      </c>
      <c r="BK19" s="34">
        <v>0</v>
      </c>
      <c r="BL19" s="34">
        <v>0</v>
      </c>
      <c r="BM19" s="34">
        <v>0</v>
      </c>
      <c r="BN19" s="34">
        <v>0</v>
      </c>
      <c r="BO19" s="34">
        <v>0</v>
      </c>
      <c r="BP19" s="34">
        <v>0</v>
      </c>
      <c r="BQ19" s="34">
        <v>0</v>
      </c>
      <c r="BR19" s="34">
        <v>0</v>
      </c>
      <c r="BS19" s="34">
        <v>0</v>
      </c>
      <c r="BT19" s="34">
        <v>0</v>
      </c>
      <c r="BU19" s="34">
        <v>1</v>
      </c>
      <c r="BV19" s="34">
        <v>0</v>
      </c>
      <c r="BW19" s="34">
        <v>0</v>
      </c>
      <c r="BX19" s="34">
        <v>0</v>
      </c>
      <c r="BY19" s="34">
        <v>0</v>
      </c>
      <c r="BZ19" s="34">
        <v>0</v>
      </c>
      <c r="CA19" s="34">
        <v>0</v>
      </c>
      <c r="CB19" s="34">
        <v>0</v>
      </c>
      <c r="CC19" s="34">
        <v>0</v>
      </c>
      <c r="CD19" s="34">
        <v>0</v>
      </c>
      <c r="CE19" s="34">
        <v>0</v>
      </c>
      <c r="CF19" s="34">
        <v>0</v>
      </c>
      <c r="CG19" s="34">
        <v>0</v>
      </c>
      <c r="CH19" s="34">
        <v>0</v>
      </c>
      <c r="CI19" s="34">
        <v>0</v>
      </c>
      <c r="CJ19" s="34">
        <v>0</v>
      </c>
      <c r="CK19" s="34">
        <v>0</v>
      </c>
      <c r="CL19" s="34">
        <v>0</v>
      </c>
      <c r="CM19" s="34">
        <v>0</v>
      </c>
      <c r="CN19" s="34">
        <v>0</v>
      </c>
      <c r="CO19" s="34">
        <v>0</v>
      </c>
      <c r="CP19" s="34">
        <v>0</v>
      </c>
      <c r="CQ19" s="34">
        <v>0</v>
      </c>
      <c r="CR19" s="34">
        <v>0</v>
      </c>
      <c r="CS19" s="34">
        <v>0</v>
      </c>
      <c r="CT19" s="34">
        <v>0</v>
      </c>
      <c r="CU19" s="34">
        <v>0</v>
      </c>
      <c r="CV19" s="34">
        <v>0</v>
      </c>
      <c r="CW19" s="34">
        <v>0</v>
      </c>
      <c r="CX19" s="34">
        <v>0</v>
      </c>
      <c r="CY19" s="34">
        <v>0</v>
      </c>
      <c r="CZ19" s="34">
        <v>0</v>
      </c>
      <c r="DA19" s="34">
        <v>0</v>
      </c>
      <c r="DB19" s="34">
        <v>0</v>
      </c>
      <c r="DC19" s="34">
        <v>0</v>
      </c>
      <c r="DD19" s="34">
        <v>0</v>
      </c>
      <c r="DE19" s="34">
        <v>0</v>
      </c>
      <c r="DF19" s="34">
        <v>0</v>
      </c>
      <c r="DG19" s="34">
        <v>0</v>
      </c>
      <c r="DH19" s="34">
        <v>0</v>
      </c>
      <c r="DI19" s="34">
        <v>0</v>
      </c>
      <c r="DJ19" s="34">
        <v>0</v>
      </c>
      <c r="DK19" s="34">
        <v>0</v>
      </c>
      <c r="DL19" s="34">
        <v>0</v>
      </c>
      <c r="DM19" s="34">
        <v>0</v>
      </c>
      <c r="DN19" s="34">
        <v>0</v>
      </c>
      <c r="DO19" s="34">
        <v>0</v>
      </c>
      <c r="DP19" s="34">
        <v>0</v>
      </c>
      <c r="DQ19" s="34">
        <v>0</v>
      </c>
      <c r="DR19" s="34">
        <v>0</v>
      </c>
      <c r="DS19" s="34">
        <v>0</v>
      </c>
      <c r="DT19" s="34">
        <v>0</v>
      </c>
      <c r="DU19" s="34">
        <v>0</v>
      </c>
      <c r="DV19" s="34">
        <v>0</v>
      </c>
      <c r="DW19" s="34">
        <v>0</v>
      </c>
      <c r="DX19" s="34">
        <v>0</v>
      </c>
      <c r="DY19" s="34">
        <v>0</v>
      </c>
      <c r="DZ19" s="34">
        <v>0</v>
      </c>
      <c r="EA19" s="34">
        <v>0</v>
      </c>
      <c r="EB19" s="34">
        <v>0</v>
      </c>
      <c r="EC19" s="34">
        <v>0</v>
      </c>
      <c r="ED19" s="34">
        <v>1</v>
      </c>
      <c r="EE19" s="34">
        <v>0</v>
      </c>
      <c r="EF19" s="34">
        <v>0</v>
      </c>
      <c r="EG19" s="34">
        <v>0</v>
      </c>
      <c r="EH19" s="34">
        <v>0</v>
      </c>
      <c r="EI19" s="34">
        <v>1</v>
      </c>
      <c r="EJ19" s="34">
        <v>0</v>
      </c>
      <c r="EK19" s="34">
        <v>0</v>
      </c>
      <c r="EL19" s="34">
        <v>1</v>
      </c>
      <c r="EM19" s="34">
        <v>0</v>
      </c>
      <c r="EN19" s="34">
        <v>0</v>
      </c>
      <c r="EO19" s="34">
        <v>0</v>
      </c>
      <c r="EP19" s="34">
        <v>0</v>
      </c>
      <c r="EQ19" s="34">
        <v>0</v>
      </c>
      <c r="ER19" s="34">
        <v>0</v>
      </c>
      <c r="ES19" s="34">
        <v>0</v>
      </c>
      <c r="ET19" s="34">
        <v>0</v>
      </c>
      <c r="EU19" s="34">
        <v>0</v>
      </c>
      <c r="EV19" s="34">
        <v>0</v>
      </c>
      <c r="EW19" s="34">
        <v>0</v>
      </c>
      <c r="EX19" s="34">
        <v>0</v>
      </c>
      <c r="EY19" s="34">
        <v>0</v>
      </c>
      <c r="EZ19" s="34">
        <v>0</v>
      </c>
      <c r="FA19" s="34">
        <v>0</v>
      </c>
      <c r="FB19" s="34">
        <v>1</v>
      </c>
      <c r="FC19" s="34">
        <v>0</v>
      </c>
      <c r="FD19" s="34">
        <v>0</v>
      </c>
      <c r="FE19" s="34">
        <v>0</v>
      </c>
      <c r="FF19" s="34">
        <v>1</v>
      </c>
      <c r="FG19" s="34">
        <v>0</v>
      </c>
      <c r="FH19" s="34">
        <v>0</v>
      </c>
      <c r="FI19" s="34">
        <v>0</v>
      </c>
      <c r="FJ19" s="34">
        <v>0</v>
      </c>
      <c r="FK19" s="34">
        <v>0</v>
      </c>
      <c r="FL19" s="34">
        <v>0</v>
      </c>
      <c r="FM19" s="34">
        <v>0</v>
      </c>
      <c r="FN19" s="34">
        <v>0</v>
      </c>
      <c r="FO19" s="34">
        <v>0</v>
      </c>
      <c r="FP19" s="34">
        <v>0</v>
      </c>
      <c r="FQ19" s="34">
        <v>0</v>
      </c>
      <c r="FR19" s="34">
        <v>0</v>
      </c>
      <c r="FS19" s="34">
        <v>0</v>
      </c>
      <c r="FT19" s="34">
        <v>0</v>
      </c>
      <c r="FU19" s="34">
        <v>0</v>
      </c>
      <c r="FV19" s="34">
        <v>0</v>
      </c>
      <c r="FW19" s="34">
        <v>0</v>
      </c>
      <c r="FX19" s="34">
        <v>0</v>
      </c>
      <c r="FY19" s="34">
        <v>0</v>
      </c>
      <c r="FZ19" s="34">
        <v>0</v>
      </c>
      <c r="GA19" s="34">
        <v>0</v>
      </c>
      <c r="GB19" s="34">
        <v>0</v>
      </c>
      <c r="GC19" s="34">
        <v>0</v>
      </c>
      <c r="GD19" s="34">
        <v>0</v>
      </c>
      <c r="GE19" s="34">
        <v>0</v>
      </c>
      <c r="GF19" s="34">
        <v>0</v>
      </c>
      <c r="GG19" s="34">
        <v>0</v>
      </c>
      <c r="GH19" s="34">
        <v>0</v>
      </c>
      <c r="GI19" s="34">
        <v>0</v>
      </c>
      <c r="GJ19" s="34">
        <v>0</v>
      </c>
      <c r="GK19" s="34">
        <v>0</v>
      </c>
      <c r="GL19" s="34">
        <v>0</v>
      </c>
      <c r="GM19" s="34">
        <v>0</v>
      </c>
      <c r="GN19" s="34">
        <v>0</v>
      </c>
      <c r="GO19" s="34">
        <v>0</v>
      </c>
      <c r="GP19" s="34">
        <v>0</v>
      </c>
      <c r="GQ19" s="34">
        <v>0</v>
      </c>
      <c r="GR19" s="34">
        <v>0</v>
      </c>
      <c r="GS19" s="34">
        <v>0</v>
      </c>
      <c r="GT19" s="34">
        <v>0</v>
      </c>
      <c r="GU19" s="34">
        <v>0</v>
      </c>
      <c r="GV19" s="34">
        <v>0</v>
      </c>
      <c r="GW19" s="34">
        <v>0</v>
      </c>
      <c r="GX19" s="34">
        <v>0</v>
      </c>
      <c r="GY19" s="34">
        <v>0</v>
      </c>
      <c r="GZ19" s="34">
        <v>0</v>
      </c>
      <c r="HA19" s="34">
        <v>0</v>
      </c>
      <c r="HB19" s="34">
        <v>0</v>
      </c>
      <c r="HC19" s="34">
        <v>0</v>
      </c>
      <c r="HD19" s="34">
        <v>0</v>
      </c>
      <c r="HE19" s="34">
        <v>0</v>
      </c>
      <c r="HF19" s="34">
        <v>0</v>
      </c>
      <c r="HG19" s="34">
        <v>0</v>
      </c>
      <c r="HH19" s="34">
        <v>0</v>
      </c>
      <c r="HI19" s="34">
        <v>0</v>
      </c>
      <c r="HJ19" s="34">
        <v>0</v>
      </c>
      <c r="HK19" s="34">
        <v>0</v>
      </c>
      <c r="HL19" s="34">
        <v>0</v>
      </c>
      <c r="HM19" s="34">
        <v>0</v>
      </c>
      <c r="HN19" s="34">
        <v>0</v>
      </c>
      <c r="HO19" s="34">
        <v>0</v>
      </c>
      <c r="HP19" s="34">
        <v>0</v>
      </c>
      <c r="HQ19" s="34">
        <v>0</v>
      </c>
      <c r="HR19" s="34">
        <v>0</v>
      </c>
      <c r="HS19" s="34">
        <v>0</v>
      </c>
      <c r="HT19" s="34">
        <v>0</v>
      </c>
      <c r="HU19" s="34">
        <v>0</v>
      </c>
      <c r="HV19" s="34">
        <v>0</v>
      </c>
      <c r="HW19" s="34">
        <v>0</v>
      </c>
      <c r="HX19" s="34">
        <v>0</v>
      </c>
      <c r="HY19" s="34">
        <v>0</v>
      </c>
      <c r="HZ19" s="34">
        <v>0</v>
      </c>
      <c r="IA19" s="34">
        <v>0</v>
      </c>
      <c r="IB19" s="34">
        <v>0</v>
      </c>
      <c r="IC19" s="34">
        <v>0</v>
      </c>
      <c r="ID19" s="34">
        <v>0</v>
      </c>
      <c r="IE19" s="34">
        <v>0</v>
      </c>
      <c r="IF19" s="34">
        <v>0</v>
      </c>
      <c r="IG19" s="34">
        <v>0</v>
      </c>
    </row>
    <row r="20" spans="1:241" x14ac:dyDescent="0.3">
      <c r="A20" s="34" t="s">
        <v>53</v>
      </c>
      <c r="B20" s="38">
        <f t="shared" si="0"/>
        <v>21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P20" s="34">
        <v>1</v>
      </c>
      <c r="Q20" s="34">
        <v>0</v>
      </c>
      <c r="R20" s="34">
        <v>0</v>
      </c>
      <c r="S20" s="34">
        <v>0</v>
      </c>
      <c r="T20" s="34">
        <v>0</v>
      </c>
      <c r="U20" s="34">
        <v>0</v>
      </c>
      <c r="V20" s="34"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34">
        <v>0</v>
      </c>
      <c r="AD20" s="34">
        <v>0</v>
      </c>
      <c r="AE20" s="34">
        <v>0</v>
      </c>
      <c r="AF20" s="34">
        <v>0</v>
      </c>
      <c r="AG20" s="34">
        <v>0</v>
      </c>
      <c r="AH20" s="34">
        <v>0</v>
      </c>
      <c r="AI20" s="34">
        <v>0</v>
      </c>
      <c r="AJ20" s="34">
        <v>1</v>
      </c>
      <c r="AK20" s="34">
        <v>0</v>
      </c>
      <c r="AL20" s="34">
        <v>0</v>
      </c>
      <c r="AM20" s="34">
        <v>0</v>
      </c>
      <c r="AN20" s="34">
        <v>0</v>
      </c>
      <c r="AO20" s="34">
        <v>0</v>
      </c>
      <c r="AP20" s="34">
        <v>0</v>
      </c>
      <c r="AQ20" s="34">
        <v>0</v>
      </c>
      <c r="AR20" s="34">
        <v>0</v>
      </c>
      <c r="AS20" s="34">
        <v>0</v>
      </c>
      <c r="AT20" s="34">
        <v>0</v>
      </c>
      <c r="AU20" s="34">
        <v>0</v>
      </c>
      <c r="AV20" s="34">
        <v>0</v>
      </c>
      <c r="AW20" s="34">
        <v>0</v>
      </c>
      <c r="AX20" s="34">
        <v>0</v>
      </c>
      <c r="AY20" s="34">
        <v>0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4">
        <v>0</v>
      </c>
      <c r="BF20" s="34">
        <v>0</v>
      </c>
      <c r="BG20" s="34">
        <v>0</v>
      </c>
      <c r="BH20" s="34">
        <v>0</v>
      </c>
      <c r="BI20" s="34">
        <v>0</v>
      </c>
      <c r="BJ20" s="34">
        <v>0</v>
      </c>
      <c r="BK20" s="34">
        <v>0</v>
      </c>
      <c r="BL20" s="34">
        <v>0</v>
      </c>
      <c r="BM20" s="34">
        <v>1</v>
      </c>
      <c r="BN20" s="34">
        <v>0</v>
      </c>
      <c r="BO20" s="34">
        <v>0</v>
      </c>
      <c r="BP20" s="34">
        <v>0</v>
      </c>
      <c r="BQ20" s="34">
        <v>0</v>
      </c>
      <c r="BR20" s="34">
        <v>0</v>
      </c>
      <c r="BS20" s="34">
        <v>0</v>
      </c>
      <c r="BT20" s="34">
        <v>0</v>
      </c>
      <c r="BU20" s="34">
        <v>0</v>
      </c>
      <c r="BV20" s="34">
        <v>0</v>
      </c>
      <c r="BW20" s="34">
        <v>0</v>
      </c>
      <c r="BX20" s="34">
        <v>1</v>
      </c>
      <c r="BY20" s="34">
        <v>0</v>
      </c>
      <c r="BZ20" s="34">
        <v>0</v>
      </c>
      <c r="CA20" s="34">
        <v>0</v>
      </c>
      <c r="CB20" s="34">
        <v>0</v>
      </c>
      <c r="CC20" s="34">
        <v>0</v>
      </c>
      <c r="CD20" s="34">
        <v>0</v>
      </c>
      <c r="CE20" s="34">
        <v>1</v>
      </c>
      <c r="CF20" s="34">
        <v>0</v>
      </c>
      <c r="CG20" s="34">
        <v>1</v>
      </c>
      <c r="CH20" s="34">
        <v>1</v>
      </c>
      <c r="CI20" s="34">
        <v>1</v>
      </c>
      <c r="CJ20" s="34">
        <v>0</v>
      </c>
      <c r="CK20" s="34">
        <v>0</v>
      </c>
      <c r="CL20" s="34">
        <v>1</v>
      </c>
      <c r="CM20" s="34">
        <v>0</v>
      </c>
      <c r="CN20" s="34">
        <v>0</v>
      </c>
      <c r="CO20" s="34">
        <v>1</v>
      </c>
      <c r="CP20" s="34">
        <v>0</v>
      </c>
      <c r="CQ20" s="34">
        <v>1</v>
      </c>
      <c r="CR20" s="34">
        <v>0</v>
      </c>
      <c r="CS20" s="34">
        <v>0</v>
      </c>
      <c r="CT20" s="34">
        <v>0</v>
      </c>
      <c r="CU20" s="34">
        <v>1</v>
      </c>
      <c r="CV20" s="34">
        <v>0</v>
      </c>
      <c r="CW20" s="34">
        <v>0</v>
      </c>
      <c r="CX20" s="34">
        <v>0</v>
      </c>
      <c r="CY20" s="34">
        <v>1</v>
      </c>
      <c r="CZ20" s="34">
        <v>0</v>
      </c>
      <c r="DA20" s="34">
        <v>0</v>
      </c>
      <c r="DB20" s="34">
        <v>0</v>
      </c>
      <c r="DC20" s="34">
        <v>0</v>
      </c>
      <c r="DD20" s="34">
        <v>0</v>
      </c>
      <c r="DE20" s="34">
        <v>0</v>
      </c>
      <c r="DF20" s="34">
        <v>0</v>
      </c>
      <c r="DG20" s="34">
        <v>0</v>
      </c>
      <c r="DH20" s="34">
        <v>0</v>
      </c>
      <c r="DI20" s="34">
        <v>0</v>
      </c>
      <c r="DJ20" s="34">
        <v>0</v>
      </c>
      <c r="DK20" s="34">
        <v>0</v>
      </c>
      <c r="DL20" s="34">
        <v>0</v>
      </c>
      <c r="DM20" s="34">
        <v>0</v>
      </c>
      <c r="DN20" s="34">
        <v>0</v>
      </c>
      <c r="DO20" s="34">
        <v>0</v>
      </c>
      <c r="DP20" s="34">
        <v>0</v>
      </c>
      <c r="DQ20" s="34">
        <v>0</v>
      </c>
      <c r="DR20" s="34">
        <v>0</v>
      </c>
      <c r="DS20" s="34">
        <v>0</v>
      </c>
      <c r="DT20" s="34">
        <v>0</v>
      </c>
      <c r="DU20" s="34">
        <v>0</v>
      </c>
      <c r="DV20" s="34">
        <v>0</v>
      </c>
      <c r="DW20" s="34">
        <v>0</v>
      </c>
      <c r="DX20" s="34">
        <v>0</v>
      </c>
      <c r="DY20" s="34">
        <v>0</v>
      </c>
      <c r="DZ20" s="34">
        <v>0</v>
      </c>
      <c r="EA20" s="34">
        <v>0</v>
      </c>
      <c r="EB20" s="34">
        <v>0</v>
      </c>
      <c r="EC20" s="34">
        <v>0</v>
      </c>
      <c r="ED20" s="34">
        <v>0</v>
      </c>
      <c r="EE20" s="34">
        <v>0</v>
      </c>
      <c r="EF20" s="34">
        <v>0</v>
      </c>
      <c r="EG20" s="34">
        <v>0</v>
      </c>
      <c r="EH20" s="34">
        <v>0</v>
      </c>
      <c r="EI20" s="34">
        <v>0</v>
      </c>
      <c r="EJ20" s="34">
        <v>0</v>
      </c>
      <c r="EK20" s="34">
        <v>0</v>
      </c>
      <c r="EL20" s="34">
        <v>1</v>
      </c>
      <c r="EM20" s="34">
        <v>0</v>
      </c>
      <c r="EN20" s="34">
        <v>0</v>
      </c>
      <c r="EO20" s="34">
        <v>0</v>
      </c>
      <c r="EP20" s="34">
        <v>0</v>
      </c>
      <c r="EQ20" s="34">
        <v>0</v>
      </c>
      <c r="ER20" s="34">
        <v>0</v>
      </c>
      <c r="ES20" s="34">
        <v>0</v>
      </c>
      <c r="ET20" s="34">
        <v>0</v>
      </c>
      <c r="EU20" s="34">
        <v>0</v>
      </c>
      <c r="EV20" s="34">
        <v>0</v>
      </c>
      <c r="EW20" s="34">
        <v>0</v>
      </c>
      <c r="EX20" s="34">
        <v>0</v>
      </c>
      <c r="EY20" s="34">
        <v>0</v>
      </c>
      <c r="EZ20" s="34">
        <v>0</v>
      </c>
      <c r="FA20" s="34">
        <v>0</v>
      </c>
      <c r="FB20" s="34">
        <v>0</v>
      </c>
      <c r="FC20" s="34">
        <v>0</v>
      </c>
      <c r="FD20" s="34">
        <v>0</v>
      </c>
      <c r="FE20" s="34">
        <v>0</v>
      </c>
      <c r="FF20" s="34">
        <v>0</v>
      </c>
      <c r="FG20" s="34">
        <v>0</v>
      </c>
      <c r="FH20" s="34">
        <v>0</v>
      </c>
      <c r="FI20" s="34">
        <v>1</v>
      </c>
      <c r="FJ20" s="34">
        <v>0</v>
      </c>
      <c r="FK20" s="34">
        <v>0</v>
      </c>
      <c r="FL20" s="34">
        <v>0</v>
      </c>
      <c r="FM20" s="34">
        <v>0</v>
      </c>
      <c r="FN20" s="34">
        <v>0</v>
      </c>
      <c r="FO20" s="34">
        <v>0</v>
      </c>
      <c r="FP20" s="34">
        <v>0</v>
      </c>
      <c r="FQ20" s="34">
        <v>0</v>
      </c>
      <c r="FR20" s="34">
        <v>0</v>
      </c>
      <c r="FS20" s="34">
        <v>0</v>
      </c>
      <c r="FT20" s="34">
        <v>0</v>
      </c>
      <c r="FU20" s="34">
        <v>0</v>
      </c>
      <c r="FV20" s="34">
        <v>0</v>
      </c>
      <c r="FW20" s="34">
        <v>0</v>
      </c>
      <c r="FX20" s="34">
        <v>0</v>
      </c>
      <c r="FY20" s="34">
        <v>0</v>
      </c>
      <c r="FZ20" s="34">
        <v>0</v>
      </c>
      <c r="GA20" s="34">
        <v>0</v>
      </c>
      <c r="GB20" s="34">
        <v>1</v>
      </c>
      <c r="GC20" s="34">
        <v>0</v>
      </c>
      <c r="GD20" s="34">
        <v>0</v>
      </c>
      <c r="GE20" s="34">
        <v>0</v>
      </c>
      <c r="GF20" s="34">
        <v>0</v>
      </c>
      <c r="GG20" s="34">
        <v>0</v>
      </c>
      <c r="GH20" s="34">
        <v>0</v>
      </c>
      <c r="GI20" s="34">
        <v>0</v>
      </c>
      <c r="GJ20" s="34">
        <v>0</v>
      </c>
      <c r="GK20" s="34">
        <v>0</v>
      </c>
      <c r="GL20" s="34">
        <v>0</v>
      </c>
      <c r="GM20" s="34">
        <v>0</v>
      </c>
      <c r="GN20" s="34">
        <v>1</v>
      </c>
      <c r="GO20" s="34">
        <v>0</v>
      </c>
      <c r="GP20" s="34">
        <v>0</v>
      </c>
      <c r="GQ20" s="34">
        <v>0</v>
      </c>
      <c r="GR20" s="34">
        <v>0</v>
      </c>
      <c r="GS20" s="34">
        <v>0</v>
      </c>
      <c r="GT20" s="34">
        <v>0</v>
      </c>
      <c r="GU20" s="34">
        <v>0</v>
      </c>
      <c r="GV20" s="34">
        <v>0</v>
      </c>
      <c r="GW20" s="34">
        <v>0</v>
      </c>
      <c r="GX20" s="34">
        <v>0</v>
      </c>
      <c r="GY20" s="34">
        <v>0</v>
      </c>
      <c r="GZ20" s="34">
        <v>1</v>
      </c>
      <c r="HA20" s="34">
        <v>0</v>
      </c>
      <c r="HB20" s="34">
        <v>0</v>
      </c>
      <c r="HC20" s="34">
        <v>0</v>
      </c>
      <c r="HD20" s="34">
        <v>0</v>
      </c>
      <c r="HE20" s="34">
        <v>0</v>
      </c>
      <c r="HF20" s="34">
        <v>0</v>
      </c>
      <c r="HG20" s="34">
        <v>1</v>
      </c>
      <c r="HH20" s="34">
        <v>0</v>
      </c>
      <c r="HI20" s="34">
        <v>0</v>
      </c>
      <c r="HJ20" s="34">
        <v>0</v>
      </c>
      <c r="HK20" s="34">
        <v>0</v>
      </c>
      <c r="HL20" s="34">
        <v>0</v>
      </c>
      <c r="HM20" s="34">
        <v>0</v>
      </c>
      <c r="HN20" s="34">
        <v>1</v>
      </c>
      <c r="HO20" s="34">
        <v>0</v>
      </c>
      <c r="HP20" s="34">
        <v>0</v>
      </c>
      <c r="HQ20" s="34">
        <v>0</v>
      </c>
      <c r="HR20" s="34">
        <v>0</v>
      </c>
      <c r="HS20" s="34">
        <v>0</v>
      </c>
      <c r="HT20" s="34">
        <v>0</v>
      </c>
      <c r="HU20" s="34">
        <v>0</v>
      </c>
      <c r="HV20" s="34">
        <v>0</v>
      </c>
      <c r="HW20" s="34">
        <v>0</v>
      </c>
      <c r="HX20" s="34">
        <v>0</v>
      </c>
      <c r="HY20" s="34">
        <v>0</v>
      </c>
      <c r="HZ20" s="34">
        <v>0</v>
      </c>
      <c r="IA20" s="34">
        <v>0</v>
      </c>
      <c r="IB20" s="34">
        <v>0</v>
      </c>
      <c r="IC20" s="34">
        <v>0</v>
      </c>
      <c r="ID20" s="34">
        <v>0</v>
      </c>
      <c r="IE20" s="34">
        <v>0</v>
      </c>
      <c r="IF20" s="34">
        <v>1</v>
      </c>
      <c r="IG20" s="34">
        <v>0</v>
      </c>
    </row>
    <row r="21" spans="1:241" x14ac:dyDescent="0.3">
      <c r="A21" s="34" t="s">
        <v>54</v>
      </c>
      <c r="B21" s="38">
        <f t="shared" si="0"/>
        <v>3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1</v>
      </c>
      <c r="J21" s="34">
        <v>0</v>
      </c>
      <c r="K21" s="34">
        <v>0</v>
      </c>
      <c r="L21" s="34">
        <v>0</v>
      </c>
      <c r="M21" s="34">
        <v>0</v>
      </c>
      <c r="N21" s="34">
        <v>0</v>
      </c>
      <c r="O21" s="34">
        <v>0</v>
      </c>
      <c r="P21" s="34">
        <v>0</v>
      </c>
      <c r="Q21" s="34">
        <v>0</v>
      </c>
      <c r="R21" s="34">
        <v>0</v>
      </c>
      <c r="S21" s="34">
        <v>0</v>
      </c>
      <c r="T21" s="34">
        <v>0</v>
      </c>
      <c r="U21" s="34">
        <v>0</v>
      </c>
      <c r="V21" s="34"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34">
        <v>0</v>
      </c>
      <c r="AD21" s="34">
        <v>0</v>
      </c>
      <c r="AE21" s="34">
        <v>0</v>
      </c>
      <c r="AF21" s="34">
        <v>0</v>
      </c>
      <c r="AG21" s="34">
        <v>0</v>
      </c>
      <c r="AH21" s="34">
        <v>0</v>
      </c>
      <c r="AI21" s="34">
        <v>0</v>
      </c>
      <c r="AJ21" s="34">
        <v>0</v>
      </c>
      <c r="AK21" s="34">
        <v>0</v>
      </c>
      <c r="AL21" s="34">
        <v>0</v>
      </c>
      <c r="AM21" s="34">
        <v>0</v>
      </c>
      <c r="AN21" s="34">
        <v>0</v>
      </c>
      <c r="AO21" s="34">
        <v>0</v>
      </c>
      <c r="AP21" s="34">
        <v>0</v>
      </c>
      <c r="AQ21" s="34">
        <v>0</v>
      </c>
      <c r="AR21" s="34">
        <v>0</v>
      </c>
      <c r="AS21" s="34">
        <v>0</v>
      </c>
      <c r="AT21" s="34">
        <v>0</v>
      </c>
      <c r="AU21" s="34">
        <v>0</v>
      </c>
      <c r="AV21" s="34">
        <v>0</v>
      </c>
      <c r="AW21" s="34">
        <v>0</v>
      </c>
      <c r="AX21" s="34">
        <v>0</v>
      </c>
      <c r="AY21" s="34">
        <v>0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4">
        <v>0</v>
      </c>
      <c r="BF21" s="34">
        <v>0</v>
      </c>
      <c r="BG21" s="34">
        <v>0</v>
      </c>
      <c r="BH21" s="34">
        <v>0</v>
      </c>
      <c r="BI21" s="34">
        <v>0</v>
      </c>
      <c r="BJ21" s="34">
        <v>0</v>
      </c>
      <c r="BK21" s="34">
        <v>0</v>
      </c>
      <c r="BL21" s="34">
        <v>0</v>
      </c>
      <c r="BM21" s="34">
        <v>0</v>
      </c>
      <c r="BN21" s="34">
        <v>0</v>
      </c>
      <c r="BO21" s="34">
        <v>0</v>
      </c>
      <c r="BP21" s="34">
        <v>0</v>
      </c>
      <c r="BQ21" s="34">
        <v>0</v>
      </c>
      <c r="BR21" s="34">
        <v>0</v>
      </c>
      <c r="BS21" s="34">
        <v>0</v>
      </c>
      <c r="BT21" s="34">
        <v>0</v>
      </c>
      <c r="BU21" s="34">
        <v>0</v>
      </c>
      <c r="BV21" s="34">
        <v>0</v>
      </c>
      <c r="BW21" s="34">
        <v>0</v>
      </c>
      <c r="BX21" s="34">
        <v>0</v>
      </c>
      <c r="BY21" s="34">
        <v>0</v>
      </c>
      <c r="BZ21" s="34">
        <v>0</v>
      </c>
      <c r="CA21" s="34">
        <v>0</v>
      </c>
      <c r="CB21" s="34">
        <v>0</v>
      </c>
      <c r="CC21" s="34">
        <v>0</v>
      </c>
      <c r="CD21" s="34">
        <v>0</v>
      </c>
      <c r="CE21" s="34">
        <v>0</v>
      </c>
      <c r="CF21" s="34">
        <v>0</v>
      </c>
      <c r="CG21" s="34">
        <v>0</v>
      </c>
      <c r="CH21" s="34">
        <v>0</v>
      </c>
      <c r="CI21" s="34">
        <v>0</v>
      </c>
      <c r="CJ21" s="34">
        <v>0</v>
      </c>
      <c r="CK21" s="34">
        <v>0</v>
      </c>
      <c r="CL21" s="34">
        <v>0</v>
      </c>
      <c r="CM21" s="34">
        <v>0</v>
      </c>
      <c r="CN21" s="34">
        <v>0</v>
      </c>
      <c r="CO21" s="34">
        <v>0</v>
      </c>
      <c r="CP21" s="34">
        <v>0</v>
      </c>
      <c r="CQ21" s="34">
        <v>0</v>
      </c>
      <c r="CR21" s="34">
        <v>0</v>
      </c>
      <c r="CS21" s="34">
        <v>0</v>
      </c>
      <c r="CT21" s="34">
        <v>0</v>
      </c>
      <c r="CU21" s="34">
        <v>0</v>
      </c>
      <c r="CV21" s="34">
        <v>0</v>
      </c>
      <c r="CW21" s="34">
        <v>0</v>
      </c>
      <c r="CX21" s="34">
        <v>0</v>
      </c>
      <c r="CY21" s="34">
        <v>0</v>
      </c>
      <c r="CZ21" s="34">
        <v>0</v>
      </c>
      <c r="DA21" s="34">
        <v>0</v>
      </c>
      <c r="DB21" s="34">
        <v>0</v>
      </c>
      <c r="DC21" s="34">
        <v>0</v>
      </c>
      <c r="DD21" s="34">
        <v>0</v>
      </c>
      <c r="DE21" s="34">
        <v>0</v>
      </c>
      <c r="DF21" s="34">
        <v>0</v>
      </c>
      <c r="DG21" s="34">
        <v>0</v>
      </c>
      <c r="DH21" s="34">
        <v>0</v>
      </c>
      <c r="DI21" s="34">
        <v>0</v>
      </c>
      <c r="DJ21" s="34">
        <v>0</v>
      </c>
      <c r="DK21" s="34">
        <v>0</v>
      </c>
      <c r="DL21" s="34">
        <v>0</v>
      </c>
      <c r="DM21" s="34">
        <v>0</v>
      </c>
      <c r="DN21" s="34">
        <v>0</v>
      </c>
      <c r="DO21" s="34">
        <v>0</v>
      </c>
      <c r="DP21" s="34">
        <v>0</v>
      </c>
      <c r="DQ21" s="34">
        <v>0</v>
      </c>
      <c r="DR21" s="34">
        <v>0</v>
      </c>
      <c r="DS21" s="34">
        <v>0</v>
      </c>
      <c r="DT21" s="34">
        <v>0</v>
      </c>
      <c r="DU21" s="34">
        <v>0</v>
      </c>
      <c r="DV21" s="34">
        <v>0</v>
      </c>
      <c r="DW21" s="34">
        <v>0</v>
      </c>
      <c r="DX21" s="34">
        <v>1</v>
      </c>
      <c r="DY21" s="34">
        <v>0</v>
      </c>
      <c r="DZ21" s="34">
        <v>0</v>
      </c>
      <c r="EA21" s="34">
        <v>0</v>
      </c>
      <c r="EB21" s="34">
        <v>0</v>
      </c>
      <c r="EC21" s="34">
        <v>0</v>
      </c>
      <c r="ED21" s="34">
        <v>0</v>
      </c>
      <c r="EE21" s="34">
        <v>0</v>
      </c>
      <c r="EF21" s="34">
        <v>0</v>
      </c>
      <c r="EG21" s="34">
        <v>0</v>
      </c>
      <c r="EH21" s="34">
        <v>0</v>
      </c>
      <c r="EI21" s="34">
        <v>0</v>
      </c>
      <c r="EJ21" s="34">
        <v>0</v>
      </c>
      <c r="EK21" s="34">
        <v>0</v>
      </c>
      <c r="EL21" s="34">
        <v>0</v>
      </c>
      <c r="EM21" s="34">
        <v>0</v>
      </c>
      <c r="EN21" s="34">
        <v>0</v>
      </c>
      <c r="EO21" s="34">
        <v>0</v>
      </c>
      <c r="EP21" s="34">
        <v>0</v>
      </c>
      <c r="EQ21" s="34">
        <v>0</v>
      </c>
      <c r="ER21" s="34">
        <v>0</v>
      </c>
      <c r="ES21" s="34">
        <v>0</v>
      </c>
      <c r="ET21" s="34">
        <v>0</v>
      </c>
      <c r="EU21" s="34">
        <v>0</v>
      </c>
      <c r="EV21" s="34">
        <v>0</v>
      </c>
      <c r="EW21" s="34">
        <v>0</v>
      </c>
      <c r="EX21" s="34">
        <v>0</v>
      </c>
      <c r="EY21" s="34">
        <v>0</v>
      </c>
      <c r="EZ21" s="34">
        <v>1</v>
      </c>
      <c r="FA21" s="34">
        <v>0</v>
      </c>
      <c r="FB21" s="34">
        <v>0</v>
      </c>
      <c r="FC21" s="34">
        <v>0</v>
      </c>
      <c r="FD21" s="34">
        <v>0</v>
      </c>
      <c r="FE21" s="34">
        <v>0</v>
      </c>
      <c r="FF21" s="34">
        <v>0</v>
      </c>
      <c r="FG21" s="34">
        <v>0</v>
      </c>
      <c r="FH21" s="34">
        <v>0</v>
      </c>
      <c r="FI21" s="34">
        <v>0</v>
      </c>
      <c r="FJ21" s="34">
        <v>0</v>
      </c>
      <c r="FK21" s="34">
        <v>0</v>
      </c>
      <c r="FL21" s="34">
        <v>0</v>
      </c>
      <c r="FM21" s="34">
        <v>0</v>
      </c>
      <c r="FN21" s="34">
        <v>0</v>
      </c>
      <c r="FO21" s="34">
        <v>0</v>
      </c>
      <c r="FP21" s="34">
        <v>0</v>
      </c>
      <c r="FQ21" s="34">
        <v>0</v>
      </c>
      <c r="FR21" s="34">
        <v>0</v>
      </c>
      <c r="FS21" s="34">
        <v>0</v>
      </c>
      <c r="FT21" s="34">
        <v>0</v>
      </c>
      <c r="FU21" s="34">
        <v>0</v>
      </c>
      <c r="FV21" s="34">
        <v>0</v>
      </c>
      <c r="FW21" s="34">
        <v>0</v>
      </c>
      <c r="FX21" s="34">
        <v>0</v>
      </c>
      <c r="FY21" s="34">
        <v>0</v>
      </c>
      <c r="FZ21" s="34">
        <v>0</v>
      </c>
      <c r="GA21" s="34">
        <v>0</v>
      </c>
      <c r="GB21" s="34">
        <v>0</v>
      </c>
      <c r="GC21" s="34">
        <v>0</v>
      </c>
      <c r="GD21" s="34">
        <v>0</v>
      </c>
      <c r="GE21" s="34">
        <v>0</v>
      </c>
      <c r="GF21" s="34">
        <v>0</v>
      </c>
      <c r="GG21" s="34">
        <v>0</v>
      </c>
      <c r="GH21" s="34">
        <v>0</v>
      </c>
      <c r="GI21" s="34">
        <v>0</v>
      </c>
      <c r="GJ21" s="34">
        <v>0</v>
      </c>
      <c r="GK21" s="34">
        <v>0</v>
      </c>
      <c r="GL21" s="34">
        <v>0</v>
      </c>
      <c r="GM21" s="34">
        <v>0</v>
      </c>
      <c r="GN21" s="34">
        <v>0</v>
      </c>
      <c r="GO21" s="34">
        <v>0</v>
      </c>
      <c r="GP21" s="34">
        <v>0</v>
      </c>
      <c r="GQ21" s="34">
        <v>0</v>
      </c>
      <c r="GR21" s="34">
        <v>0</v>
      </c>
      <c r="GS21" s="34">
        <v>0</v>
      </c>
      <c r="GT21" s="34">
        <v>0</v>
      </c>
      <c r="GU21" s="34">
        <v>0</v>
      </c>
      <c r="GV21" s="34">
        <v>0</v>
      </c>
      <c r="GW21" s="34">
        <v>0</v>
      </c>
      <c r="GX21" s="34">
        <v>0</v>
      </c>
      <c r="GY21" s="34">
        <v>0</v>
      </c>
      <c r="GZ21" s="34">
        <v>0</v>
      </c>
      <c r="HA21" s="34">
        <v>0</v>
      </c>
      <c r="HB21" s="34">
        <v>0</v>
      </c>
      <c r="HC21" s="34">
        <v>0</v>
      </c>
      <c r="HD21" s="34">
        <v>0</v>
      </c>
      <c r="HE21" s="34">
        <v>0</v>
      </c>
      <c r="HF21" s="34">
        <v>0</v>
      </c>
      <c r="HG21" s="34">
        <v>0</v>
      </c>
      <c r="HH21" s="34">
        <v>0</v>
      </c>
      <c r="HI21" s="34">
        <v>0</v>
      </c>
      <c r="HJ21" s="34">
        <v>0</v>
      </c>
      <c r="HK21" s="34">
        <v>0</v>
      </c>
      <c r="HL21" s="34">
        <v>0</v>
      </c>
      <c r="HM21" s="34">
        <v>0</v>
      </c>
      <c r="HN21" s="34">
        <v>0</v>
      </c>
      <c r="HO21" s="34">
        <v>0</v>
      </c>
      <c r="HP21" s="34">
        <v>0</v>
      </c>
      <c r="HQ21" s="34">
        <v>0</v>
      </c>
      <c r="HR21" s="34">
        <v>0</v>
      </c>
      <c r="HS21" s="34">
        <v>0</v>
      </c>
      <c r="HT21" s="34">
        <v>0</v>
      </c>
      <c r="HU21" s="34">
        <v>0</v>
      </c>
      <c r="HV21" s="34">
        <v>0</v>
      </c>
      <c r="HW21" s="34">
        <v>0</v>
      </c>
      <c r="HX21" s="34">
        <v>0</v>
      </c>
      <c r="HY21" s="34">
        <v>0</v>
      </c>
      <c r="HZ21" s="34">
        <v>0</v>
      </c>
      <c r="IA21" s="34">
        <v>0</v>
      </c>
      <c r="IB21" s="34">
        <v>0</v>
      </c>
      <c r="IC21" s="34">
        <v>0</v>
      </c>
      <c r="ID21" s="34">
        <v>0</v>
      </c>
      <c r="IE21" s="34">
        <v>0</v>
      </c>
      <c r="IF21" s="34">
        <v>0</v>
      </c>
      <c r="IG21" s="34">
        <v>0</v>
      </c>
    </row>
    <row r="22" spans="1:241" x14ac:dyDescent="0.3">
      <c r="A22" s="34" t="s">
        <v>55</v>
      </c>
      <c r="B22" s="38">
        <f t="shared" si="0"/>
        <v>13</v>
      </c>
      <c r="C22" s="34">
        <v>0</v>
      </c>
      <c r="D22" s="34">
        <v>0</v>
      </c>
      <c r="E22" s="34">
        <v>0</v>
      </c>
      <c r="F22" s="34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34">
        <v>0</v>
      </c>
      <c r="O22" s="34">
        <v>1</v>
      </c>
      <c r="P22" s="34">
        <v>0</v>
      </c>
      <c r="Q22" s="34">
        <v>0</v>
      </c>
      <c r="R22" s="34">
        <v>0</v>
      </c>
      <c r="S22" s="34">
        <v>0</v>
      </c>
      <c r="T22" s="34">
        <v>0</v>
      </c>
      <c r="U22" s="34">
        <v>0</v>
      </c>
      <c r="V22" s="34"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34">
        <v>0</v>
      </c>
      <c r="AD22" s="34">
        <v>0</v>
      </c>
      <c r="AE22" s="34">
        <v>0</v>
      </c>
      <c r="AF22" s="34">
        <v>0</v>
      </c>
      <c r="AG22" s="34">
        <v>0</v>
      </c>
      <c r="AH22" s="34">
        <v>0</v>
      </c>
      <c r="AI22" s="34">
        <v>1</v>
      </c>
      <c r="AJ22" s="34">
        <v>1</v>
      </c>
      <c r="AK22" s="34">
        <v>0</v>
      </c>
      <c r="AL22" s="34">
        <v>0</v>
      </c>
      <c r="AM22" s="34">
        <v>0</v>
      </c>
      <c r="AN22" s="34">
        <v>0</v>
      </c>
      <c r="AO22" s="34">
        <v>0</v>
      </c>
      <c r="AP22" s="34">
        <v>0</v>
      </c>
      <c r="AQ22" s="34">
        <v>0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1</v>
      </c>
      <c r="AX22" s="34">
        <v>0</v>
      </c>
      <c r="AY22" s="34">
        <v>0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4">
        <v>0</v>
      </c>
      <c r="BF22" s="34">
        <v>0</v>
      </c>
      <c r="BG22" s="34">
        <v>0</v>
      </c>
      <c r="BH22" s="34">
        <v>1</v>
      </c>
      <c r="BI22" s="34">
        <v>0</v>
      </c>
      <c r="BJ22" s="34">
        <v>0</v>
      </c>
      <c r="BK22" s="34">
        <v>0</v>
      </c>
      <c r="BL22" s="34">
        <v>0</v>
      </c>
      <c r="BM22" s="34">
        <v>0</v>
      </c>
      <c r="BN22" s="34">
        <v>0</v>
      </c>
      <c r="BO22" s="34">
        <v>1</v>
      </c>
      <c r="BP22" s="34">
        <v>0</v>
      </c>
      <c r="BQ22" s="34">
        <v>0</v>
      </c>
      <c r="BR22" s="34">
        <v>0</v>
      </c>
      <c r="BS22" s="34">
        <v>0</v>
      </c>
      <c r="BT22" s="34">
        <v>0</v>
      </c>
      <c r="BU22" s="34">
        <v>0</v>
      </c>
      <c r="BV22" s="34">
        <v>0</v>
      </c>
      <c r="BW22" s="34">
        <v>0</v>
      </c>
      <c r="BX22" s="34">
        <v>0</v>
      </c>
      <c r="BY22" s="34">
        <v>0</v>
      </c>
      <c r="BZ22" s="34">
        <v>0</v>
      </c>
      <c r="CA22" s="34">
        <v>0</v>
      </c>
      <c r="CB22" s="34">
        <v>0</v>
      </c>
      <c r="CC22" s="34">
        <v>0</v>
      </c>
      <c r="CD22" s="34">
        <v>0</v>
      </c>
      <c r="CE22" s="34">
        <v>0</v>
      </c>
      <c r="CF22" s="34">
        <v>0</v>
      </c>
      <c r="CG22" s="34">
        <v>0</v>
      </c>
      <c r="CH22" s="34">
        <v>0</v>
      </c>
      <c r="CI22" s="34">
        <v>0</v>
      </c>
      <c r="CJ22" s="34">
        <v>0</v>
      </c>
      <c r="CK22" s="34">
        <v>0</v>
      </c>
      <c r="CL22" s="34">
        <v>0</v>
      </c>
      <c r="CM22" s="34">
        <v>1</v>
      </c>
      <c r="CN22" s="34">
        <v>0</v>
      </c>
      <c r="CO22" s="34">
        <v>0</v>
      </c>
      <c r="CP22" s="34">
        <v>0</v>
      </c>
      <c r="CQ22" s="34">
        <v>0</v>
      </c>
      <c r="CR22" s="34">
        <v>0</v>
      </c>
      <c r="CS22" s="34">
        <v>0</v>
      </c>
      <c r="CT22" s="34">
        <v>0</v>
      </c>
      <c r="CU22" s="34">
        <v>0</v>
      </c>
      <c r="CV22" s="34">
        <v>0</v>
      </c>
      <c r="CW22" s="34">
        <v>0</v>
      </c>
      <c r="CX22" s="34">
        <v>0</v>
      </c>
      <c r="CY22" s="34">
        <v>0</v>
      </c>
      <c r="CZ22" s="34">
        <v>0</v>
      </c>
      <c r="DA22" s="34">
        <v>0</v>
      </c>
      <c r="DB22" s="34">
        <v>0</v>
      </c>
      <c r="DC22" s="34">
        <v>0</v>
      </c>
      <c r="DD22" s="34">
        <v>0</v>
      </c>
      <c r="DE22" s="34">
        <v>0</v>
      </c>
      <c r="DF22" s="34">
        <v>0</v>
      </c>
      <c r="DG22" s="34">
        <v>0</v>
      </c>
      <c r="DH22" s="34">
        <v>0</v>
      </c>
      <c r="DI22" s="34">
        <v>0</v>
      </c>
      <c r="DJ22" s="34">
        <v>0</v>
      </c>
      <c r="DK22" s="34">
        <v>0</v>
      </c>
      <c r="DL22" s="34">
        <v>0</v>
      </c>
      <c r="DM22" s="34">
        <v>0</v>
      </c>
      <c r="DN22" s="34">
        <v>0</v>
      </c>
      <c r="DO22" s="34">
        <v>0</v>
      </c>
      <c r="DP22" s="34">
        <v>0</v>
      </c>
      <c r="DQ22" s="34">
        <v>0</v>
      </c>
      <c r="DR22" s="34">
        <v>0</v>
      </c>
      <c r="DS22" s="34">
        <v>0</v>
      </c>
      <c r="DT22" s="34">
        <v>0</v>
      </c>
      <c r="DU22" s="34">
        <v>0</v>
      </c>
      <c r="DV22" s="34">
        <v>0</v>
      </c>
      <c r="DW22" s="34">
        <v>0</v>
      </c>
      <c r="DX22" s="34">
        <v>0</v>
      </c>
      <c r="DY22" s="34">
        <v>0</v>
      </c>
      <c r="DZ22" s="34">
        <v>1</v>
      </c>
      <c r="EA22" s="34">
        <v>0</v>
      </c>
      <c r="EB22" s="34">
        <v>0</v>
      </c>
      <c r="EC22" s="34">
        <v>0</v>
      </c>
      <c r="ED22" s="34">
        <v>0</v>
      </c>
      <c r="EE22" s="34">
        <v>0</v>
      </c>
      <c r="EF22" s="34">
        <v>0</v>
      </c>
      <c r="EG22" s="34">
        <v>0</v>
      </c>
      <c r="EH22" s="34">
        <v>0</v>
      </c>
      <c r="EI22" s="34">
        <v>0</v>
      </c>
      <c r="EJ22" s="34">
        <v>0</v>
      </c>
      <c r="EK22" s="34">
        <v>0</v>
      </c>
      <c r="EL22" s="34">
        <v>1</v>
      </c>
      <c r="EM22" s="34">
        <v>0</v>
      </c>
      <c r="EN22" s="34">
        <v>0</v>
      </c>
      <c r="EO22" s="34">
        <v>0</v>
      </c>
      <c r="EP22" s="34">
        <v>0</v>
      </c>
      <c r="EQ22" s="34">
        <v>0</v>
      </c>
      <c r="ER22" s="34">
        <v>0</v>
      </c>
      <c r="ES22" s="34">
        <v>0</v>
      </c>
      <c r="ET22" s="34">
        <v>0</v>
      </c>
      <c r="EU22" s="34">
        <v>0</v>
      </c>
      <c r="EV22" s="34">
        <v>0</v>
      </c>
      <c r="EW22" s="34">
        <v>0</v>
      </c>
      <c r="EX22" s="34">
        <v>0</v>
      </c>
      <c r="EY22" s="34">
        <v>0</v>
      </c>
      <c r="EZ22" s="34">
        <v>0</v>
      </c>
      <c r="FA22" s="34">
        <v>0</v>
      </c>
      <c r="FB22" s="34">
        <v>0</v>
      </c>
      <c r="FC22" s="34">
        <v>0</v>
      </c>
      <c r="FD22" s="34">
        <v>0</v>
      </c>
      <c r="FE22" s="34">
        <v>0</v>
      </c>
      <c r="FF22" s="34">
        <v>0</v>
      </c>
      <c r="FG22" s="34">
        <v>0</v>
      </c>
      <c r="FH22" s="34">
        <v>0</v>
      </c>
      <c r="FI22" s="34">
        <v>0</v>
      </c>
      <c r="FJ22" s="34">
        <v>0</v>
      </c>
      <c r="FK22" s="34">
        <v>0</v>
      </c>
      <c r="FL22" s="34">
        <v>0</v>
      </c>
      <c r="FM22" s="34">
        <v>0</v>
      </c>
      <c r="FN22" s="34">
        <v>0</v>
      </c>
      <c r="FO22" s="34">
        <v>1</v>
      </c>
      <c r="FP22" s="34">
        <v>0</v>
      </c>
      <c r="FQ22" s="34">
        <v>1</v>
      </c>
      <c r="FR22" s="34">
        <v>0</v>
      </c>
      <c r="FS22" s="34">
        <v>0</v>
      </c>
      <c r="FT22" s="34">
        <v>0</v>
      </c>
      <c r="FU22" s="34">
        <v>0</v>
      </c>
      <c r="FV22" s="34">
        <v>0</v>
      </c>
      <c r="FW22" s="34">
        <v>0</v>
      </c>
      <c r="FX22" s="34">
        <v>0</v>
      </c>
      <c r="FY22" s="34">
        <v>0</v>
      </c>
      <c r="FZ22" s="34">
        <v>0</v>
      </c>
      <c r="GA22" s="34">
        <v>1</v>
      </c>
      <c r="GB22" s="34">
        <v>0</v>
      </c>
      <c r="GC22" s="34">
        <v>0</v>
      </c>
      <c r="GD22" s="34">
        <v>0</v>
      </c>
      <c r="GE22" s="34">
        <v>0</v>
      </c>
      <c r="GF22" s="34">
        <v>0</v>
      </c>
      <c r="GG22" s="34">
        <v>0</v>
      </c>
      <c r="GH22" s="34">
        <v>0</v>
      </c>
      <c r="GI22" s="34">
        <v>0</v>
      </c>
      <c r="GJ22" s="34">
        <v>0</v>
      </c>
      <c r="GK22" s="34">
        <v>0</v>
      </c>
      <c r="GL22" s="34">
        <v>0</v>
      </c>
      <c r="GM22" s="34">
        <v>0</v>
      </c>
      <c r="GN22" s="34">
        <v>0</v>
      </c>
      <c r="GO22" s="34">
        <v>0</v>
      </c>
      <c r="GP22" s="34">
        <v>0</v>
      </c>
      <c r="GQ22" s="34">
        <v>0</v>
      </c>
      <c r="GR22" s="34">
        <v>0</v>
      </c>
      <c r="GS22" s="34">
        <v>0</v>
      </c>
      <c r="GT22" s="34">
        <v>0</v>
      </c>
      <c r="GU22" s="34">
        <v>0</v>
      </c>
      <c r="GV22" s="34">
        <v>0</v>
      </c>
      <c r="GW22" s="34">
        <v>0</v>
      </c>
      <c r="GX22" s="34">
        <v>0</v>
      </c>
      <c r="GY22" s="34">
        <v>1</v>
      </c>
      <c r="GZ22" s="34">
        <v>0</v>
      </c>
      <c r="HA22" s="34">
        <v>0</v>
      </c>
      <c r="HB22" s="34">
        <v>0</v>
      </c>
      <c r="HC22" s="34">
        <v>0</v>
      </c>
      <c r="HD22" s="34">
        <v>0</v>
      </c>
      <c r="HE22" s="34">
        <v>0</v>
      </c>
      <c r="HF22" s="34">
        <v>0</v>
      </c>
      <c r="HG22" s="34">
        <v>0</v>
      </c>
      <c r="HH22" s="34">
        <v>0</v>
      </c>
      <c r="HI22" s="34">
        <v>0</v>
      </c>
      <c r="HJ22" s="34">
        <v>0</v>
      </c>
      <c r="HK22" s="34">
        <v>0</v>
      </c>
      <c r="HL22" s="34">
        <v>0</v>
      </c>
      <c r="HM22" s="34">
        <v>0</v>
      </c>
      <c r="HN22" s="34">
        <v>0</v>
      </c>
      <c r="HO22" s="34">
        <v>0</v>
      </c>
      <c r="HP22" s="34">
        <v>0</v>
      </c>
      <c r="HQ22" s="34">
        <v>0</v>
      </c>
      <c r="HR22" s="34">
        <v>0</v>
      </c>
      <c r="HS22" s="34">
        <v>0</v>
      </c>
      <c r="HT22" s="34">
        <v>0</v>
      </c>
      <c r="HU22" s="34">
        <v>0</v>
      </c>
      <c r="HV22" s="34">
        <v>0</v>
      </c>
      <c r="HW22" s="34">
        <v>0</v>
      </c>
      <c r="HX22" s="34">
        <v>0</v>
      </c>
      <c r="HY22" s="34">
        <v>0</v>
      </c>
      <c r="HZ22" s="34">
        <v>0</v>
      </c>
      <c r="IA22" s="34">
        <v>0</v>
      </c>
      <c r="IB22" s="34">
        <v>0</v>
      </c>
      <c r="IC22" s="34">
        <v>0</v>
      </c>
      <c r="ID22" s="34">
        <v>0</v>
      </c>
      <c r="IE22" s="34">
        <v>0</v>
      </c>
      <c r="IF22" s="34">
        <v>0</v>
      </c>
      <c r="IG22" s="34">
        <v>0</v>
      </c>
    </row>
    <row r="23" spans="1:241" x14ac:dyDescent="0.3">
      <c r="A23" s="34" t="s">
        <v>56</v>
      </c>
      <c r="B23" s="38">
        <f t="shared" si="0"/>
        <v>8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v>0</v>
      </c>
      <c r="P23" s="34">
        <v>0</v>
      </c>
      <c r="Q23" s="34">
        <v>0</v>
      </c>
      <c r="R23" s="34">
        <v>0</v>
      </c>
      <c r="S23" s="34">
        <v>0</v>
      </c>
      <c r="T23" s="34">
        <v>0</v>
      </c>
      <c r="U23" s="34">
        <v>0</v>
      </c>
      <c r="V23" s="34"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  <c r="AB23" s="34">
        <v>0</v>
      </c>
      <c r="AC23" s="34">
        <v>0</v>
      </c>
      <c r="AD23" s="34">
        <v>0</v>
      </c>
      <c r="AE23" s="34">
        <v>0</v>
      </c>
      <c r="AF23" s="34">
        <v>0</v>
      </c>
      <c r="AG23" s="34">
        <v>0</v>
      </c>
      <c r="AH23" s="34">
        <v>0</v>
      </c>
      <c r="AI23" s="34">
        <v>0</v>
      </c>
      <c r="AJ23" s="34">
        <v>0</v>
      </c>
      <c r="AK23" s="34">
        <v>0</v>
      </c>
      <c r="AL23" s="34">
        <v>0</v>
      </c>
      <c r="AM23" s="34">
        <v>0</v>
      </c>
      <c r="AN23" s="34">
        <v>0</v>
      </c>
      <c r="AO23" s="34">
        <v>0</v>
      </c>
      <c r="AP23" s="34">
        <v>0</v>
      </c>
      <c r="AQ23" s="34">
        <v>0</v>
      </c>
      <c r="AR23" s="34">
        <v>0</v>
      </c>
      <c r="AS23" s="34">
        <v>0</v>
      </c>
      <c r="AT23" s="34">
        <v>0</v>
      </c>
      <c r="AU23" s="34">
        <v>0</v>
      </c>
      <c r="AV23" s="34">
        <v>0</v>
      </c>
      <c r="AW23" s="34">
        <v>0</v>
      </c>
      <c r="AX23" s="34">
        <v>0</v>
      </c>
      <c r="AY23" s="34">
        <v>0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4">
        <v>0</v>
      </c>
      <c r="BF23" s="34">
        <v>0</v>
      </c>
      <c r="BG23" s="34">
        <v>0</v>
      </c>
      <c r="BH23" s="34">
        <v>0</v>
      </c>
      <c r="BI23" s="34">
        <v>0</v>
      </c>
      <c r="BJ23" s="34">
        <v>0</v>
      </c>
      <c r="BK23" s="34">
        <v>0</v>
      </c>
      <c r="BL23" s="34">
        <v>0</v>
      </c>
      <c r="BM23" s="34">
        <v>0</v>
      </c>
      <c r="BN23" s="34">
        <v>0</v>
      </c>
      <c r="BO23" s="34">
        <v>0</v>
      </c>
      <c r="BP23" s="34">
        <v>0</v>
      </c>
      <c r="BQ23" s="34">
        <v>0</v>
      </c>
      <c r="BR23" s="34">
        <v>0</v>
      </c>
      <c r="BS23" s="34">
        <v>0</v>
      </c>
      <c r="BT23" s="34">
        <v>0</v>
      </c>
      <c r="BU23" s="34">
        <v>0</v>
      </c>
      <c r="BV23" s="34">
        <v>0</v>
      </c>
      <c r="BW23" s="34">
        <v>0</v>
      </c>
      <c r="BX23" s="34">
        <v>0</v>
      </c>
      <c r="BY23" s="34">
        <v>1</v>
      </c>
      <c r="BZ23" s="34">
        <v>0</v>
      </c>
      <c r="CA23" s="34">
        <v>1</v>
      </c>
      <c r="CB23" s="34">
        <v>0</v>
      </c>
      <c r="CC23" s="34">
        <v>0</v>
      </c>
      <c r="CD23" s="34">
        <v>0</v>
      </c>
      <c r="CE23" s="34">
        <v>0</v>
      </c>
      <c r="CF23" s="34">
        <v>0</v>
      </c>
      <c r="CG23" s="34">
        <v>0</v>
      </c>
      <c r="CH23" s="34">
        <v>0</v>
      </c>
      <c r="CI23" s="34">
        <v>0</v>
      </c>
      <c r="CJ23" s="34">
        <v>0</v>
      </c>
      <c r="CK23" s="34">
        <v>0</v>
      </c>
      <c r="CL23" s="34">
        <v>0</v>
      </c>
      <c r="CM23" s="34">
        <v>0</v>
      </c>
      <c r="CN23" s="34">
        <v>0</v>
      </c>
      <c r="CO23" s="34">
        <v>0</v>
      </c>
      <c r="CP23" s="34">
        <v>0</v>
      </c>
      <c r="CQ23" s="34">
        <v>0</v>
      </c>
      <c r="CR23" s="34">
        <v>0</v>
      </c>
      <c r="CS23" s="34">
        <v>0</v>
      </c>
      <c r="CT23" s="34">
        <v>0</v>
      </c>
      <c r="CU23" s="34">
        <v>0</v>
      </c>
      <c r="CV23" s="34">
        <v>0</v>
      </c>
      <c r="CW23" s="34">
        <v>0</v>
      </c>
      <c r="CX23" s="34">
        <v>0</v>
      </c>
      <c r="CY23" s="34">
        <v>0</v>
      </c>
      <c r="CZ23" s="34">
        <v>0</v>
      </c>
      <c r="DA23" s="34">
        <v>0</v>
      </c>
      <c r="DB23" s="34">
        <v>0</v>
      </c>
      <c r="DC23" s="34">
        <v>0</v>
      </c>
      <c r="DD23" s="34">
        <v>1</v>
      </c>
      <c r="DE23" s="34">
        <v>0</v>
      </c>
      <c r="DF23" s="34">
        <v>0</v>
      </c>
      <c r="DG23" s="34">
        <v>0</v>
      </c>
      <c r="DH23" s="34">
        <v>0</v>
      </c>
      <c r="DI23" s="34">
        <v>0</v>
      </c>
      <c r="DJ23" s="34">
        <v>0</v>
      </c>
      <c r="DK23" s="34">
        <v>0</v>
      </c>
      <c r="DL23" s="34">
        <v>0</v>
      </c>
      <c r="DM23" s="34">
        <v>0</v>
      </c>
      <c r="DN23" s="34">
        <v>0</v>
      </c>
      <c r="DO23" s="34">
        <v>0</v>
      </c>
      <c r="DP23" s="34">
        <v>0</v>
      </c>
      <c r="DQ23" s="34">
        <v>0</v>
      </c>
      <c r="DR23" s="34">
        <v>0</v>
      </c>
      <c r="DS23" s="34">
        <v>0</v>
      </c>
      <c r="DT23" s="34">
        <v>0</v>
      </c>
      <c r="DU23" s="34">
        <v>0</v>
      </c>
      <c r="DV23" s="34">
        <v>0</v>
      </c>
      <c r="DW23" s="34">
        <v>0</v>
      </c>
      <c r="DX23" s="34">
        <v>0</v>
      </c>
      <c r="DY23" s="34">
        <v>1</v>
      </c>
      <c r="DZ23" s="34">
        <v>0</v>
      </c>
      <c r="EA23" s="34">
        <v>0</v>
      </c>
      <c r="EB23" s="34">
        <v>0</v>
      </c>
      <c r="EC23" s="34">
        <v>1</v>
      </c>
      <c r="ED23" s="34">
        <v>0</v>
      </c>
      <c r="EE23" s="34">
        <v>0</v>
      </c>
      <c r="EF23" s="34">
        <v>0</v>
      </c>
      <c r="EG23" s="34">
        <v>0</v>
      </c>
      <c r="EH23" s="34">
        <v>0</v>
      </c>
      <c r="EI23" s="34">
        <v>0</v>
      </c>
      <c r="EJ23" s="34">
        <v>0</v>
      </c>
      <c r="EK23" s="34">
        <v>0</v>
      </c>
      <c r="EL23" s="34">
        <v>0</v>
      </c>
      <c r="EM23" s="34">
        <v>1</v>
      </c>
      <c r="EN23" s="34">
        <v>0</v>
      </c>
      <c r="EO23" s="34">
        <v>0</v>
      </c>
      <c r="EP23" s="34">
        <v>0</v>
      </c>
      <c r="EQ23" s="34">
        <v>0</v>
      </c>
      <c r="ER23" s="34">
        <v>0</v>
      </c>
      <c r="ES23" s="34">
        <v>0</v>
      </c>
      <c r="ET23" s="34">
        <v>0</v>
      </c>
      <c r="EU23" s="34">
        <v>0</v>
      </c>
      <c r="EV23" s="34">
        <v>0</v>
      </c>
      <c r="EW23" s="34">
        <v>0</v>
      </c>
      <c r="EX23" s="34">
        <v>0</v>
      </c>
      <c r="EY23" s="34">
        <v>0</v>
      </c>
      <c r="EZ23" s="34">
        <v>0</v>
      </c>
      <c r="FA23" s="34">
        <v>0</v>
      </c>
      <c r="FB23" s="34">
        <v>0</v>
      </c>
      <c r="FC23" s="34">
        <v>0</v>
      </c>
      <c r="FD23" s="34">
        <v>1</v>
      </c>
      <c r="FE23" s="34">
        <v>1</v>
      </c>
      <c r="FF23" s="34">
        <v>0</v>
      </c>
      <c r="FG23" s="34">
        <v>0</v>
      </c>
      <c r="FH23" s="34">
        <v>0</v>
      </c>
      <c r="FI23" s="34">
        <v>0</v>
      </c>
      <c r="FJ23" s="34">
        <v>0</v>
      </c>
      <c r="FK23" s="34">
        <v>0</v>
      </c>
      <c r="FL23" s="34">
        <v>0</v>
      </c>
      <c r="FM23" s="34">
        <v>0</v>
      </c>
      <c r="FN23" s="34">
        <v>0</v>
      </c>
      <c r="FO23" s="34">
        <v>0</v>
      </c>
      <c r="FP23" s="34">
        <v>0</v>
      </c>
      <c r="FQ23" s="34">
        <v>0</v>
      </c>
      <c r="FR23" s="34">
        <v>0</v>
      </c>
      <c r="FS23" s="34">
        <v>0</v>
      </c>
      <c r="FT23" s="34">
        <v>0</v>
      </c>
      <c r="FU23" s="34">
        <v>0</v>
      </c>
      <c r="FV23" s="34">
        <v>0</v>
      </c>
      <c r="FW23" s="34">
        <v>0</v>
      </c>
      <c r="FX23" s="34">
        <v>0</v>
      </c>
      <c r="FY23" s="34">
        <v>0</v>
      </c>
      <c r="FZ23" s="34">
        <v>0</v>
      </c>
      <c r="GA23" s="34">
        <v>0</v>
      </c>
      <c r="GB23" s="34">
        <v>0</v>
      </c>
      <c r="GC23" s="34">
        <v>0</v>
      </c>
      <c r="GD23" s="34">
        <v>0</v>
      </c>
      <c r="GE23" s="34">
        <v>0</v>
      </c>
      <c r="GF23" s="34">
        <v>0</v>
      </c>
      <c r="GG23" s="34">
        <v>0</v>
      </c>
      <c r="GH23" s="34">
        <v>0</v>
      </c>
      <c r="GI23" s="34">
        <v>0</v>
      </c>
      <c r="GJ23" s="34">
        <v>0</v>
      </c>
      <c r="GK23" s="34">
        <v>0</v>
      </c>
      <c r="GL23" s="34">
        <v>0</v>
      </c>
      <c r="GM23" s="34">
        <v>0</v>
      </c>
      <c r="GN23" s="34">
        <v>0</v>
      </c>
      <c r="GO23" s="34">
        <v>0</v>
      </c>
      <c r="GP23" s="34">
        <v>0</v>
      </c>
      <c r="GQ23" s="34">
        <v>0</v>
      </c>
      <c r="GR23" s="34">
        <v>0</v>
      </c>
      <c r="GS23" s="34">
        <v>0</v>
      </c>
      <c r="GT23" s="34">
        <v>0</v>
      </c>
      <c r="GU23" s="34">
        <v>0</v>
      </c>
      <c r="GV23" s="34">
        <v>0</v>
      </c>
      <c r="GW23" s="34">
        <v>0</v>
      </c>
      <c r="GX23" s="34">
        <v>0</v>
      </c>
      <c r="GY23" s="34">
        <v>0</v>
      </c>
      <c r="GZ23" s="34">
        <v>0</v>
      </c>
      <c r="HA23" s="34">
        <v>0</v>
      </c>
      <c r="HB23" s="34">
        <v>0</v>
      </c>
      <c r="HC23" s="34">
        <v>0</v>
      </c>
      <c r="HD23" s="34">
        <v>0</v>
      </c>
      <c r="HE23" s="34">
        <v>0</v>
      </c>
      <c r="HF23" s="34">
        <v>0</v>
      </c>
      <c r="HG23" s="34">
        <v>0</v>
      </c>
      <c r="HH23" s="34">
        <v>0</v>
      </c>
      <c r="HI23" s="34">
        <v>0</v>
      </c>
      <c r="HJ23" s="34">
        <v>0</v>
      </c>
      <c r="HK23" s="34">
        <v>0</v>
      </c>
      <c r="HL23" s="34">
        <v>0</v>
      </c>
      <c r="HM23" s="34">
        <v>0</v>
      </c>
      <c r="HN23" s="34">
        <v>0</v>
      </c>
      <c r="HO23" s="34">
        <v>0</v>
      </c>
      <c r="HP23" s="34">
        <v>0</v>
      </c>
      <c r="HQ23" s="34">
        <v>0</v>
      </c>
      <c r="HR23" s="34">
        <v>0</v>
      </c>
      <c r="HS23" s="34">
        <v>0</v>
      </c>
      <c r="HT23" s="34">
        <v>0</v>
      </c>
      <c r="HU23" s="34">
        <v>0</v>
      </c>
      <c r="HV23" s="34">
        <v>0</v>
      </c>
      <c r="HW23" s="34">
        <v>0</v>
      </c>
      <c r="HX23" s="34">
        <v>0</v>
      </c>
      <c r="HY23" s="34">
        <v>0</v>
      </c>
      <c r="HZ23" s="34">
        <v>0</v>
      </c>
      <c r="IA23" s="34">
        <v>0</v>
      </c>
      <c r="IB23" s="34">
        <v>0</v>
      </c>
      <c r="IC23" s="34">
        <v>0</v>
      </c>
      <c r="ID23" s="34">
        <v>0</v>
      </c>
      <c r="IE23" s="34">
        <v>0</v>
      </c>
      <c r="IF23" s="34">
        <v>0</v>
      </c>
      <c r="IG23" s="34">
        <v>0</v>
      </c>
    </row>
    <row r="24" spans="1:241" x14ac:dyDescent="0.3">
      <c r="A24" s="34" t="s">
        <v>57</v>
      </c>
      <c r="B24" s="38">
        <f t="shared" si="0"/>
        <v>20</v>
      </c>
      <c r="C24" s="34">
        <v>0</v>
      </c>
      <c r="D24" s="34">
        <v>0</v>
      </c>
      <c r="E24" s="34">
        <v>0</v>
      </c>
      <c r="F24" s="34">
        <v>0</v>
      </c>
      <c r="G24" s="34">
        <v>1</v>
      </c>
      <c r="H24" s="34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34">
        <v>1</v>
      </c>
      <c r="O24" s="34">
        <v>1</v>
      </c>
      <c r="P24" s="34">
        <v>0</v>
      </c>
      <c r="Q24" s="34">
        <v>0</v>
      </c>
      <c r="R24" s="34">
        <v>0</v>
      </c>
      <c r="S24" s="34">
        <v>0</v>
      </c>
      <c r="T24" s="34">
        <v>0</v>
      </c>
      <c r="U24" s="34">
        <v>0</v>
      </c>
      <c r="V24" s="34"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  <c r="AB24" s="34">
        <v>0</v>
      </c>
      <c r="AC24" s="34">
        <v>0</v>
      </c>
      <c r="AD24" s="34">
        <v>0</v>
      </c>
      <c r="AE24" s="34">
        <v>0</v>
      </c>
      <c r="AF24" s="34">
        <v>0</v>
      </c>
      <c r="AG24" s="34">
        <v>0</v>
      </c>
      <c r="AH24" s="34">
        <v>0</v>
      </c>
      <c r="AI24" s="34">
        <v>0</v>
      </c>
      <c r="AJ24" s="34">
        <v>0</v>
      </c>
      <c r="AK24" s="34">
        <v>0</v>
      </c>
      <c r="AL24" s="34">
        <v>0</v>
      </c>
      <c r="AM24" s="34">
        <v>0</v>
      </c>
      <c r="AN24" s="34">
        <v>0</v>
      </c>
      <c r="AO24" s="34">
        <v>0</v>
      </c>
      <c r="AP24" s="34">
        <v>0</v>
      </c>
      <c r="AQ24" s="34">
        <v>1</v>
      </c>
      <c r="AR24" s="34">
        <v>0</v>
      </c>
      <c r="AS24" s="34">
        <v>0</v>
      </c>
      <c r="AT24" s="34">
        <v>1</v>
      </c>
      <c r="AU24" s="34">
        <v>0</v>
      </c>
      <c r="AV24" s="34">
        <v>0</v>
      </c>
      <c r="AW24" s="34">
        <v>0</v>
      </c>
      <c r="AX24" s="34">
        <v>0</v>
      </c>
      <c r="AY24" s="34">
        <v>0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4">
        <v>0</v>
      </c>
      <c r="BF24" s="34">
        <v>0</v>
      </c>
      <c r="BG24" s="34">
        <v>0</v>
      </c>
      <c r="BH24" s="34">
        <v>0</v>
      </c>
      <c r="BI24" s="34">
        <v>0</v>
      </c>
      <c r="BJ24" s="34">
        <v>0</v>
      </c>
      <c r="BK24" s="34">
        <v>0</v>
      </c>
      <c r="BL24" s="34">
        <v>0</v>
      </c>
      <c r="BM24" s="34">
        <v>0</v>
      </c>
      <c r="BN24" s="34">
        <v>1</v>
      </c>
      <c r="BO24" s="34">
        <v>0</v>
      </c>
      <c r="BP24" s="34">
        <v>0</v>
      </c>
      <c r="BQ24" s="34">
        <v>0</v>
      </c>
      <c r="BR24" s="34">
        <v>0</v>
      </c>
      <c r="BS24" s="34">
        <v>0</v>
      </c>
      <c r="BT24" s="34">
        <v>0</v>
      </c>
      <c r="BU24" s="34">
        <v>0</v>
      </c>
      <c r="BV24" s="34">
        <v>0</v>
      </c>
      <c r="BW24" s="34">
        <v>1</v>
      </c>
      <c r="BX24" s="34">
        <v>0</v>
      </c>
      <c r="BY24" s="34">
        <v>0</v>
      </c>
      <c r="BZ24" s="34">
        <v>0</v>
      </c>
      <c r="CA24" s="34">
        <v>0</v>
      </c>
      <c r="CB24" s="34">
        <v>0</v>
      </c>
      <c r="CC24" s="34">
        <v>0</v>
      </c>
      <c r="CD24" s="34">
        <v>0</v>
      </c>
      <c r="CE24" s="34">
        <v>0</v>
      </c>
      <c r="CF24" s="34">
        <v>1</v>
      </c>
      <c r="CG24" s="34">
        <v>0</v>
      </c>
      <c r="CH24" s="34">
        <v>0</v>
      </c>
      <c r="CI24" s="34">
        <v>0</v>
      </c>
      <c r="CJ24" s="34">
        <v>0</v>
      </c>
      <c r="CK24" s="34">
        <v>0</v>
      </c>
      <c r="CL24" s="34">
        <v>0</v>
      </c>
      <c r="CM24" s="34">
        <v>0</v>
      </c>
      <c r="CN24" s="34">
        <v>0</v>
      </c>
      <c r="CO24" s="34">
        <v>0</v>
      </c>
      <c r="CP24" s="34">
        <v>0</v>
      </c>
      <c r="CQ24" s="34">
        <v>0</v>
      </c>
      <c r="CR24" s="34">
        <v>0</v>
      </c>
      <c r="CS24" s="34">
        <v>0</v>
      </c>
      <c r="CT24" s="34">
        <v>0</v>
      </c>
      <c r="CU24" s="34">
        <v>0</v>
      </c>
      <c r="CV24" s="34">
        <v>0</v>
      </c>
      <c r="CW24" s="34">
        <v>0</v>
      </c>
      <c r="CX24" s="34">
        <v>0</v>
      </c>
      <c r="CY24" s="34">
        <v>0</v>
      </c>
      <c r="CZ24" s="34">
        <v>0</v>
      </c>
      <c r="DA24" s="34">
        <v>0</v>
      </c>
      <c r="DB24" s="34">
        <v>1</v>
      </c>
      <c r="DC24" s="34">
        <v>0</v>
      </c>
      <c r="DD24" s="34">
        <v>0</v>
      </c>
      <c r="DE24" s="34">
        <v>0</v>
      </c>
      <c r="DF24" s="34">
        <v>0</v>
      </c>
      <c r="DG24" s="34">
        <v>0</v>
      </c>
      <c r="DH24" s="34">
        <v>0</v>
      </c>
      <c r="DI24" s="34">
        <v>0</v>
      </c>
      <c r="DJ24" s="34">
        <v>0</v>
      </c>
      <c r="DK24" s="34">
        <v>0</v>
      </c>
      <c r="DL24" s="34">
        <v>0</v>
      </c>
      <c r="DM24" s="34">
        <v>0</v>
      </c>
      <c r="DN24" s="34">
        <v>0</v>
      </c>
      <c r="DO24" s="34">
        <v>0</v>
      </c>
      <c r="DP24" s="34">
        <v>0</v>
      </c>
      <c r="DQ24" s="34">
        <v>0</v>
      </c>
      <c r="DR24" s="34">
        <v>1</v>
      </c>
      <c r="DS24" s="34">
        <v>0</v>
      </c>
      <c r="DT24" s="34">
        <v>0</v>
      </c>
      <c r="DU24" s="34">
        <v>0</v>
      </c>
      <c r="DV24" s="34">
        <v>0</v>
      </c>
      <c r="DW24" s="34">
        <v>2</v>
      </c>
      <c r="DX24" s="34">
        <v>0</v>
      </c>
      <c r="DY24" s="34">
        <v>0</v>
      </c>
      <c r="DZ24" s="34">
        <v>0</v>
      </c>
      <c r="EA24" s="34">
        <v>0</v>
      </c>
      <c r="EB24" s="34">
        <v>0</v>
      </c>
      <c r="EC24" s="34">
        <v>0</v>
      </c>
      <c r="ED24" s="34">
        <v>0</v>
      </c>
      <c r="EE24" s="34">
        <v>0</v>
      </c>
      <c r="EF24" s="34">
        <v>0</v>
      </c>
      <c r="EG24" s="34">
        <v>1</v>
      </c>
      <c r="EH24" s="34">
        <v>0</v>
      </c>
      <c r="EI24" s="34">
        <v>0</v>
      </c>
      <c r="EJ24" s="34">
        <v>0</v>
      </c>
      <c r="EK24" s="34">
        <v>0</v>
      </c>
      <c r="EL24" s="34">
        <v>0</v>
      </c>
      <c r="EM24" s="34">
        <v>0</v>
      </c>
      <c r="EN24" s="34">
        <v>0</v>
      </c>
      <c r="EO24" s="34">
        <v>1</v>
      </c>
      <c r="EP24" s="34">
        <v>0</v>
      </c>
      <c r="EQ24" s="34">
        <v>0</v>
      </c>
      <c r="ER24" s="34">
        <v>0</v>
      </c>
      <c r="ES24" s="34">
        <v>0</v>
      </c>
      <c r="ET24" s="34">
        <v>0</v>
      </c>
      <c r="EU24" s="34">
        <v>1</v>
      </c>
      <c r="EV24" s="34">
        <v>0</v>
      </c>
      <c r="EW24" s="34">
        <v>0</v>
      </c>
      <c r="EX24" s="34">
        <v>0</v>
      </c>
      <c r="EY24" s="34">
        <v>0</v>
      </c>
      <c r="EZ24" s="34">
        <v>0</v>
      </c>
      <c r="FA24" s="34">
        <v>0</v>
      </c>
      <c r="FB24" s="34">
        <v>0</v>
      </c>
      <c r="FC24" s="34">
        <v>0</v>
      </c>
      <c r="FD24" s="34">
        <v>0</v>
      </c>
      <c r="FE24" s="34">
        <v>0</v>
      </c>
      <c r="FF24" s="34">
        <v>0</v>
      </c>
      <c r="FG24" s="34">
        <v>0</v>
      </c>
      <c r="FH24" s="34">
        <v>0</v>
      </c>
      <c r="FI24" s="34">
        <v>0</v>
      </c>
      <c r="FJ24" s="34">
        <v>0</v>
      </c>
      <c r="FK24" s="34">
        <v>0</v>
      </c>
      <c r="FL24" s="34">
        <v>0</v>
      </c>
      <c r="FM24" s="34">
        <v>0</v>
      </c>
      <c r="FN24" s="34">
        <v>0</v>
      </c>
      <c r="FO24" s="34">
        <v>0</v>
      </c>
      <c r="FP24" s="34">
        <v>0</v>
      </c>
      <c r="FQ24" s="34">
        <v>0</v>
      </c>
      <c r="FR24" s="34">
        <v>0</v>
      </c>
      <c r="FS24" s="34">
        <v>1</v>
      </c>
      <c r="FT24" s="34">
        <v>0</v>
      </c>
      <c r="FU24" s="34">
        <v>0</v>
      </c>
      <c r="FV24" s="34">
        <v>0</v>
      </c>
      <c r="FW24" s="34">
        <v>1</v>
      </c>
      <c r="FX24" s="34">
        <v>0</v>
      </c>
      <c r="FY24" s="34">
        <v>0</v>
      </c>
      <c r="FZ24" s="34">
        <v>0</v>
      </c>
      <c r="GA24" s="34">
        <v>0</v>
      </c>
      <c r="GB24" s="34">
        <v>0</v>
      </c>
      <c r="GC24" s="34">
        <v>0</v>
      </c>
      <c r="GD24" s="34">
        <v>0</v>
      </c>
      <c r="GE24" s="34">
        <v>0</v>
      </c>
      <c r="GF24" s="34">
        <v>1</v>
      </c>
      <c r="GG24" s="34">
        <v>0</v>
      </c>
      <c r="GH24" s="34">
        <v>0</v>
      </c>
      <c r="GI24" s="34">
        <v>0</v>
      </c>
      <c r="GJ24" s="34">
        <v>0</v>
      </c>
      <c r="GK24" s="34">
        <v>0</v>
      </c>
      <c r="GL24" s="34">
        <v>0</v>
      </c>
      <c r="GM24" s="34">
        <v>0</v>
      </c>
      <c r="GN24" s="34">
        <v>0</v>
      </c>
      <c r="GO24" s="34">
        <v>0</v>
      </c>
      <c r="GP24" s="34">
        <v>0</v>
      </c>
      <c r="GQ24" s="34">
        <v>0</v>
      </c>
      <c r="GR24" s="34">
        <v>0</v>
      </c>
      <c r="GS24" s="34">
        <v>0</v>
      </c>
      <c r="GT24" s="34">
        <v>0</v>
      </c>
      <c r="GU24" s="34">
        <v>0</v>
      </c>
      <c r="GV24" s="34">
        <v>0</v>
      </c>
      <c r="GW24" s="34">
        <v>0</v>
      </c>
      <c r="GX24" s="34">
        <v>0</v>
      </c>
      <c r="GY24" s="34">
        <v>0</v>
      </c>
      <c r="GZ24" s="34">
        <v>0</v>
      </c>
      <c r="HA24" s="34">
        <v>0</v>
      </c>
      <c r="HB24" s="34">
        <v>0</v>
      </c>
      <c r="HC24" s="34">
        <v>0</v>
      </c>
      <c r="HD24" s="34">
        <v>0</v>
      </c>
      <c r="HE24" s="34">
        <v>0</v>
      </c>
      <c r="HF24" s="34">
        <v>1</v>
      </c>
      <c r="HG24" s="34">
        <v>0</v>
      </c>
      <c r="HH24" s="34">
        <v>0</v>
      </c>
      <c r="HI24" s="34">
        <v>0</v>
      </c>
      <c r="HJ24" s="34">
        <v>0</v>
      </c>
      <c r="HK24" s="34">
        <v>0</v>
      </c>
      <c r="HL24" s="34">
        <v>0</v>
      </c>
      <c r="HM24" s="34">
        <v>0</v>
      </c>
      <c r="HN24" s="34">
        <v>0</v>
      </c>
      <c r="HO24" s="34">
        <v>0</v>
      </c>
      <c r="HP24" s="34">
        <v>0</v>
      </c>
      <c r="HQ24" s="34">
        <v>0</v>
      </c>
      <c r="HR24" s="34">
        <v>0</v>
      </c>
      <c r="HS24" s="34">
        <v>0</v>
      </c>
      <c r="HT24" s="34">
        <v>0</v>
      </c>
      <c r="HU24" s="34">
        <v>0</v>
      </c>
      <c r="HV24" s="34">
        <v>0</v>
      </c>
      <c r="HW24" s="34">
        <v>0</v>
      </c>
      <c r="HX24" s="34">
        <v>0</v>
      </c>
      <c r="HY24" s="34">
        <v>0</v>
      </c>
      <c r="HZ24" s="34">
        <v>0</v>
      </c>
      <c r="IA24" s="34">
        <v>0</v>
      </c>
      <c r="IB24" s="34">
        <v>0</v>
      </c>
      <c r="IC24" s="34">
        <v>0</v>
      </c>
      <c r="ID24" s="34">
        <v>0</v>
      </c>
      <c r="IE24" s="34">
        <v>0</v>
      </c>
      <c r="IF24" s="34">
        <v>1</v>
      </c>
      <c r="IG24" s="34">
        <v>0</v>
      </c>
    </row>
    <row r="25" spans="1:241" x14ac:dyDescent="0.3">
      <c r="A25" s="34" t="s">
        <v>58</v>
      </c>
      <c r="B25" s="38">
        <f t="shared" si="0"/>
        <v>10</v>
      </c>
      <c r="C25" s="34">
        <v>0</v>
      </c>
      <c r="D25" s="34">
        <v>0</v>
      </c>
      <c r="E25" s="34">
        <v>0</v>
      </c>
      <c r="F25" s="34">
        <v>0</v>
      </c>
      <c r="G25" s="34">
        <v>0</v>
      </c>
      <c r="H25" s="34">
        <v>1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34">
        <v>0</v>
      </c>
      <c r="O25" s="34">
        <v>0</v>
      </c>
      <c r="P25" s="34">
        <v>0</v>
      </c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  <c r="AB25" s="34">
        <v>0</v>
      </c>
      <c r="AC25" s="34">
        <v>0</v>
      </c>
      <c r="AD25" s="34">
        <v>0</v>
      </c>
      <c r="AE25" s="34">
        <v>0</v>
      </c>
      <c r="AF25" s="34">
        <v>1</v>
      </c>
      <c r="AG25" s="34">
        <v>0</v>
      </c>
      <c r="AH25" s="34">
        <v>0</v>
      </c>
      <c r="AI25" s="34">
        <v>0</v>
      </c>
      <c r="AJ25" s="34">
        <v>0</v>
      </c>
      <c r="AK25" s="34">
        <v>0</v>
      </c>
      <c r="AL25" s="34">
        <v>0</v>
      </c>
      <c r="AM25" s="34">
        <v>0</v>
      </c>
      <c r="AN25" s="34">
        <v>0</v>
      </c>
      <c r="AO25" s="34">
        <v>0</v>
      </c>
      <c r="AP25" s="34">
        <v>0</v>
      </c>
      <c r="AQ25" s="34">
        <v>0</v>
      </c>
      <c r="AR25" s="34">
        <v>0</v>
      </c>
      <c r="AS25" s="34">
        <v>0</v>
      </c>
      <c r="AT25" s="34">
        <v>0</v>
      </c>
      <c r="AU25" s="34">
        <v>0</v>
      </c>
      <c r="AV25" s="34">
        <v>0</v>
      </c>
      <c r="AW25" s="34">
        <v>0</v>
      </c>
      <c r="AX25" s="34">
        <v>0</v>
      </c>
      <c r="AY25" s="34">
        <v>0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4">
        <v>0</v>
      </c>
      <c r="BF25" s="34">
        <v>0</v>
      </c>
      <c r="BG25" s="34">
        <v>1</v>
      </c>
      <c r="BH25" s="34">
        <v>0</v>
      </c>
      <c r="BI25" s="34">
        <v>0</v>
      </c>
      <c r="BJ25" s="34">
        <v>0</v>
      </c>
      <c r="BK25" s="34">
        <v>0</v>
      </c>
      <c r="BL25" s="34">
        <v>0</v>
      </c>
      <c r="BM25" s="34">
        <v>0</v>
      </c>
      <c r="BN25" s="34">
        <v>0</v>
      </c>
      <c r="BO25" s="34">
        <v>0</v>
      </c>
      <c r="BP25" s="34">
        <v>0</v>
      </c>
      <c r="BQ25" s="34">
        <v>0</v>
      </c>
      <c r="BR25" s="34">
        <v>0</v>
      </c>
      <c r="BS25" s="34">
        <v>0</v>
      </c>
      <c r="BT25" s="34">
        <v>1</v>
      </c>
      <c r="BU25" s="34">
        <v>0</v>
      </c>
      <c r="BV25" s="34">
        <v>0</v>
      </c>
      <c r="BW25" s="34">
        <v>1</v>
      </c>
      <c r="BX25" s="34">
        <v>0</v>
      </c>
      <c r="BY25" s="34">
        <v>0</v>
      </c>
      <c r="BZ25" s="34">
        <v>0</v>
      </c>
      <c r="CA25" s="34">
        <v>0</v>
      </c>
      <c r="CB25" s="34">
        <v>0</v>
      </c>
      <c r="CC25" s="34">
        <v>0</v>
      </c>
      <c r="CD25" s="34">
        <v>0</v>
      </c>
      <c r="CE25" s="34">
        <v>0</v>
      </c>
      <c r="CF25" s="34">
        <v>0</v>
      </c>
      <c r="CG25" s="34">
        <v>0</v>
      </c>
      <c r="CH25" s="34">
        <v>0</v>
      </c>
      <c r="CI25" s="34">
        <v>0</v>
      </c>
      <c r="CJ25" s="34">
        <v>0</v>
      </c>
      <c r="CK25" s="34">
        <v>0</v>
      </c>
      <c r="CL25" s="34">
        <v>0</v>
      </c>
      <c r="CM25" s="34">
        <v>0</v>
      </c>
      <c r="CN25" s="34">
        <v>0</v>
      </c>
      <c r="CO25" s="34">
        <v>0</v>
      </c>
      <c r="CP25" s="34">
        <v>0</v>
      </c>
      <c r="CQ25" s="34">
        <v>0</v>
      </c>
      <c r="CR25" s="34">
        <v>0</v>
      </c>
      <c r="CS25" s="34">
        <v>0</v>
      </c>
      <c r="CT25" s="34">
        <v>0</v>
      </c>
      <c r="CU25" s="34">
        <v>0</v>
      </c>
      <c r="CV25" s="34">
        <v>0</v>
      </c>
      <c r="CW25" s="34">
        <v>0</v>
      </c>
      <c r="CX25" s="34">
        <v>0</v>
      </c>
      <c r="CY25" s="34">
        <v>0</v>
      </c>
      <c r="CZ25" s="34">
        <v>0</v>
      </c>
      <c r="DA25" s="34">
        <v>0</v>
      </c>
      <c r="DB25" s="34">
        <v>0</v>
      </c>
      <c r="DC25" s="34">
        <v>0</v>
      </c>
      <c r="DD25" s="34">
        <v>0</v>
      </c>
      <c r="DE25" s="34">
        <v>0</v>
      </c>
      <c r="DF25" s="34">
        <v>0</v>
      </c>
      <c r="DG25" s="34">
        <v>0</v>
      </c>
      <c r="DH25" s="34">
        <v>0</v>
      </c>
      <c r="DI25" s="34">
        <v>0</v>
      </c>
      <c r="DJ25" s="34">
        <v>0</v>
      </c>
      <c r="DK25" s="34">
        <v>0</v>
      </c>
      <c r="DL25" s="34">
        <v>0</v>
      </c>
      <c r="DM25" s="34">
        <v>1</v>
      </c>
      <c r="DN25" s="34">
        <v>0</v>
      </c>
      <c r="DO25" s="34">
        <v>0</v>
      </c>
      <c r="DP25" s="34">
        <v>0</v>
      </c>
      <c r="DQ25" s="34">
        <v>0</v>
      </c>
      <c r="DR25" s="34">
        <v>0</v>
      </c>
      <c r="DS25" s="34">
        <v>0</v>
      </c>
      <c r="DT25" s="34">
        <v>0</v>
      </c>
      <c r="DU25" s="34">
        <v>0</v>
      </c>
      <c r="DV25" s="34">
        <v>0</v>
      </c>
      <c r="DW25" s="34">
        <v>1</v>
      </c>
      <c r="DX25" s="34">
        <v>0</v>
      </c>
      <c r="DY25" s="34">
        <v>0</v>
      </c>
      <c r="DZ25" s="34">
        <v>0</v>
      </c>
      <c r="EA25" s="34">
        <v>0</v>
      </c>
      <c r="EB25" s="34">
        <v>0</v>
      </c>
      <c r="EC25" s="34">
        <v>0</v>
      </c>
      <c r="ED25" s="34">
        <v>0</v>
      </c>
      <c r="EE25" s="34">
        <v>0</v>
      </c>
      <c r="EF25" s="34">
        <v>0</v>
      </c>
      <c r="EG25" s="34">
        <v>0</v>
      </c>
      <c r="EH25" s="34">
        <v>0</v>
      </c>
      <c r="EI25" s="34">
        <v>1</v>
      </c>
      <c r="EJ25" s="34">
        <v>0</v>
      </c>
      <c r="EK25" s="34">
        <v>0</v>
      </c>
      <c r="EL25" s="34">
        <v>0</v>
      </c>
      <c r="EM25" s="34">
        <v>0</v>
      </c>
      <c r="EN25" s="34">
        <v>0</v>
      </c>
      <c r="EO25" s="34">
        <v>0</v>
      </c>
      <c r="EP25" s="34">
        <v>0</v>
      </c>
      <c r="EQ25" s="34">
        <v>0</v>
      </c>
      <c r="ER25" s="34">
        <v>0</v>
      </c>
      <c r="ES25" s="34">
        <v>0</v>
      </c>
      <c r="ET25" s="34">
        <v>0</v>
      </c>
      <c r="EU25" s="34">
        <v>0</v>
      </c>
      <c r="EV25" s="34">
        <v>0</v>
      </c>
      <c r="EW25" s="34">
        <v>0</v>
      </c>
      <c r="EX25" s="34">
        <v>0</v>
      </c>
      <c r="EY25" s="34">
        <v>0</v>
      </c>
      <c r="EZ25" s="34">
        <v>0</v>
      </c>
      <c r="FA25" s="34">
        <v>0</v>
      </c>
      <c r="FB25" s="34">
        <v>0</v>
      </c>
      <c r="FC25" s="34">
        <v>0</v>
      </c>
      <c r="FD25" s="34">
        <v>0</v>
      </c>
      <c r="FE25" s="34">
        <v>0</v>
      </c>
      <c r="FF25" s="34">
        <v>0</v>
      </c>
      <c r="FG25" s="34">
        <v>0</v>
      </c>
      <c r="FH25" s="34">
        <v>0</v>
      </c>
      <c r="FI25" s="34">
        <v>0</v>
      </c>
      <c r="FJ25" s="34">
        <v>0</v>
      </c>
      <c r="FK25" s="34">
        <v>0</v>
      </c>
      <c r="FL25" s="34">
        <v>0</v>
      </c>
      <c r="FM25" s="34">
        <v>0</v>
      </c>
      <c r="FN25" s="34">
        <v>0</v>
      </c>
      <c r="FO25" s="34">
        <v>0</v>
      </c>
      <c r="FP25" s="34">
        <v>0</v>
      </c>
      <c r="FQ25" s="34">
        <v>0</v>
      </c>
      <c r="FR25" s="34">
        <v>0</v>
      </c>
      <c r="FS25" s="34">
        <v>0</v>
      </c>
      <c r="FT25" s="34">
        <v>0</v>
      </c>
      <c r="FU25" s="34">
        <v>0</v>
      </c>
      <c r="FV25" s="34">
        <v>0</v>
      </c>
      <c r="FW25" s="34">
        <v>0</v>
      </c>
      <c r="FX25" s="34">
        <v>0</v>
      </c>
      <c r="FY25" s="34">
        <v>0</v>
      </c>
      <c r="FZ25" s="34">
        <v>0</v>
      </c>
      <c r="GA25" s="34">
        <v>0</v>
      </c>
      <c r="GB25" s="34">
        <v>0</v>
      </c>
      <c r="GC25" s="34">
        <v>0</v>
      </c>
      <c r="GD25" s="34">
        <v>0</v>
      </c>
      <c r="GE25" s="34">
        <v>0</v>
      </c>
      <c r="GF25" s="34">
        <v>0</v>
      </c>
      <c r="GG25" s="34">
        <v>0</v>
      </c>
      <c r="GH25" s="34">
        <v>0</v>
      </c>
      <c r="GI25" s="34">
        <v>0</v>
      </c>
      <c r="GJ25" s="34">
        <v>0</v>
      </c>
      <c r="GK25" s="34">
        <v>0</v>
      </c>
      <c r="GL25" s="34">
        <v>0</v>
      </c>
      <c r="GM25" s="34">
        <v>0</v>
      </c>
      <c r="GN25" s="34">
        <v>0</v>
      </c>
      <c r="GO25" s="34">
        <v>0</v>
      </c>
      <c r="GP25" s="34">
        <v>0</v>
      </c>
      <c r="GQ25" s="34">
        <v>0</v>
      </c>
      <c r="GR25" s="34">
        <v>0</v>
      </c>
      <c r="GS25" s="34">
        <v>0</v>
      </c>
      <c r="GT25" s="34">
        <v>0</v>
      </c>
      <c r="GU25" s="34">
        <v>1</v>
      </c>
      <c r="GV25" s="34">
        <v>0</v>
      </c>
      <c r="GW25" s="34">
        <v>0</v>
      </c>
      <c r="GX25" s="34">
        <v>0</v>
      </c>
      <c r="GY25" s="34">
        <v>0</v>
      </c>
      <c r="GZ25" s="34">
        <v>0</v>
      </c>
      <c r="HA25" s="34">
        <v>0</v>
      </c>
      <c r="HB25" s="34">
        <v>0</v>
      </c>
      <c r="HC25" s="34">
        <v>0</v>
      </c>
      <c r="HD25" s="34">
        <v>0</v>
      </c>
      <c r="HE25" s="34">
        <v>0</v>
      </c>
      <c r="HF25" s="34">
        <v>0</v>
      </c>
      <c r="HG25" s="34">
        <v>0</v>
      </c>
      <c r="HH25" s="34">
        <v>1</v>
      </c>
      <c r="HI25" s="34">
        <v>0</v>
      </c>
      <c r="HJ25" s="34">
        <v>0</v>
      </c>
      <c r="HK25" s="34">
        <v>0</v>
      </c>
      <c r="HL25" s="34">
        <v>0</v>
      </c>
      <c r="HM25" s="34">
        <v>0</v>
      </c>
      <c r="HN25" s="34">
        <v>0</v>
      </c>
      <c r="HO25" s="34">
        <v>0</v>
      </c>
      <c r="HP25" s="34">
        <v>0</v>
      </c>
      <c r="HQ25" s="34">
        <v>0</v>
      </c>
      <c r="HR25" s="34">
        <v>0</v>
      </c>
      <c r="HS25" s="34">
        <v>0</v>
      </c>
      <c r="HT25" s="34">
        <v>0</v>
      </c>
      <c r="HU25" s="34">
        <v>0</v>
      </c>
      <c r="HV25" s="34">
        <v>0</v>
      </c>
      <c r="HW25" s="34">
        <v>0</v>
      </c>
      <c r="HX25" s="34">
        <v>0</v>
      </c>
      <c r="HY25" s="34">
        <v>0</v>
      </c>
      <c r="HZ25" s="34">
        <v>0</v>
      </c>
      <c r="IA25" s="34">
        <v>0</v>
      </c>
      <c r="IB25" s="34">
        <v>0</v>
      </c>
      <c r="IC25" s="34">
        <v>0</v>
      </c>
      <c r="ID25" s="34">
        <v>0</v>
      </c>
      <c r="IE25" s="34">
        <v>0</v>
      </c>
      <c r="IF25" s="34">
        <v>0</v>
      </c>
      <c r="IG25" s="34">
        <v>0</v>
      </c>
    </row>
    <row r="26" spans="1:241" x14ac:dyDescent="0.3">
      <c r="A26" s="35" t="s">
        <v>299</v>
      </c>
      <c r="B26" s="38"/>
      <c r="C26" s="35">
        <f>COUNTIF(C4:C25,"&gt;0")</f>
        <v>1</v>
      </c>
      <c r="D26" s="35">
        <f t="shared" ref="D26:BO26" si="1">COUNTIF(D4:D25,"&gt;0")</f>
        <v>1</v>
      </c>
      <c r="E26" s="35">
        <f t="shared" si="1"/>
        <v>1</v>
      </c>
      <c r="F26" s="35">
        <f t="shared" si="1"/>
        <v>1</v>
      </c>
      <c r="G26" s="35">
        <f t="shared" si="1"/>
        <v>1</v>
      </c>
      <c r="H26" s="35">
        <f t="shared" si="1"/>
        <v>1</v>
      </c>
      <c r="I26" s="35">
        <f t="shared" si="1"/>
        <v>1</v>
      </c>
      <c r="J26" s="35">
        <f t="shared" si="1"/>
        <v>1</v>
      </c>
      <c r="K26" s="35">
        <f t="shared" si="1"/>
        <v>1</v>
      </c>
      <c r="L26" s="35">
        <f t="shared" si="1"/>
        <v>1</v>
      </c>
      <c r="M26" s="35">
        <f t="shared" si="1"/>
        <v>1</v>
      </c>
      <c r="N26" s="35">
        <f t="shared" si="1"/>
        <v>2</v>
      </c>
      <c r="O26" s="35">
        <f t="shared" si="1"/>
        <v>7</v>
      </c>
      <c r="P26" s="35">
        <f t="shared" si="1"/>
        <v>2</v>
      </c>
      <c r="Q26" s="35">
        <f t="shared" si="1"/>
        <v>1</v>
      </c>
      <c r="R26" s="35">
        <f t="shared" si="1"/>
        <v>1</v>
      </c>
      <c r="S26" s="35">
        <f t="shared" si="1"/>
        <v>1</v>
      </c>
      <c r="T26" s="35">
        <f t="shared" si="1"/>
        <v>1</v>
      </c>
      <c r="U26" s="35">
        <f t="shared" si="1"/>
        <v>1</v>
      </c>
      <c r="V26" s="35">
        <f t="shared" si="1"/>
        <v>1</v>
      </c>
      <c r="W26" s="35">
        <f t="shared" si="1"/>
        <v>1</v>
      </c>
      <c r="X26" s="35">
        <f t="shared" si="1"/>
        <v>1</v>
      </c>
      <c r="Y26" s="35">
        <f t="shared" si="1"/>
        <v>1</v>
      </c>
      <c r="Z26" s="35">
        <f t="shared" si="1"/>
        <v>1</v>
      </c>
      <c r="AA26" s="35">
        <f t="shared" si="1"/>
        <v>1</v>
      </c>
      <c r="AB26" s="35">
        <f t="shared" si="1"/>
        <v>3</v>
      </c>
      <c r="AC26" s="35">
        <f t="shared" si="1"/>
        <v>1</v>
      </c>
      <c r="AD26" s="35">
        <f t="shared" si="1"/>
        <v>1</v>
      </c>
      <c r="AE26" s="35">
        <f t="shared" si="1"/>
        <v>1</v>
      </c>
      <c r="AF26" s="35">
        <f t="shared" si="1"/>
        <v>2</v>
      </c>
      <c r="AG26" s="35">
        <f t="shared" si="1"/>
        <v>1</v>
      </c>
      <c r="AH26" s="35">
        <f t="shared" si="1"/>
        <v>1</v>
      </c>
      <c r="AI26" s="35">
        <f t="shared" si="1"/>
        <v>1</v>
      </c>
      <c r="AJ26" s="35">
        <f t="shared" si="1"/>
        <v>6</v>
      </c>
      <c r="AK26" s="35">
        <f t="shared" si="1"/>
        <v>1</v>
      </c>
      <c r="AL26" s="35">
        <f t="shared" si="1"/>
        <v>2</v>
      </c>
      <c r="AM26" s="35">
        <f t="shared" si="1"/>
        <v>2</v>
      </c>
      <c r="AN26" s="35">
        <f t="shared" si="1"/>
        <v>2</v>
      </c>
      <c r="AO26" s="35">
        <f t="shared" si="1"/>
        <v>1</v>
      </c>
      <c r="AP26" s="35">
        <f t="shared" si="1"/>
        <v>1</v>
      </c>
      <c r="AQ26" s="35">
        <f t="shared" si="1"/>
        <v>1</v>
      </c>
      <c r="AR26" s="35">
        <f t="shared" si="1"/>
        <v>1</v>
      </c>
      <c r="AS26" s="35">
        <f t="shared" si="1"/>
        <v>1</v>
      </c>
      <c r="AT26" s="35">
        <f t="shared" si="1"/>
        <v>1</v>
      </c>
      <c r="AU26" s="35">
        <f t="shared" si="1"/>
        <v>3</v>
      </c>
      <c r="AV26" s="35">
        <f t="shared" si="1"/>
        <v>1</v>
      </c>
      <c r="AW26" s="35">
        <f t="shared" si="1"/>
        <v>2</v>
      </c>
      <c r="AX26" s="35">
        <f t="shared" si="1"/>
        <v>1</v>
      </c>
      <c r="AY26" s="35">
        <f t="shared" si="1"/>
        <v>1</v>
      </c>
      <c r="AZ26" s="35">
        <f t="shared" si="1"/>
        <v>1</v>
      </c>
      <c r="BA26" s="35">
        <f t="shared" si="1"/>
        <v>1</v>
      </c>
      <c r="BB26" s="35">
        <f t="shared" si="1"/>
        <v>1</v>
      </c>
      <c r="BC26" s="35">
        <f t="shared" si="1"/>
        <v>1</v>
      </c>
      <c r="BD26" s="35">
        <f t="shared" si="1"/>
        <v>1</v>
      </c>
      <c r="BE26" s="35">
        <f t="shared" si="1"/>
        <v>1</v>
      </c>
      <c r="BF26" s="35">
        <f t="shared" si="1"/>
        <v>1</v>
      </c>
      <c r="BG26" s="35">
        <f t="shared" si="1"/>
        <v>1</v>
      </c>
      <c r="BH26" s="35">
        <f t="shared" si="1"/>
        <v>1</v>
      </c>
      <c r="BI26" s="35">
        <f t="shared" si="1"/>
        <v>1</v>
      </c>
      <c r="BJ26" s="35">
        <f t="shared" si="1"/>
        <v>1</v>
      </c>
      <c r="BK26" s="35">
        <f t="shared" si="1"/>
        <v>1</v>
      </c>
      <c r="BL26" s="35">
        <f t="shared" si="1"/>
        <v>1</v>
      </c>
      <c r="BM26" s="35">
        <f t="shared" si="1"/>
        <v>1</v>
      </c>
      <c r="BN26" s="35">
        <f t="shared" si="1"/>
        <v>1</v>
      </c>
      <c r="BO26" s="35">
        <f t="shared" si="1"/>
        <v>1</v>
      </c>
      <c r="BP26" s="35">
        <f t="shared" ref="BP26:EA26" si="2">COUNTIF(BP4:BP25,"&gt;0")</f>
        <v>1</v>
      </c>
      <c r="BQ26" s="35">
        <f t="shared" si="2"/>
        <v>2</v>
      </c>
      <c r="BR26" s="35">
        <f t="shared" si="2"/>
        <v>2</v>
      </c>
      <c r="BS26" s="35">
        <f t="shared" si="2"/>
        <v>1</v>
      </c>
      <c r="BT26" s="35">
        <f t="shared" si="2"/>
        <v>3</v>
      </c>
      <c r="BU26" s="35">
        <f t="shared" si="2"/>
        <v>1</v>
      </c>
      <c r="BV26" s="35">
        <f t="shared" si="2"/>
        <v>1</v>
      </c>
      <c r="BW26" s="35">
        <f t="shared" si="2"/>
        <v>2</v>
      </c>
      <c r="BX26" s="35">
        <f t="shared" si="2"/>
        <v>1</v>
      </c>
      <c r="BY26" s="35">
        <f t="shared" si="2"/>
        <v>2</v>
      </c>
      <c r="BZ26" s="35">
        <f t="shared" si="2"/>
        <v>2</v>
      </c>
      <c r="CA26" s="35">
        <f t="shared" si="2"/>
        <v>2</v>
      </c>
      <c r="CB26" s="35">
        <f t="shared" si="2"/>
        <v>1</v>
      </c>
      <c r="CC26" s="35">
        <f t="shared" si="2"/>
        <v>1</v>
      </c>
      <c r="CD26" s="35">
        <f t="shared" si="2"/>
        <v>1</v>
      </c>
      <c r="CE26" s="35">
        <f t="shared" si="2"/>
        <v>1</v>
      </c>
      <c r="CF26" s="35">
        <f t="shared" si="2"/>
        <v>1</v>
      </c>
      <c r="CG26" s="35">
        <f t="shared" si="2"/>
        <v>1</v>
      </c>
      <c r="CH26" s="35">
        <f t="shared" si="2"/>
        <v>1</v>
      </c>
      <c r="CI26" s="35">
        <f t="shared" si="2"/>
        <v>1</v>
      </c>
      <c r="CJ26" s="35">
        <f t="shared" si="2"/>
        <v>1</v>
      </c>
      <c r="CK26" s="35">
        <f t="shared" si="2"/>
        <v>1</v>
      </c>
      <c r="CL26" s="35">
        <f t="shared" si="2"/>
        <v>1</v>
      </c>
      <c r="CM26" s="35">
        <f t="shared" si="2"/>
        <v>3</v>
      </c>
      <c r="CN26" s="35">
        <f t="shared" si="2"/>
        <v>3</v>
      </c>
      <c r="CO26" s="35">
        <f t="shared" si="2"/>
        <v>1</v>
      </c>
      <c r="CP26" s="35">
        <f t="shared" si="2"/>
        <v>1</v>
      </c>
      <c r="CQ26" s="35">
        <f t="shared" si="2"/>
        <v>1</v>
      </c>
      <c r="CR26" s="35">
        <f t="shared" si="2"/>
        <v>4</v>
      </c>
      <c r="CS26" s="35">
        <f t="shared" si="2"/>
        <v>1</v>
      </c>
      <c r="CT26" s="35">
        <f t="shared" si="2"/>
        <v>1</v>
      </c>
      <c r="CU26" s="35">
        <f t="shared" si="2"/>
        <v>1</v>
      </c>
      <c r="CV26" s="35">
        <f t="shared" si="2"/>
        <v>1</v>
      </c>
      <c r="CW26" s="35">
        <f t="shared" si="2"/>
        <v>2</v>
      </c>
      <c r="CX26" s="35">
        <f t="shared" si="2"/>
        <v>1</v>
      </c>
      <c r="CY26" s="35">
        <f t="shared" si="2"/>
        <v>1</v>
      </c>
      <c r="CZ26" s="35">
        <f t="shared" si="2"/>
        <v>1</v>
      </c>
      <c r="DA26" s="35">
        <f t="shared" si="2"/>
        <v>1</v>
      </c>
      <c r="DB26" s="35">
        <f t="shared" si="2"/>
        <v>1</v>
      </c>
      <c r="DC26" s="35">
        <f t="shared" si="2"/>
        <v>1</v>
      </c>
      <c r="DD26" s="35">
        <f t="shared" si="2"/>
        <v>1</v>
      </c>
      <c r="DE26" s="35">
        <f t="shared" si="2"/>
        <v>1</v>
      </c>
      <c r="DF26" s="35">
        <f t="shared" si="2"/>
        <v>1</v>
      </c>
      <c r="DG26" s="35">
        <f t="shared" si="2"/>
        <v>1</v>
      </c>
      <c r="DH26" s="35">
        <f t="shared" si="2"/>
        <v>1</v>
      </c>
      <c r="DI26" s="35">
        <f t="shared" si="2"/>
        <v>1</v>
      </c>
      <c r="DJ26" s="35">
        <f t="shared" si="2"/>
        <v>1</v>
      </c>
      <c r="DK26" s="35">
        <f t="shared" si="2"/>
        <v>1</v>
      </c>
      <c r="DL26" s="35">
        <f t="shared" si="2"/>
        <v>1</v>
      </c>
      <c r="DM26" s="35">
        <f t="shared" si="2"/>
        <v>1</v>
      </c>
      <c r="DN26" s="35">
        <f t="shared" si="2"/>
        <v>1</v>
      </c>
      <c r="DO26" s="35">
        <f t="shared" si="2"/>
        <v>1</v>
      </c>
      <c r="DP26" s="35">
        <f t="shared" si="2"/>
        <v>1</v>
      </c>
      <c r="DQ26" s="35">
        <f t="shared" si="2"/>
        <v>3</v>
      </c>
      <c r="DR26" s="35">
        <f t="shared" si="2"/>
        <v>2</v>
      </c>
      <c r="DS26" s="35">
        <f t="shared" si="2"/>
        <v>1</v>
      </c>
      <c r="DT26" s="35">
        <f t="shared" si="2"/>
        <v>1</v>
      </c>
      <c r="DU26" s="35">
        <f t="shared" si="2"/>
        <v>1</v>
      </c>
      <c r="DV26" s="35">
        <f t="shared" si="2"/>
        <v>2</v>
      </c>
      <c r="DW26" s="35">
        <f t="shared" si="2"/>
        <v>2</v>
      </c>
      <c r="DX26" s="35">
        <f t="shared" si="2"/>
        <v>1</v>
      </c>
      <c r="DY26" s="35">
        <f t="shared" si="2"/>
        <v>1</v>
      </c>
      <c r="DZ26" s="35">
        <f t="shared" si="2"/>
        <v>1</v>
      </c>
      <c r="EA26" s="35">
        <f t="shared" si="2"/>
        <v>1</v>
      </c>
      <c r="EB26" s="35">
        <f t="shared" ref="EB26:GM26" si="3">COUNTIF(EB4:EB25,"&gt;0")</f>
        <v>1</v>
      </c>
      <c r="EC26" s="35">
        <f t="shared" si="3"/>
        <v>1</v>
      </c>
      <c r="ED26" s="35">
        <f t="shared" si="3"/>
        <v>1</v>
      </c>
      <c r="EE26" s="35">
        <f t="shared" si="3"/>
        <v>1</v>
      </c>
      <c r="EF26" s="35">
        <f t="shared" si="3"/>
        <v>1</v>
      </c>
      <c r="EG26" s="35">
        <f t="shared" si="3"/>
        <v>2</v>
      </c>
      <c r="EH26" s="35">
        <f t="shared" si="3"/>
        <v>1</v>
      </c>
      <c r="EI26" s="35">
        <f t="shared" si="3"/>
        <v>4</v>
      </c>
      <c r="EJ26" s="35">
        <f t="shared" si="3"/>
        <v>1</v>
      </c>
      <c r="EK26" s="35">
        <f t="shared" si="3"/>
        <v>1</v>
      </c>
      <c r="EL26" s="35">
        <f t="shared" si="3"/>
        <v>11</v>
      </c>
      <c r="EM26" s="35">
        <f t="shared" si="3"/>
        <v>2</v>
      </c>
      <c r="EN26" s="35">
        <f t="shared" si="3"/>
        <v>1</v>
      </c>
      <c r="EO26" s="35">
        <f t="shared" si="3"/>
        <v>1</v>
      </c>
      <c r="EP26" s="35">
        <f t="shared" si="3"/>
        <v>1</v>
      </c>
      <c r="EQ26" s="35">
        <f t="shared" si="3"/>
        <v>1</v>
      </c>
      <c r="ER26" s="35">
        <f t="shared" si="3"/>
        <v>1</v>
      </c>
      <c r="ES26" s="35">
        <f t="shared" si="3"/>
        <v>1</v>
      </c>
      <c r="ET26" s="35">
        <f t="shared" si="3"/>
        <v>1</v>
      </c>
      <c r="EU26" s="35">
        <f t="shared" si="3"/>
        <v>2</v>
      </c>
      <c r="EV26" s="35">
        <f t="shared" si="3"/>
        <v>1</v>
      </c>
      <c r="EW26" s="35">
        <f t="shared" si="3"/>
        <v>1</v>
      </c>
      <c r="EX26" s="35">
        <f t="shared" si="3"/>
        <v>1</v>
      </c>
      <c r="EY26" s="35">
        <f t="shared" si="3"/>
        <v>1</v>
      </c>
      <c r="EZ26" s="35">
        <f t="shared" si="3"/>
        <v>4</v>
      </c>
      <c r="FA26" s="35">
        <f t="shared" si="3"/>
        <v>1</v>
      </c>
      <c r="FB26" s="35">
        <f t="shared" si="3"/>
        <v>2</v>
      </c>
      <c r="FC26" s="35">
        <f t="shared" si="3"/>
        <v>1</v>
      </c>
      <c r="FD26" s="35">
        <f t="shared" si="3"/>
        <v>1</v>
      </c>
      <c r="FE26" s="35">
        <f t="shared" si="3"/>
        <v>8</v>
      </c>
      <c r="FF26" s="35">
        <f t="shared" si="3"/>
        <v>2</v>
      </c>
      <c r="FG26" s="35">
        <f t="shared" si="3"/>
        <v>1</v>
      </c>
      <c r="FH26" s="35">
        <f t="shared" si="3"/>
        <v>1</v>
      </c>
      <c r="FI26" s="35">
        <f t="shared" si="3"/>
        <v>2</v>
      </c>
      <c r="FJ26" s="35">
        <f t="shared" si="3"/>
        <v>1</v>
      </c>
      <c r="FK26" s="35">
        <f t="shared" si="3"/>
        <v>1</v>
      </c>
      <c r="FL26" s="35">
        <f t="shared" si="3"/>
        <v>1</v>
      </c>
      <c r="FM26" s="35">
        <f t="shared" si="3"/>
        <v>2</v>
      </c>
      <c r="FN26" s="35">
        <f t="shared" si="3"/>
        <v>1</v>
      </c>
      <c r="FO26" s="35">
        <f t="shared" si="3"/>
        <v>1</v>
      </c>
      <c r="FP26" s="35">
        <f t="shared" si="3"/>
        <v>1</v>
      </c>
      <c r="FQ26" s="35">
        <f t="shared" si="3"/>
        <v>3</v>
      </c>
      <c r="FR26" s="35">
        <f t="shared" si="3"/>
        <v>1</v>
      </c>
      <c r="FS26" s="35">
        <f t="shared" si="3"/>
        <v>2</v>
      </c>
      <c r="FT26" s="35">
        <f t="shared" si="3"/>
        <v>1</v>
      </c>
      <c r="FU26" s="35">
        <f t="shared" si="3"/>
        <v>1</v>
      </c>
      <c r="FV26" s="35">
        <f t="shared" si="3"/>
        <v>3</v>
      </c>
      <c r="FW26" s="35">
        <f t="shared" si="3"/>
        <v>2</v>
      </c>
      <c r="FX26" s="35">
        <f t="shared" si="3"/>
        <v>1</v>
      </c>
      <c r="FY26" s="35">
        <f t="shared" si="3"/>
        <v>1</v>
      </c>
      <c r="FZ26" s="35">
        <f t="shared" si="3"/>
        <v>1</v>
      </c>
      <c r="GA26" s="35">
        <f t="shared" si="3"/>
        <v>1</v>
      </c>
      <c r="GB26" s="35">
        <f t="shared" si="3"/>
        <v>1</v>
      </c>
      <c r="GC26" s="35">
        <f t="shared" si="3"/>
        <v>1</v>
      </c>
      <c r="GD26" s="35">
        <f t="shared" si="3"/>
        <v>1</v>
      </c>
      <c r="GE26" s="35">
        <f t="shared" si="3"/>
        <v>1</v>
      </c>
      <c r="GF26" s="35">
        <f t="shared" si="3"/>
        <v>1</v>
      </c>
      <c r="GG26" s="35">
        <f t="shared" si="3"/>
        <v>1</v>
      </c>
      <c r="GH26" s="35">
        <f t="shared" si="3"/>
        <v>1</v>
      </c>
      <c r="GI26" s="35">
        <f t="shared" si="3"/>
        <v>1</v>
      </c>
      <c r="GJ26" s="35">
        <f t="shared" si="3"/>
        <v>1</v>
      </c>
      <c r="GK26" s="35">
        <f t="shared" si="3"/>
        <v>1</v>
      </c>
      <c r="GL26" s="35">
        <f t="shared" si="3"/>
        <v>1</v>
      </c>
      <c r="GM26" s="35">
        <f t="shared" si="3"/>
        <v>1</v>
      </c>
      <c r="GN26" s="35">
        <f t="shared" ref="GN26:IG26" si="4">COUNTIF(GN4:GN25,"&gt;0")</f>
        <v>1</v>
      </c>
      <c r="GO26" s="35">
        <f t="shared" si="4"/>
        <v>1</v>
      </c>
      <c r="GP26" s="35">
        <f t="shared" si="4"/>
        <v>1</v>
      </c>
      <c r="GQ26" s="35">
        <f t="shared" si="4"/>
        <v>1</v>
      </c>
      <c r="GR26" s="35">
        <f t="shared" si="4"/>
        <v>1</v>
      </c>
      <c r="GS26" s="35">
        <f t="shared" si="4"/>
        <v>2</v>
      </c>
      <c r="GT26" s="35">
        <f t="shared" si="4"/>
        <v>2</v>
      </c>
      <c r="GU26" s="35">
        <f t="shared" si="4"/>
        <v>1</v>
      </c>
      <c r="GV26" s="35">
        <f t="shared" si="4"/>
        <v>1</v>
      </c>
      <c r="GW26" s="35">
        <f t="shared" si="4"/>
        <v>1</v>
      </c>
      <c r="GX26" s="35">
        <f t="shared" si="4"/>
        <v>1</v>
      </c>
      <c r="GY26" s="35">
        <f t="shared" si="4"/>
        <v>1</v>
      </c>
      <c r="GZ26" s="35">
        <f t="shared" si="4"/>
        <v>1</v>
      </c>
      <c r="HA26" s="35">
        <f t="shared" si="4"/>
        <v>1</v>
      </c>
      <c r="HB26" s="35">
        <f t="shared" si="4"/>
        <v>1</v>
      </c>
      <c r="HC26" s="35">
        <f t="shared" si="4"/>
        <v>1</v>
      </c>
      <c r="HD26" s="35">
        <f t="shared" si="4"/>
        <v>1</v>
      </c>
      <c r="HE26" s="35">
        <f t="shared" si="4"/>
        <v>1</v>
      </c>
      <c r="HF26" s="35">
        <f t="shared" si="4"/>
        <v>1</v>
      </c>
      <c r="HG26" s="35">
        <f t="shared" si="4"/>
        <v>1</v>
      </c>
      <c r="HH26" s="35">
        <f t="shared" si="4"/>
        <v>1</v>
      </c>
      <c r="HI26" s="35">
        <f t="shared" si="4"/>
        <v>1</v>
      </c>
      <c r="HJ26" s="35">
        <f t="shared" si="4"/>
        <v>1</v>
      </c>
      <c r="HK26" s="35">
        <f t="shared" si="4"/>
        <v>1</v>
      </c>
      <c r="HL26" s="35">
        <f t="shared" si="4"/>
        <v>1</v>
      </c>
      <c r="HM26" s="35">
        <f t="shared" si="4"/>
        <v>1</v>
      </c>
      <c r="HN26" s="35">
        <f t="shared" si="4"/>
        <v>1</v>
      </c>
      <c r="HO26" s="35">
        <f t="shared" si="4"/>
        <v>1</v>
      </c>
      <c r="HP26" s="35">
        <f t="shared" si="4"/>
        <v>1</v>
      </c>
      <c r="HQ26" s="35">
        <f t="shared" si="4"/>
        <v>1</v>
      </c>
      <c r="HR26" s="35">
        <f t="shared" si="4"/>
        <v>1</v>
      </c>
      <c r="HS26" s="35">
        <f t="shared" si="4"/>
        <v>1</v>
      </c>
      <c r="HT26" s="35">
        <f t="shared" si="4"/>
        <v>1</v>
      </c>
      <c r="HU26" s="35">
        <f t="shared" si="4"/>
        <v>1</v>
      </c>
      <c r="HV26" s="35">
        <f t="shared" si="4"/>
        <v>1</v>
      </c>
      <c r="HW26" s="35">
        <f t="shared" si="4"/>
        <v>1</v>
      </c>
      <c r="HX26" s="35">
        <f t="shared" si="4"/>
        <v>1</v>
      </c>
      <c r="HY26" s="35">
        <f t="shared" si="4"/>
        <v>1</v>
      </c>
      <c r="HZ26" s="35">
        <f t="shared" si="4"/>
        <v>1</v>
      </c>
      <c r="IA26" s="35">
        <f t="shared" si="4"/>
        <v>2</v>
      </c>
      <c r="IB26" s="35">
        <f t="shared" si="4"/>
        <v>1</v>
      </c>
      <c r="IC26" s="35">
        <f t="shared" si="4"/>
        <v>1</v>
      </c>
      <c r="ID26" s="35">
        <f t="shared" si="4"/>
        <v>1</v>
      </c>
      <c r="IE26" s="35">
        <f t="shared" si="4"/>
        <v>2</v>
      </c>
      <c r="IF26" s="35">
        <f t="shared" si="4"/>
        <v>3</v>
      </c>
      <c r="IG26" s="35">
        <f t="shared" si="4"/>
        <v>1</v>
      </c>
    </row>
    <row r="27" spans="1:241" x14ac:dyDescent="0.3">
      <c r="A27" s="35" t="s">
        <v>298</v>
      </c>
      <c r="B27" s="38"/>
      <c r="C27" s="41">
        <f>LN($B$30/C26)</f>
        <v>3.0910424533583161</v>
      </c>
      <c r="D27" s="41">
        <f t="shared" ref="D27:BO27" si="5">LN($B$30/D26)</f>
        <v>3.0910424533583161</v>
      </c>
      <c r="E27" s="41">
        <f t="shared" si="5"/>
        <v>3.0910424533583161</v>
      </c>
      <c r="F27" s="41">
        <f t="shared" si="5"/>
        <v>3.0910424533583161</v>
      </c>
      <c r="G27" s="41">
        <f t="shared" si="5"/>
        <v>3.0910424533583161</v>
      </c>
      <c r="H27" s="41">
        <f t="shared" si="5"/>
        <v>3.0910424533583161</v>
      </c>
      <c r="I27" s="41">
        <f t="shared" si="5"/>
        <v>3.0910424533583161</v>
      </c>
      <c r="J27" s="41">
        <f t="shared" si="5"/>
        <v>3.0910424533583161</v>
      </c>
      <c r="K27" s="41">
        <f t="shared" si="5"/>
        <v>3.0910424533583161</v>
      </c>
      <c r="L27" s="41">
        <f t="shared" si="5"/>
        <v>3.0910424533583161</v>
      </c>
      <c r="M27" s="41">
        <f t="shared" si="5"/>
        <v>3.0910424533583161</v>
      </c>
      <c r="N27" s="41">
        <f t="shared" si="5"/>
        <v>2.3978952727983707</v>
      </c>
      <c r="O27" s="41">
        <f t="shared" si="5"/>
        <v>1.1451323043030026</v>
      </c>
      <c r="P27" s="41">
        <f t="shared" si="5"/>
        <v>2.3978952727983707</v>
      </c>
      <c r="Q27" s="41">
        <f t="shared" si="5"/>
        <v>3.0910424533583161</v>
      </c>
      <c r="R27" s="41">
        <f t="shared" si="5"/>
        <v>3.0910424533583161</v>
      </c>
      <c r="S27" s="41">
        <f t="shared" si="5"/>
        <v>3.0910424533583161</v>
      </c>
      <c r="T27" s="41">
        <f t="shared" si="5"/>
        <v>3.0910424533583161</v>
      </c>
      <c r="U27" s="41">
        <f t="shared" si="5"/>
        <v>3.0910424533583161</v>
      </c>
      <c r="V27" s="41">
        <f t="shared" si="5"/>
        <v>3.0910424533583161</v>
      </c>
      <c r="W27" s="41">
        <f t="shared" si="5"/>
        <v>3.0910424533583161</v>
      </c>
      <c r="X27" s="41">
        <f t="shared" si="5"/>
        <v>3.0910424533583161</v>
      </c>
      <c r="Y27" s="41">
        <f t="shared" si="5"/>
        <v>3.0910424533583161</v>
      </c>
      <c r="Z27" s="41">
        <f t="shared" si="5"/>
        <v>3.0910424533583161</v>
      </c>
      <c r="AA27" s="41">
        <f t="shared" si="5"/>
        <v>3.0910424533583161</v>
      </c>
      <c r="AB27" s="41">
        <f t="shared" si="5"/>
        <v>1.9924301646902061</v>
      </c>
      <c r="AC27" s="41">
        <f t="shared" si="5"/>
        <v>3.0910424533583161</v>
      </c>
      <c r="AD27" s="41">
        <f t="shared" si="5"/>
        <v>3.0910424533583161</v>
      </c>
      <c r="AE27" s="41">
        <f t="shared" si="5"/>
        <v>3.0910424533583161</v>
      </c>
      <c r="AF27" s="41">
        <f t="shared" si="5"/>
        <v>2.3978952727983707</v>
      </c>
      <c r="AG27" s="41">
        <f t="shared" si="5"/>
        <v>3.0910424533583161</v>
      </c>
      <c r="AH27" s="41">
        <f t="shared" si="5"/>
        <v>3.0910424533583161</v>
      </c>
      <c r="AI27" s="41">
        <f t="shared" si="5"/>
        <v>3.0910424533583161</v>
      </c>
      <c r="AJ27" s="41">
        <f t="shared" si="5"/>
        <v>1.2992829841302609</v>
      </c>
      <c r="AK27" s="41">
        <f t="shared" si="5"/>
        <v>3.0910424533583161</v>
      </c>
      <c r="AL27" s="41">
        <f t="shared" si="5"/>
        <v>2.3978952727983707</v>
      </c>
      <c r="AM27" s="41">
        <f t="shared" si="5"/>
        <v>2.3978952727983707</v>
      </c>
      <c r="AN27" s="41">
        <f t="shared" si="5"/>
        <v>2.3978952727983707</v>
      </c>
      <c r="AO27" s="41">
        <f t="shared" si="5"/>
        <v>3.0910424533583161</v>
      </c>
      <c r="AP27" s="41">
        <f t="shared" si="5"/>
        <v>3.0910424533583161</v>
      </c>
      <c r="AQ27" s="41">
        <f t="shared" si="5"/>
        <v>3.0910424533583161</v>
      </c>
      <c r="AR27" s="41">
        <f t="shared" si="5"/>
        <v>3.0910424533583161</v>
      </c>
      <c r="AS27" s="41">
        <f t="shared" si="5"/>
        <v>3.0910424533583161</v>
      </c>
      <c r="AT27" s="41">
        <f t="shared" si="5"/>
        <v>3.0910424533583161</v>
      </c>
      <c r="AU27" s="41">
        <f t="shared" si="5"/>
        <v>1.9924301646902061</v>
      </c>
      <c r="AV27" s="41">
        <f t="shared" si="5"/>
        <v>3.0910424533583161</v>
      </c>
      <c r="AW27" s="41">
        <f t="shared" si="5"/>
        <v>2.3978952727983707</v>
      </c>
      <c r="AX27" s="41">
        <f t="shared" si="5"/>
        <v>3.0910424533583161</v>
      </c>
      <c r="AY27" s="41">
        <f t="shared" si="5"/>
        <v>3.0910424533583161</v>
      </c>
      <c r="AZ27" s="41">
        <f t="shared" si="5"/>
        <v>3.0910424533583161</v>
      </c>
      <c r="BA27" s="41">
        <f t="shared" si="5"/>
        <v>3.0910424533583161</v>
      </c>
      <c r="BB27" s="41">
        <f t="shared" si="5"/>
        <v>3.0910424533583161</v>
      </c>
      <c r="BC27" s="41">
        <f t="shared" si="5"/>
        <v>3.0910424533583161</v>
      </c>
      <c r="BD27" s="41">
        <f t="shared" si="5"/>
        <v>3.0910424533583161</v>
      </c>
      <c r="BE27" s="41">
        <f t="shared" si="5"/>
        <v>3.0910424533583161</v>
      </c>
      <c r="BF27" s="41">
        <f t="shared" si="5"/>
        <v>3.0910424533583161</v>
      </c>
      <c r="BG27" s="41">
        <f t="shared" si="5"/>
        <v>3.0910424533583161</v>
      </c>
      <c r="BH27" s="41">
        <f t="shared" si="5"/>
        <v>3.0910424533583161</v>
      </c>
      <c r="BI27" s="41">
        <f t="shared" si="5"/>
        <v>3.0910424533583161</v>
      </c>
      <c r="BJ27" s="41">
        <f t="shared" si="5"/>
        <v>3.0910424533583161</v>
      </c>
      <c r="BK27" s="41">
        <f t="shared" si="5"/>
        <v>3.0910424533583161</v>
      </c>
      <c r="BL27" s="41">
        <f t="shared" si="5"/>
        <v>3.0910424533583161</v>
      </c>
      <c r="BM27" s="41">
        <f t="shared" si="5"/>
        <v>3.0910424533583161</v>
      </c>
      <c r="BN27" s="41">
        <f t="shared" si="5"/>
        <v>3.0910424533583161</v>
      </c>
      <c r="BO27" s="41">
        <f t="shared" si="5"/>
        <v>3.0910424533583161</v>
      </c>
      <c r="BP27" s="41">
        <f t="shared" ref="BP27:EA27" si="6">LN($B$30/BP26)</f>
        <v>3.0910424533583161</v>
      </c>
      <c r="BQ27" s="41">
        <f t="shared" si="6"/>
        <v>2.3978952727983707</v>
      </c>
      <c r="BR27" s="41">
        <f t="shared" si="6"/>
        <v>2.3978952727983707</v>
      </c>
      <c r="BS27" s="41">
        <f t="shared" si="6"/>
        <v>3.0910424533583161</v>
      </c>
      <c r="BT27" s="41">
        <f t="shared" si="6"/>
        <v>1.9924301646902061</v>
      </c>
      <c r="BU27" s="41">
        <f t="shared" si="6"/>
        <v>3.0910424533583161</v>
      </c>
      <c r="BV27" s="41">
        <f t="shared" si="6"/>
        <v>3.0910424533583161</v>
      </c>
      <c r="BW27" s="41">
        <f t="shared" si="6"/>
        <v>2.3978952727983707</v>
      </c>
      <c r="BX27" s="41">
        <f t="shared" si="6"/>
        <v>3.0910424533583161</v>
      </c>
      <c r="BY27" s="41">
        <f t="shared" si="6"/>
        <v>2.3978952727983707</v>
      </c>
      <c r="BZ27" s="41">
        <f t="shared" si="6"/>
        <v>2.3978952727983707</v>
      </c>
      <c r="CA27" s="41">
        <f t="shared" si="6"/>
        <v>2.3978952727983707</v>
      </c>
      <c r="CB27" s="41">
        <f t="shared" si="6"/>
        <v>3.0910424533583161</v>
      </c>
      <c r="CC27" s="41">
        <f t="shared" si="6"/>
        <v>3.0910424533583161</v>
      </c>
      <c r="CD27" s="41">
        <f t="shared" si="6"/>
        <v>3.0910424533583161</v>
      </c>
      <c r="CE27" s="41">
        <f t="shared" si="6"/>
        <v>3.0910424533583161</v>
      </c>
      <c r="CF27" s="41">
        <f t="shared" si="6"/>
        <v>3.0910424533583161</v>
      </c>
      <c r="CG27" s="41">
        <f t="shared" si="6"/>
        <v>3.0910424533583161</v>
      </c>
      <c r="CH27" s="41">
        <f t="shared" si="6"/>
        <v>3.0910424533583161</v>
      </c>
      <c r="CI27" s="41">
        <f t="shared" si="6"/>
        <v>3.0910424533583161</v>
      </c>
      <c r="CJ27" s="41">
        <f t="shared" si="6"/>
        <v>3.0910424533583161</v>
      </c>
      <c r="CK27" s="41">
        <f t="shared" si="6"/>
        <v>3.0910424533583161</v>
      </c>
      <c r="CL27" s="41">
        <f t="shared" si="6"/>
        <v>3.0910424533583161</v>
      </c>
      <c r="CM27" s="41">
        <f t="shared" si="6"/>
        <v>1.9924301646902061</v>
      </c>
      <c r="CN27" s="41">
        <f t="shared" si="6"/>
        <v>1.9924301646902061</v>
      </c>
      <c r="CO27" s="41">
        <f t="shared" si="6"/>
        <v>3.0910424533583161</v>
      </c>
      <c r="CP27" s="41">
        <f t="shared" si="6"/>
        <v>3.0910424533583161</v>
      </c>
      <c r="CQ27" s="41">
        <f t="shared" si="6"/>
        <v>3.0910424533583161</v>
      </c>
      <c r="CR27" s="41">
        <f t="shared" si="6"/>
        <v>1.7047480922384253</v>
      </c>
      <c r="CS27" s="41">
        <f t="shared" si="6"/>
        <v>3.0910424533583161</v>
      </c>
      <c r="CT27" s="41">
        <f t="shared" si="6"/>
        <v>3.0910424533583161</v>
      </c>
      <c r="CU27" s="41">
        <f t="shared" si="6"/>
        <v>3.0910424533583161</v>
      </c>
      <c r="CV27" s="41">
        <f t="shared" si="6"/>
        <v>3.0910424533583161</v>
      </c>
      <c r="CW27" s="41">
        <f t="shared" si="6"/>
        <v>2.3978952727983707</v>
      </c>
      <c r="CX27" s="41">
        <f t="shared" si="6"/>
        <v>3.0910424533583161</v>
      </c>
      <c r="CY27" s="41">
        <f t="shared" si="6"/>
        <v>3.0910424533583161</v>
      </c>
      <c r="CZ27" s="41">
        <f t="shared" si="6"/>
        <v>3.0910424533583161</v>
      </c>
      <c r="DA27" s="41">
        <f t="shared" si="6"/>
        <v>3.0910424533583161</v>
      </c>
      <c r="DB27" s="41">
        <f t="shared" si="6"/>
        <v>3.0910424533583161</v>
      </c>
      <c r="DC27" s="41">
        <f t="shared" si="6"/>
        <v>3.0910424533583161</v>
      </c>
      <c r="DD27" s="41">
        <f t="shared" si="6"/>
        <v>3.0910424533583161</v>
      </c>
      <c r="DE27" s="41">
        <f t="shared" si="6"/>
        <v>3.0910424533583161</v>
      </c>
      <c r="DF27" s="41">
        <f t="shared" si="6"/>
        <v>3.0910424533583161</v>
      </c>
      <c r="DG27" s="41">
        <f t="shared" si="6"/>
        <v>3.0910424533583161</v>
      </c>
      <c r="DH27" s="41">
        <f t="shared" si="6"/>
        <v>3.0910424533583161</v>
      </c>
      <c r="DI27" s="41">
        <f t="shared" si="6"/>
        <v>3.0910424533583161</v>
      </c>
      <c r="DJ27" s="41">
        <f t="shared" si="6"/>
        <v>3.0910424533583161</v>
      </c>
      <c r="DK27" s="41">
        <f t="shared" si="6"/>
        <v>3.0910424533583161</v>
      </c>
      <c r="DL27" s="41">
        <f t="shared" si="6"/>
        <v>3.0910424533583161</v>
      </c>
      <c r="DM27" s="41">
        <f t="shared" si="6"/>
        <v>3.0910424533583161</v>
      </c>
      <c r="DN27" s="41">
        <f t="shared" si="6"/>
        <v>3.0910424533583161</v>
      </c>
      <c r="DO27" s="41">
        <f t="shared" si="6"/>
        <v>3.0910424533583161</v>
      </c>
      <c r="DP27" s="41">
        <f t="shared" si="6"/>
        <v>3.0910424533583161</v>
      </c>
      <c r="DQ27" s="41">
        <f t="shared" si="6"/>
        <v>1.9924301646902061</v>
      </c>
      <c r="DR27" s="41">
        <f t="shared" si="6"/>
        <v>2.3978952727983707</v>
      </c>
      <c r="DS27" s="41">
        <f t="shared" si="6"/>
        <v>3.0910424533583161</v>
      </c>
      <c r="DT27" s="41">
        <f t="shared" si="6"/>
        <v>3.0910424533583161</v>
      </c>
      <c r="DU27" s="41">
        <f t="shared" si="6"/>
        <v>3.0910424533583161</v>
      </c>
      <c r="DV27" s="41">
        <f t="shared" si="6"/>
        <v>2.3978952727983707</v>
      </c>
      <c r="DW27" s="41">
        <f t="shared" si="6"/>
        <v>2.3978952727983707</v>
      </c>
      <c r="DX27" s="41">
        <f t="shared" si="6"/>
        <v>3.0910424533583161</v>
      </c>
      <c r="DY27" s="41">
        <f t="shared" si="6"/>
        <v>3.0910424533583161</v>
      </c>
      <c r="DZ27" s="41">
        <f t="shared" si="6"/>
        <v>3.0910424533583161</v>
      </c>
      <c r="EA27" s="41">
        <f t="shared" si="6"/>
        <v>3.0910424533583161</v>
      </c>
      <c r="EB27" s="41">
        <f t="shared" ref="EB27:GM27" si="7">LN($B$30/EB26)</f>
        <v>3.0910424533583161</v>
      </c>
      <c r="EC27" s="41">
        <f t="shared" si="7"/>
        <v>3.0910424533583161</v>
      </c>
      <c r="ED27" s="41">
        <f t="shared" si="7"/>
        <v>3.0910424533583161</v>
      </c>
      <c r="EE27" s="41">
        <f t="shared" si="7"/>
        <v>3.0910424533583161</v>
      </c>
      <c r="EF27" s="41">
        <f t="shared" si="7"/>
        <v>3.0910424533583161</v>
      </c>
      <c r="EG27" s="41">
        <f t="shared" si="7"/>
        <v>2.3978952727983707</v>
      </c>
      <c r="EH27" s="41">
        <f t="shared" si="7"/>
        <v>3.0910424533583161</v>
      </c>
      <c r="EI27" s="41">
        <f t="shared" si="7"/>
        <v>1.7047480922384253</v>
      </c>
      <c r="EJ27" s="41">
        <f t="shared" si="7"/>
        <v>3.0910424533583161</v>
      </c>
      <c r="EK27" s="41">
        <f t="shared" si="7"/>
        <v>3.0910424533583161</v>
      </c>
      <c r="EL27" s="41">
        <f t="shared" si="7"/>
        <v>0.69314718055994529</v>
      </c>
      <c r="EM27" s="41">
        <f t="shared" si="7"/>
        <v>2.3978952727983707</v>
      </c>
      <c r="EN27" s="41">
        <f t="shared" si="7"/>
        <v>3.0910424533583161</v>
      </c>
      <c r="EO27" s="41">
        <f t="shared" si="7"/>
        <v>3.0910424533583161</v>
      </c>
      <c r="EP27" s="41">
        <f t="shared" si="7"/>
        <v>3.0910424533583161</v>
      </c>
      <c r="EQ27" s="41">
        <f t="shared" si="7"/>
        <v>3.0910424533583161</v>
      </c>
      <c r="ER27" s="41">
        <f t="shared" si="7"/>
        <v>3.0910424533583161</v>
      </c>
      <c r="ES27" s="41">
        <f t="shared" si="7"/>
        <v>3.0910424533583161</v>
      </c>
      <c r="ET27" s="41">
        <f t="shared" si="7"/>
        <v>3.0910424533583161</v>
      </c>
      <c r="EU27" s="41">
        <f t="shared" si="7"/>
        <v>2.3978952727983707</v>
      </c>
      <c r="EV27" s="41">
        <f t="shared" si="7"/>
        <v>3.0910424533583161</v>
      </c>
      <c r="EW27" s="41">
        <f t="shared" si="7"/>
        <v>3.0910424533583161</v>
      </c>
      <c r="EX27" s="41">
        <f t="shared" si="7"/>
        <v>3.0910424533583161</v>
      </c>
      <c r="EY27" s="41">
        <f t="shared" si="7"/>
        <v>3.0910424533583161</v>
      </c>
      <c r="EZ27" s="41">
        <f t="shared" si="7"/>
        <v>1.7047480922384253</v>
      </c>
      <c r="FA27" s="41">
        <f t="shared" si="7"/>
        <v>3.0910424533583161</v>
      </c>
      <c r="FB27" s="41">
        <f t="shared" si="7"/>
        <v>2.3978952727983707</v>
      </c>
      <c r="FC27" s="41">
        <f t="shared" si="7"/>
        <v>3.0910424533583161</v>
      </c>
      <c r="FD27" s="41">
        <f t="shared" si="7"/>
        <v>3.0910424533583161</v>
      </c>
      <c r="FE27" s="41">
        <f t="shared" si="7"/>
        <v>1.0116009116784799</v>
      </c>
      <c r="FF27" s="41">
        <f t="shared" si="7"/>
        <v>2.3978952727983707</v>
      </c>
      <c r="FG27" s="41">
        <f t="shared" si="7"/>
        <v>3.0910424533583161</v>
      </c>
      <c r="FH27" s="41">
        <f t="shared" si="7"/>
        <v>3.0910424533583161</v>
      </c>
      <c r="FI27" s="41">
        <f t="shared" si="7"/>
        <v>2.3978952727983707</v>
      </c>
      <c r="FJ27" s="41">
        <f t="shared" si="7"/>
        <v>3.0910424533583161</v>
      </c>
      <c r="FK27" s="41">
        <f t="shared" si="7"/>
        <v>3.0910424533583161</v>
      </c>
      <c r="FL27" s="41">
        <f t="shared" si="7"/>
        <v>3.0910424533583161</v>
      </c>
      <c r="FM27" s="41">
        <f t="shared" si="7"/>
        <v>2.3978952727983707</v>
      </c>
      <c r="FN27" s="41">
        <f t="shared" si="7"/>
        <v>3.0910424533583161</v>
      </c>
      <c r="FO27" s="41">
        <f t="shared" si="7"/>
        <v>3.0910424533583161</v>
      </c>
      <c r="FP27" s="41">
        <f t="shared" si="7"/>
        <v>3.0910424533583161</v>
      </c>
      <c r="FQ27" s="41">
        <f t="shared" si="7"/>
        <v>1.9924301646902061</v>
      </c>
      <c r="FR27" s="41">
        <f t="shared" si="7"/>
        <v>3.0910424533583161</v>
      </c>
      <c r="FS27" s="41">
        <f t="shared" si="7"/>
        <v>2.3978952727983707</v>
      </c>
      <c r="FT27" s="41">
        <f t="shared" si="7"/>
        <v>3.0910424533583161</v>
      </c>
      <c r="FU27" s="41">
        <f t="shared" si="7"/>
        <v>3.0910424533583161</v>
      </c>
      <c r="FV27" s="41">
        <f t="shared" si="7"/>
        <v>1.9924301646902061</v>
      </c>
      <c r="FW27" s="41">
        <f t="shared" si="7"/>
        <v>2.3978952727983707</v>
      </c>
      <c r="FX27" s="41">
        <f t="shared" si="7"/>
        <v>3.0910424533583161</v>
      </c>
      <c r="FY27" s="41">
        <f t="shared" si="7"/>
        <v>3.0910424533583161</v>
      </c>
      <c r="FZ27" s="41">
        <f t="shared" si="7"/>
        <v>3.0910424533583161</v>
      </c>
      <c r="GA27" s="41">
        <f t="shared" si="7"/>
        <v>3.0910424533583161</v>
      </c>
      <c r="GB27" s="41">
        <f t="shared" si="7"/>
        <v>3.0910424533583161</v>
      </c>
      <c r="GC27" s="41">
        <f t="shared" si="7"/>
        <v>3.0910424533583161</v>
      </c>
      <c r="GD27" s="41">
        <f t="shared" si="7"/>
        <v>3.0910424533583161</v>
      </c>
      <c r="GE27" s="41">
        <f t="shared" si="7"/>
        <v>3.0910424533583161</v>
      </c>
      <c r="GF27" s="41">
        <f t="shared" si="7"/>
        <v>3.0910424533583161</v>
      </c>
      <c r="GG27" s="41">
        <f t="shared" si="7"/>
        <v>3.0910424533583161</v>
      </c>
      <c r="GH27" s="41">
        <f t="shared" si="7"/>
        <v>3.0910424533583161</v>
      </c>
      <c r="GI27" s="41">
        <f t="shared" si="7"/>
        <v>3.0910424533583161</v>
      </c>
      <c r="GJ27" s="41">
        <f t="shared" si="7"/>
        <v>3.0910424533583161</v>
      </c>
      <c r="GK27" s="41">
        <f t="shared" si="7"/>
        <v>3.0910424533583161</v>
      </c>
      <c r="GL27" s="41">
        <f t="shared" si="7"/>
        <v>3.0910424533583161</v>
      </c>
      <c r="GM27" s="41">
        <f t="shared" si="7"/>
        <v>3.0910424533583161</v>
      </c>
      <c r="GN27" s="41">
        <f t="shared" ref="GN27:IG27" si="8">LN($B$30/GN26)</f>
        <v>3.0910424533583161</v>
      </c>
      <c r="GO27" s="41">
        <f t="shared" si="8"/>
        <v>3.0910424533583161</v>
      </c>
      <c r="GP27" s="41">
        <f t="shared" si="8"/>
        <v>3.0910424533583161</v>
      </c>
      <c r="GQ27" s="41">
        <f t="shared" si="8"/>
        <v>3.0910424533583161</v>
      </c>
      <c r="GR27" s="41">
        <f t="shared" si="8"/>
        <v>3.0910424533583161</v>
      </c>
      <c r="GS27" s="41">
        <f t="shared" si="8"/>
        <v>2.3978952727983707</v>
      </c>
      <c r="GT27" s="41">
        <f t="shared" si="8"/>
        <v>2.3978952727983707</v>
      </c>
      <c r="GU27" s="41">
        <f t="shared" si="8"/>
        <v>3.0910424533583161</v>
      </c>
      <c r="GV27" s="41">
        <f t="shared" si="8"/>
        <v>3.0910424533583161</v>
      </c>
      <c r="GW27" s="41">
        <f t="shared" si="8"/>
        <v>3.0910424533583161</v>
      </c>
      <c r="GX27" s="41">
        <f t="shared" si="8"/>
        <v>3.0910424533583161</v>
      </c>
      <c r="GY27" s="41">
        <f t="shared" si="8"/>
        <v>3.0910424533583161</v>
      </c>
      <c r="GZ27" s="41">
        <f t="shared" si="8"/>
        <v>3.0910424533583161</v>
      </c>
      <c r="HA27" s="41">
        <f t="shared" si="8"/>
        <v>3.0910424533583161</v>
      </c>
      <c r="HB27" s="41">
        <f t="shared" si="8"/>
        <v>3.0910424533583161</v>
      </c>
      <c r="HC27" s="41">
        <f t="shared" si="8"/>
        <v>3.0910424533583161</v>
      </c>
      <c r="HD27" s="41">
        <f t="shared" si="8"/>
        <v>3.0910424533583161</v>
      </c>
      <c r="HE27" s="41">
        <f t="shared" si="8"/>
        <v>3.0910424533583161</v>
      </c>
      <c r="HF27" s="41">
        <f t="shared" si="8"/>
        <v>3.0910424533583161</v>
      </c>
      <c r="HG27" s="41">
        <f t="shared" si="8"/>
        <v>3.0910424533583161</v>
      </c>
      <c r="HH27" s="41">
        <f t="shared" si="8"/>
        <v>3.0910424533583161</v>
      </c>
      <c r="HI27" s="41">
        <f t="shared" si="8"/>
        <v>3.0910424533583161</v>
      </c>
      <c r="HJ27" s="41">
        <f t="shared" si="8"/>
        <v>3.0910424533583161</v>
      </c>
      <c r="HK27" s="41">
        <f t="shared" si="8"/>
        <v>3.0910424533583161</v>
      </c>
      <c r="HL27" s="41">
        <f t="shared" si="8"/>
        <v>3.0910424533583161</v>
      </c>
      <c r="HM27" s="41">
        <f t="shared" si="8"/>
        <v>3.0910424533583161</v>
      </c>
      <c r="HN27" s="41">
        <f t="shared" si="8"/>
        <v>3.0910424533583161</v>
      </c>
      <c r="HO27" s="41">
        <f t="shared" si="8"/>
        <v>3.0910424533583161</v>
      </c>
      <c r="HP27" s="41">
        <f t="shared" si="8"/>
        <v>3.0910424533583161</v>
      </c>
      <c r="HQ27" s="41">
        <f t="shared" si="8"/>
        <v>3.0910424533583161</v>
      </c>
      <c r="HR27" s="41">
        <f t="shared" si="8"/>
        <v>3.0910424533583161</v>
      </c>
      <c r="HS27" s="41">
        <f t="shared" si="8"/>
        <v>3.0910424533583161</v>
      </c>
      <c r="HT27" s="41">
        <f t="shared" si="8"/>
        <v>3.0910424533583161</v>
      </c>
      <c r="HU27" s="41">
        <f t="shared" si="8"/>
        <v>3.0910424533583161</v>
      </c>
      <c r="HV27" s="41">
        <f t="shared" si="8"/>
        <v>3.0910424533583161</v>
      </c>
      <c r="HW27" s="41">
        <f t="shared" si="8"/>
        <v>3.0910424533583161</v>
      </c>
      <c r="HX27" s="41">
        <f t="shared" si="8"/>
        <v>3.0910424533583161</v>
      </c>
      <c r="HY27" s="41">
        <f t="shared" si="8"/>
        <v>3.0910424533583161</v>
      </c>
      <c r="HZ27" s="41">
        <f t="shared" si="8"/>
        <v>3.0910424533583161</v>
      </c>
      <c r="IA27" s="41">
        <f t="shared" si="8"/>
        <v>2.3978952727983707</v>
      </c>
      <c r="IB27" s="41">
        <f t="shared" si="8"/>
        <v>3.0910424533583161</v>
      </c>
      <c r="IC27" s="41">
        <f t="shared" si="8"/>
        <v>3.0910424533583161</v>
      </c>
      <c r="ID27" s="41">
        <f t="shared" si="8"/>
        <v>3.0910424533583161</v>
      </c>
      <c r="IE27" s="41">
        <f t="shared" si="8"/>
        <v>2.3978952727983707</v>
      </c>
      <c r="IF27" s="41">
        <f t="shared" si="8"/>
        <v>1.9924301646902061</v>
      </c>
      <c r="IG27" s="41">
        <f t="shared" si="8"/>
        <v>3.0910424533583161</v>
      </c>
    </row>
    <row r="28" spans="1:241" x14ac:dyDescent="0.3">
      <c r="A28" s="35" t="s">
        <v>306</v>
      </c>
      <c r="B28" s="38">
        <f t="shared" ref="B28" si="9">SUM(C28:IG28)</f>
        <v>331</v>
      </c>
      <c r="C28" s="35">
        <f>SUM(C4:C25)</f>
        <v>1</v>
      </c>
      <c r="D28" s="35">
        <f t="shared" ref="D28:BO28" si="10">SUM(D4:D25)</f>
        <v>1</v>
      </c>
      <c r="E28" s="35">
        <f t="shared" si="10"/>
        <v>1</v>
      </c>
      <c r="F28" s="35">
        <f t="shared" si="10"/>
        <v>1</v>
      </c>
      <c r="G28" s="35">
        <f t="shared" si="10"/>
        <v>1</v>
      </c>
      <c r="H28" s="35">
        <f t="shared" si="10"/>
        <v>1</v>
      </c>
      <c r="I28" s="35">
        <f t="shared" si="10"/>
        <v>1</v>
      </c>
      <c r="J28" s="35">
        <f t="shared" si="10"/>
        <v>1</v>
      </c>
      <c r="K28" s="35">
        <f t="shared" si="10"/>
        <v>1</v>
      </c>
      <c r="L28" s="35">
        <f t="shared" si="10"/>
        <v>1</v>
      </c>
      <c r="M28" s="35">
        <f t="shared" si="10"/>
        <v>1</v>
      </c>
      <c r="N28" s="35">
        <f t="shared" si="10"/>
        <v>3</v>
      </c>
      <c r="O28" s="35">
        <f t="shared" si="10"/>
        <v>7</v>
      </c>
      <c r="P28" s="35">
        <f t="shared" si="10"/>
        <v>2</v>
      </c>
      <c r="Q28" s="35">
        <f t="shared" si="10"/>
        <v>1</v>
      </c>
      <c r="R28" s="35">
        <f t="shared" si="10"/>
        <v>1</v>
      </c>
      <c r="S28" s="35">
        <f t="shared" si="10"/>
        <v>1</v>
      </c>
      <c r="T28" s="35">
        <f t="shared" si="10"/>
        <v>1</v>
      </c>
      <c r="U28" s="35">
        <f t="shared" si="10"/>
        <v>1</v>
      </c>
      <c r="V28" s="35">
        <f t="shared" si="10"/>
        <v>1</v>
      </c>
      <c r="W28" s="35">
        <f t="shared" si="10"/>
        <v>1</v>
      </c>
      <c r="X28" s="35">
        <f t="shared" si="10"/>
        <v>1</v>
      </c>
      <c r="Y28" s="35">
        <f t="shared" si="10"/>
        <v>1</v>
      </c>
      <c r="Z28" s="35">
        <f t="shared" si="10"/>
        <v>1</v>
      </c>
      <c r="AA28" s="35">
        <f t="shared" si="10"/>
        <v>1</v>
      </c>
      <c r="AB28" s="35">
        <f t="shared" si="10"/>
        <v>3</v>
      </c>
      <c r="AC28" s="35">
        <f t="shared" si="10"/>
        <v>1</v>
      </c>
      <c r="AD28" s="35">
        <f t="shared" si="10"/>
        <v>1</v>
      </c>
      <c r="AE28" s="35">
        <f t="shared" si="10"/>
        <v>1</v>
      </c>
      <c r="AF28" s="35">
        <f t="shared" si="10"/>
        <v>2</v>
      </c>
      <c r="AG28" s="35">
        <f t="shared" si="10"/>
        <v>1</v>
      </c>
      <c r="AH28" s="35">
        <f t="shared" si="10"/>
        <v>1</v>
      </c>
      <c r="AI28" s="35">
        <f t="shared" si="10"/>
        <v>1</v>
      </c>
      <c r="AJ28" s="35">
        <f t="shared" si="10"/>
        <v>6</v>
      </c>
      <c r="AK28" s="35">
        <f t="shared" si="10"/>
        <v>1</v>
      </c>
      <c r="AL28" s="35">
        <f t="shared" si="10"/>
        <v>2</v>
      </c>
      <c r="AM28" s="35">
        <f t="shared" si="10"/>
        <v>2</v>
      </c>
      <c r="AN28" s="35">
        <f t="shared" si="10"/>
        <v>2</v>
      </c>
      <c r="AO28" s="35">
        <f t="shared" si="10"/>
        <v>1</v>
      </c>
      <c r="AP28" s="35">
        <f t="shared" si="10"/>
        <v>1</v>
      </c>
      <c r="AQ28" s="35">
        <f t="shared" si="10"/>
        <v>1</v>
      </c>
      <c r="AR28" s="35">
        <f t="shared" si="10"/>
        <v>1</v>
      </c>
      <c r="AS28" s="35">
        <f t="shared" si="10"/>
        <v>1</v>
      </c>
      <c r="AT28" s="35">
        <f t="shared" si="10"/>
        <v>1</v>
      </c>
      <c r="AU28" s="35">
        <f t="shared" si="10"/>
        <v>3</v>
      </c>
      <c r="AV28" s="35">
        <f t="shared" si="10"/>
        <v>1</v>
      </c>
      <c r="AW28" s="35">
        <f t="shared" si="10"/>
        <v>2</v>
      </c>
      <c r="AX28" s="35">
        <f t="shared" si="10"/>
        <v>1</v>
      </c>
      <c r="AY28" s="35">
        <f t="shared" si="10"/>
        <v>1</v>
      </c>
      <c r="AZ28" s="35">
        <f t="shared" si="10"/>
        <v>1</v>
      </c>
      <c r="BA28" s="35">
        <f t="shared" si="10"/>
        <v>1</v>
      </c>
      <c r="BB28" s="35">
        <f t="shared" si="10"/>
        <v>1</v>
      </c>
      <c r="BC28" s="35">
        <f t="shared" si="10"/>
        <v>1</v>
      </c>
      <c r="BD28" s="35">
        <f t="shared" si="10"/>
        <v>1</v>
      </c>
      <c r="BE28" s="35">
        <f t="shared" si="10"/>
        <v>1</v>
      </c>
      <c r="BF28" s="35">
        <f t="shared" si="10"/>
        <v>1</v>
      </c>
      <c r="BG28" s="35">
        <f t="shared" si="10"/>
        <v>1</v>
      </c>
      <c r="BH28" s="35">
        <f t="shared" si="10"/>
        <v>1</v>
      </c>
      <c r="BI28" s="35">
        <f t="shared" si="10"/>
        <v>1</v>
      </c>
      <c r="BJ28" s="35">
        <f t="shared" si="10"/>
        <v>1</v>
      </c>
      <c r="BK28" s="35">
        <f t="shared" si="10"/>
        <v>1</v>
      </c>
      <c r="BL28" s="35">
        <f t="shared" si="10"/>
        <v>1</v>
      </c>
      <c r="BM28" s="35">
        <f t="shared" si="10"/>
        <v>1</v>
      </c>
      <c r="BN28" s="35">
        <f t="shared" si="10"/>
        <v>1</v>
      </c>
      <c r="BO28" s="35">
        <f t="shared" si="10"/>
        <v>1</v>
      </c>
      <c r="BP28" s="35">
        <f t="shared" ref="BP28:EA28" si="11">SUM(BP4:BP25)</f>
        <v>1</v>
      </c>
      <c r="BQ28" s="35">
        <f t="shared" si="11"/>
        <v>2</v>
      </c>
      <c r="BR28" s="35">
        <f t="shared" si="11"/>
        <v>2</v>
      </c>
      <c r="BS28" s="35">
        <f t="shared" si="11"/>
        <v>1</v>
      </c>
      <c r="BT28" s="35">
        <f t="shared" si="11"/>
        <v>3</v>
      </c>
      <c r="BU28" s="35">
        <f t="shared" si="11"/>
        <v>1</v>
      </c>
      <c r="BV28" s="35">
        <f t="shared" si="11"/>
        <v>1</v>
      </c>
      <c r="BW28" s="35">
        <f t="shared" si="11"/>
        <v>2</v>
      </c>
      <c r="BX28" s="35">
        <f t="shared" si="11"/>
        <v>1</v>
      </c>
      <c r="BY28" s="35">
        <f t="shared" si="11"/>
        <v>2</v>
      </c>
      <c r="BZ28" s="35">
        <f t="shared" si="11"/>
        <v>2</v>
      </c>
      <c r="CA28" s="35">
        <f t="shared" si="11"/>
        <v>2</v>
      </c>
      <c r="CB28" s="35">
        <f t="shared" si="11"/>
        <v>1</v>
      </c>
      <c r="CC28" s="35">
        <f t="shared" si="11"/>
        <v>1</v>
      </c>
      <c r="CD28" s="35">
        <f t="shared" si="11"/>
        <v>1</v>
      </c>
      <c r="CE28" s="35">
        <f t="shared" si="11"/>
        <v>1</v>
      </c>
      <c r="CF28" s="35">
        <f t="shared" si="11"/>
        <v>1</v>
      </c>
      <c r="CG28" s="35">
        <f t="shared" si="11"/>
        <v>1</v>
      </c>
      <c r="CH28" s="35">
        <f t="shared" si="11"/>
        <v>1</v>
      </c>
      <c r="CI28" s="35">
        <f t="shared" si="11"/>
        <v>1</v>
      </c>
      <c r="CJ28" s="35">
        <f t="shared" si="11"/>
        <v>1</v>
      </c>
      <c r="CK28" s="35">
        <f t="shared" si="11"/>
        <v>1</v>
      </c>
      <c r="CL28" s="35">
        <f t="shared" si="11"/>
        <v>1</v>
      </c>
      <c r="CM28" s="35">
        <f t="shared" si="11"/>
        <v>3</v>
      </c>
      <c r="CN28" s="35">
        <f t="shared" si="11"/>
        <v>3</v>
      </c>
      <c r="CO28" s="35">
        <f t="shared" si="11"/>
        <v>1</v>
      </c>
      <c r="CP28" s="35">
        <f t="shared" si="11"/>
        <v>1</v>
      </c>
      <c r="CQ28" s="35">
        <f t="shared" si="11"/>
        <v>1</v>
      </c>
      <c r="CR28" s="35">
        <f t="shared" si="11"/>
        <v>4</v>
      </c>
      <c r="CS28" s="35">
        <f t="shared" si="11"/>
        <v>1</v>
      </c>
      <c r="CT28" s="35">
        <f t="shared" si="11"/>
        <v>1</v>
      </c>
      <c r="CU28" s="35">
        <f t="shared" si="11"/>
        <v>1</v>
      </c>
      <c r="CV28" s="35">
        <f t="shared" si="11"/>
        <v>1</v>
      </c>
      <c r="CW28" s="35">
        <f t="shared" si="11"/>
        <v>2</v>
      </c>
      <c r="CX28" s="35">
        <f t="shared" si="11"/>
        <v>1</v>
      </c>
      <c r="CY28" s="35">
        <f t="shared" si="11"/>
        <v>1</v>
      </c>
      <c r="CZ28" s="35">
        <f t="shared" si="11"/>
        <v>1</v>
      </c>
      <c r="DA28" s="35">
        <f t="shared" si="11"/>
        <v>1</v>
      </c>
      <c r="DB28" s="35">
        <f t="shared" si="11"/>
        <v>1</v>
      </c>
      <c r="DC28" s="35">
        <f t="shared" si="11"/>
        <v>1</v>
      </c>
      <c r="DD28" s="35">
        <f t="shared" si="11"/>
        <v>1</v>
      </c>
      <c r="DE28" s="35">
        <f t="shared" si="11"/>
        <v>1</v>
      </c>
      <c r="DF28" s="35">
        <f t="shared" si="11"/>
        <v>1</v>
      </c>
      <c r="DG28" s="35">
        <f t="shared" si="11"/>
        <v>1</v>
      </c>
      <c r="DH28" s="35">
        <f t="shared" si="11"/>
        <v>1</v>
      </c>
      <c r="DI28" s="35">
        <f t="shared" si="11"/>
        <v>1</v>
      </c>
      <c r="DJ28" s="35">
        <f t="shared" si="11"/>
        <v>1</v>
      </c>
      <c r="DK28" s="35">
        <f t="shared" si="11"/>
        <v>1</v>
      </c>
      <c r="DL28" s="35">
        <f t="shared" si="11"/>
        <v>1</v>
      </c>
      <c r="DM28" s="35">
        <f t="shared" si="11"/>
        <v>1</v>
      </c>
      <c r="DN28" s="35">
        <f t="shared" si="11"/>
        <v>1</v>
      </c>
      <c r="DO28" s="35">
        <f t="shared" si="11"/>
        <v>1</v>
      </c>
      <c r="DP28" s="35">
        <f t="shared" si="11"/>
        <v>1</v>
      </c>
      <c r="DQ28" s="35">
        <f t="shared" si="11"/>
        <v>3</v>
      </c>
      <c r="DR28" s="35">
        <f t="shared" si="11"/>
        <v>2</v>
      </c>
      <c r="DS28" s="35">
        <f t="shared" si="11"/>
        <v>1</v>
      </c>
      <c r="DT28" s="35">
        <f t="shared" si="11"/>
        <v>1</v>
      </c>
      <c r="DU28" s="35">
        <f t="shared" si="11"/>
        <v>1</v>
      </c>
      <c r="DV28" s="35">
        <f t="shared" si="11"/>
        <v>2</v>
      </c>
      <c r="DW28" s="35">
        <f t="shared" si="11"/>
        <v>3</v>
      </c>
      <c r="DX28" s="35">
        <f t="shared" si="11"/>
        <v>1</v>
      </c>
      <c r="DY28" s="35">
        <f t="shared" si="11"/>
        <v>1</v>
      </c>
      <c r="DZ28" s="35">
        <f t="shared" si="11"/>
        <v>1</v>
      </c>
      <c r="EA28" s="35">
        <f t="shared" si="11"/>
        <v>1</v>
      </c>
      <c r="EB28" s="35">
        <f t="shared" ref="EB28:GM28" si="12">SUM(EB4:EB25)</f>
        <v>1</v>
      </c>
      <c r="EC28" s="35">
        <f t="shared" si="12"/>
        <v>1</v>
      </c>
      <c r="ED28" s="35">
        <f t="shared" si="12"/>
        <v>1</v>
      </c>
      <c r="EE28" s="35">
        <f t="shared" si="12"/>
        <v>1</v>
      </c>
      <c r="EF28" s="35">
        <f t="shared" si="12"/>
        <v>1</v>
      </c>
      <c r="EG28" s="35">
        <f t="shared" si="12"/>
        <v>2</v>
      </c>
      <c r="EH28" s="35">
        <f t="shared" si="12"/>
        <v>1</v>
      </c>
      <c r="EI28" s="35">
        <f t="shared" si="12"/>
        <v>4</v>
      </c>
      <c r="EJ28" s="35">
        <f t="shared" si="12"/>
        <v>1</v>
      </c>
      <c r="EK28" s="35">
        <f t="shared" si="12"/>
        <v>1</v>
      </c>
      <c r="EL28" s="35">
        <f t="shared" si="12"/>
        <v>16</v>
      </c>
      <c r="EM28" s="35">
        <f t="shared" si="12"/>
        <v>2</v>
      </c>
      <c r="EN28" s="35">
        <f t="shared" si="12"/>
        <v>1</v>
      </c>
      <c r="EO28" s="35">
        <f t="shared" si="12"/>
        <v>1</v>
      </c>
      <c r="EP28" s="35">
        <f t="shared" si="12"/>
        <v>1</v>
      </c>
      <c r="EQ28" s="35">
        <f t="shared" si="12"/>
        <v>1</v>
      </c>
      <c r="ER28" s="35">
        <f t="shared" si="12"/>
        <v>1</v>
      </c>
      <c r="ES28" s="35">
        <f t="shared" si="12"/>
        <v>1</v>
      </c>
      <c r="ET28" s="35">
        <f t="shared" si="12"/>
        <v>1</v>
      </c>
      <c r="EU28" s="35">
        <f t="shared" si="12"/>
        <v>2</v>
      </c>
      <c r="EV28" s="35">
        <f t="shared" si="12"/>
        <v>1</v>
      </c>
      <c r="EW28" s="35">
        <f t="shared" si="12"/>
        <v>1</v>
      </c>
      <c r="EX28" s="35">
        <f t="shared" si="12"/>
        <v>1</v>
      </c>
      <c r="EY28" s="35">
        <f t="shared" si="12"/>
        <v>1</v>
      </c>
      <c r="EZ28" s="35">
        <f t="shared" si="12"/>
        <v>4</v>
      </c>
      <c r="FA28" s="35">
        <f t="shared" si="12"/>
        <v>1</v>
      </c>
      <c r="FB28" s="35">
        <f t="shared" si="12"/>
        <v>2</v>
      </c>
      <c r="FC28" s="35">
        <f t="shared" si="12"/>
        <v>1</v>
      </c>
      <c r="FD28" s="35">
        <f t="shared" si="12"/>
        <v>1</v>
      </c>
      <c r="FE28" s="35">
        <f t="shared" si="12"/>
        <v>8</v>
      </c>
      <c r="FF28" s="35">
        <f t="shared" si="12"/>
        <v>2</v>
      </c>
      <c r="FG28" s="35">
        <f t="shared" si="12"/>
        <v>1</v>
      </c>
      <c r="FH28" s="35">
        <f t="shared" si="12"/>
        <v>1</v>
      </c>
      <c r="FI28" s="35">
        <f t="shared" si="12"/>
        <v>2</v>
      </c>
      <c r="FJ28" s="35">
        <f t="shared" si="12"/>
        <v>1</v>
      </c>
      <c r="FK28" s="35">
        <f t="shared" si="12"/>
        <v>1</v>
      </c>
      <c r="FL28" s="35">
        <f t="shared" si="12"/>
        <v>1</v>
      </c>
      <c r="FM28" s="35">
        <f t="shared" si="12"/>
        <v>2</v>
      </c>
      <c r="FN28" s="35">
        <f t="shared" si="12"/>
        <v>1</v>
      </c>
      <c r="FO28" s="35">
        <f t="shared" si="12"/>
        <v>1</v>
      </c>
      <c r="FP28" s="35">
        <f t="shared" si="12"/>
        <v>1</v>
      </c>
      <c r="FQ28" s="35">
        <f t="shared" si="12"/>
        <v>3</v>
      </c>
      <c r="FR28" s="35">
        <f t="shared" si="12"/>
        <v>1</v>
      </c>
      <c r="FS28" s="35">
        <f t="shared" si="12"/>
        <v>2</v>
      </c>
      <c r="FT28" s="35">
        <f t="shared" si="12"/>
        <v>1</v>
      </c>
      <c r="FU28" s="35">
        <f t="shared" si="12"/>
        <v>1</v>
      </c>
      <c r="FV28" s="35">
        <f t="shared" si="12"/>
        <v>3</v>
      </c>
      <c r="FW28" s="35">
        <f t="shared" si="12"/>
        <v>2</v>
      </c>
      <c r="FX28" s="35">
        <f t="shared" si="12"/>
        <v>1</v>
      </c>
      <c r="FY28" s="35">
        <f t="shared" si="12"/>
        <v>1</v>
      </c>
      <c r="FZ28" s="35">
        <f t="shared" si="12"/>
        <v>1</v>
      </c>
      <c r="GA28" s="35">
        <f t="shared" si="12"/>
        <v>1</v>
      </c>
      <c r="GB28" s="35">
        <f t="shared" si="12"/>
        <v>1</v>
      </c>
      <c r="GC28" s="35">
        <f t="shared" si="12"/>
        <v>1</v>
      </c>
      <c r="GD28" s="35">
        <f t="shared" si="12"/>
        <v>1</v>
      </c>
      <c r="GE28" s="35">
        <f t="shared" si="12"/>
        <v>1</v>
      </c>
      <c r="GF28" s="35">
        <f t="shared" si="12"/>
        <v>1</v>
      </c>
      <c r="GG28" s="35">
        <f t="shared" si="12"/>
        <v>1</v>
      </c>
      <c r="GH28" s="35">
        <f t="shared" si="12"/>
        <v>1</v>
      </c>
      <c r="GI28" s="35">
        <f t="shared" si="12"/>
        <v>1</v>
      </c>
      <c r="GJ28" s="35">
        <f t="shared" si="12"/>
        <v>1</v>
      </c>
      <c r="GK28" s="35">
        <f t="shared" si="12"/>
        <v>1</v>
      </c>
      <c r="GL28" s="35">
        <f t="shared" si="12"/>
        <v>1</v>
      </c>
      <c r="GM28" s="35">
        <f t="shared" si="12"/>
        <v>1</v>
      </c>
      <c r="GN28" s="35">
        <f t="shared" ref="GN28:IG28" si="13">SUM(GN4:GN25)</f>
        <v>1</v>
      </c>
      <c r="GO28" s="35">
        <f t="shared" si="13"/>
        <v>1</v>
      </c>
      <c r="GP28" s="35">
        <f t="shared" si="13"/>
        <v>1</v>
      </c>
      <c r="GQ28" s="35">
        <f t="shared" si="13"/>
        <v>1</v>
      </c>
      <c r="GR28" s="35">
        <f t="shared" si="13"/>
        <v>1</v>
      </c>
      <c r="GS28" s="35">
        <f t="shared" si="13"/>
        <v>2</v>
      </c>
      <c r="GT28" s="35">
        <f t="shared" si="13"/>
        <v>2</v>
      </c>
      <c r="GU28" s="35">
        <f t="shared" si="13"/>
        <v>1</v>
      </c>
      <c r="GV28" s="35">
        <f t="shared" si="13"/>
        <v>1</v>
      </c>
      <c r="GW28" s="35">
        <f t="shared" si="13"/>
        <v>1</v>
      </c>
      <c r="GX28" s="35">
        <f t="shared" si="13"/>
        <v>1</v>
      </c>
      <c r="GY28" s="35">
        <f t="shared" si="13"/>
        <v>1</v>
      </c>
      <c r="GZ28" s="35">
        <f t="shared" si="13"/>
        <v>1</v>
      </c>
      <c r="HA28" s="35">
        <f t="shared" si="13"/>
        <v>1</v>
      </c>
      <c r="HB28" s="35">
        <f t="shared" si="13"/>
        <v>1</v>
      </c>
      <c r="HC28" s="35">
        <f t="shared" si="13"/>
        <v>1</v>
      </c>
      <c r="HD28" s="35">
        <f t="shared" si="13"/>
        <v>1</v>
      </c>
      <c r="HE28" s="35">
        <f t="shared" si="13"/>
        <v>1</v>
      </c>
      <c r="HF28" s="35">
        <f t="shared" si="13"/>
        <v>1</v>
      </c>
      <c r="HG28" s="35">
        <f t="shared" si="13"/>
        <v>1</v>
      </c>
      <c r="HH28" s="35">
        <f t="shared" si="13"/>
        <v>1</v>
      </c>
      <c r="HI28" s="35">
        <f t="shared" si="13"/>
        <v>1</v>
      </c>
      <c r="HJ28" s="35">
        <f t="shared" si="13"/>
        <v>1</v>
      </c>
      <c r="HK28" s="35">
        <f t="shared" si="13"/>
        <v>1</v>
      </c>
      <c r="HL28" s="35">
        <f t="shared" si="13"/>
        <v>1</v>
      </c>
      <c r="HM28" s="35">
        <f t="shared" si="13"/>
        <v>1</v>
      </c>
      <c r="HN28" s="35">
        <f t="shared" si="13"/>
        <v>1</v>
      </c>
      <c r="HO28" s="35">
        <f t="shared" si="13"/>
        <v>1</v>
      </c>
      <c r="HP28" s="35">
        <f t="shared" si="13"/>
        <v>1</v>
      </c>
      <c r="HQ28" s="35">
        <f t="shared" si="13"/>
        <v>1</v>
      </c>
      <c r="HR28" s="35">
        <f t="shared" si="13"/>
        <v>1</v>
      </c>
      <c r="HS28" s="35">
        <f t="shared" si="13"/>
        <v>1</v>
      </c>
      <c r="HT28" s="35">
        <f t="shared" si="13"/>
        <v>1</v>
      </c>
      <c r="HU28" s="35">
        <f t="shared" si="13"/>
        <v>1</v>
      </c>
      <c r="HV28" s="35">
        <f t="shared" si="13"/>
        <v>1</v>
      </c>
      <c r="HW28" s="35">
        <f t="shared" si="13"/>
        <v>1</v>
      </c>
      <c r="HX28" s="35">
        <f t="shared" si="13"/>
        <v>1</v>
      </c>
      <c r="HY28" s="35">
        <f t="shared" si="13"/>
        <v>1</v>
      </c>
      <c r="HZ28" s="35">
        <f t="shared" si="13"/>
        <v>1</v>
      </c>
      <c r="IA28" s="35">
        <f t="shared" si="13"/>
        <v>2</v>
      </c>
      <c r="IB28" s="35">
        <f t="shared" si="13"/>
        <v>1</v>
      </c>
      <c r="IC28" s="35">
        <f t="shared" si="13"/>
        <v>1</v>
      </c>
      <c r="ID28" s="35">
        <f t="shared" si="13"/>
        <v>1</v>
      </c>
      <c r="IE28" s="35">
        <f t="shared" si="13"/>
        <v>2</v>
      </c>
      <c r="IF28" s="35">
        <f t="shared" si="13"/>
        <v>3</v>
      </c>
      <c r="IG28" s="35">
        <f t="shared" si="13"/>
        <v>1</v>
      </c>
    </row>
    <row r="29" spans="1:241" x14ac:dyDescent="0.3"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</row>
    <row r="30" spans="1:241" x14ac:dyDescent="0.3">
      <c r="A30" t="s">
        <v>301</v>
      </c>
      <c r="B30" s="37">
        <v>22</v>
      </c>
    </row>
    <row r="31" spans="1:241" x14ac:dyDescent="0.3">
      <c r="A31" t="s">
        <v>302</v>
      </c>
      <c r="B31" s="37">
        <v>2</v>
      </c>
    </row>
    <row r="32" spans="1:241" x14ac:dyDescent="0.3">
      <c r="A32" t="s">
        <v>303</v>
      </c>
      <c r="B32" s="37">
        <v>0.75</v>
      </c>
    </row>
    <row r="33" spans="1:243" x14ac:dyDescent="0.3">
      <c r="A33" t="s">
        <v>304</v>
      </c>
      <c r="B33" s="37">
        <f>AVERAGE(B4:B25)</f>
        <v>15.045454545454545</v>
      </c>
      <c r="H33" t="s">
        <v>305</v>
      </c>
    </row>
    <row r="35" spans="1:243" x14ac:dyDescent="0.3">
      <c r="B35" s="38" t="s">
        <v>300</v>
      </c>
      <c r="C35" s="34" t="s">
        <v>59</v>
      </c>
      <c r="D35" s="34" t="s">
        <v>60</v>
      </c>
      <c r="E35" s="34" t="s">
        <v>61</v>
      </c>
      <c r="F35" s="34" t="s">
        <v>62</v>
      </c>
      <c r="G35" s="34" t="s">
        <v>63</v>
      </c>
      <c r="H35" s="34" t="s">
        <v>64</v>
      </c>
      <c r="I35" s="34" t="s">
        <v>65</v>
      </c>
      <c r="J35" s="34" t="s">
        <v>66</v>
      </c>
      <c r="K35" s="34" t="s">
        <v>67</v>
      </c>
      <c r="L35" s="34" t="s">
        <v>68</v>
      </c>
      <c r="M35" s="34" t="s">
        <v>69</v>
      </c>
      <c r="N35" s="34" t="s">
        <v>70</v>
      </c>
      <c r="O35" s="34" t="s">
        <v>71</v>
      </c>
      <c r="P35" s="34" t="s">
        <v>72</v>
      </c>
      <c r="Q35" s="34" t="s">
        <v>73</v>
      </c>
      <c r="R35" s="34" t="s">
        <v>74</v>
      </c>
      <c r="S35" s="34" t="s">
        <v>75</v>
      </c>
      <c r="T35" s="34" t="s">
        <v>76</v>
      </c>
      <c r="U35" s="34" t="s">
        <v>77</v>
      </c>
      <c r="V35" s="34" t="s">
        <v>78</v>
      </c>
      <c r="W35" s="34" t="s">
        <v>79</v>
      </c>
      <c r="X35" s="34" t="s">
        <v>80</v>
      </c>
      <c r="Y35" s="34" t="s">
        <v>81</v>
      </c>
      <c r="Z35" s="34" t="s">
        <v>82</v>
      </c>
      <c r="AA35" s="34" t="s">
        <v>83</v>
      </c>
      <c r="AB35" s="34" t="s">
        <v>84</v>
      </c>
      <c r="AC35" s="34" t="s">
        <v>85</v>
      </c>
      <c r="AD35" s="34" t="s">
        <v>86</v>
      </c>
      <c r="AE35" s="34" t="s">
        <v>87</v>
      </c>
      <c r="AF35" s="34" t="s">
        <v>88</v>
      </c>
      <c r="AG35" s="34" t="s">
        <v>89</v>
      </c>
      <c r="AH35" s="34" t="s">
        <v>90</v>
      </c>
      <c r="AI35" s="34" t="s">
        <v>91</v>
      </c>
      <c r="AJ35" s="34" t="s">
        <v>92</v>
      </c>
      <c r="AK35" s="34" t="s">
        <v>93</v>
      </c>
      <c r="AL35" s="34" t="s">
        <v>94</v>
      </c>
      <c r="AM35" s="34" t="s">
        <v>95</v>
      </c>
      <c r="AN35" s="34" t="s">
        <v>96</v>
      </c>
      <c r="AO35" s="34" t="s">
        <v>97</v>
      </c>
      <c r="AP35" s="34" t="s">
        <v>98</v>
      </c>
      <c r="AQ35" s="34" t="s">
        <v>99</v>
      </c>
      <c r="AR35" s="34" t="s">
        <v>100</v>
      </c>
      <c r="AS35" s="34" t="s">
        <v>101</v>
      </c>
      <c r="AT35" s="34" t="s">
        <v>102</v>
      </c>
      <c r="AU35" s="34" t="s">
        <v>103</v>
      </c>
      <c r="AV35" s="34" t="s">
        <v>104</v>
      </c>
      <c r="AW35" s="34" t="s">
        <v>105</v>
      </c>
      <c r="AX35" s="34" t="s">
        <v>106</v>
      </c>
      <c r="AY35" s="34" t="s">
        <v>107</v>
      </c>
      <c r="AZ35" s="34" t="s">
        <v>108</v>
      </c>
      <c r="BA35" s="34" t="s">
        <v>109</v>
      </c>
      <c r="BB35" s="34" t="s">
        <v>110</v>
      </c>
      <c r="BC35" s="34" t="s">
        <v>111</v>
      </c>
      <c r="BD35" s="34" t="s">
        <v>112</v>
      </c>
      <c r="BE35" s="34" t="s">
        <v>113</v>
      </c>
      <c r="BF35" s="34" t="s">
        <v>114</v>
      </c>
      <c r="BG35" s="34" t="s">
        <v>115</v>
      </c>
      <c r="BH35" s="34" t="s">
        <v>116</v>
      </c>
      <c r="BI35" s="34" t="s">
        <v>117</v>
      </c>
      <c r="BJ35" s="34" t="s">
        <v>118</v>
      </c>
      <c r="BK35" s="34" t="s">
        <v>119</v>
      </c>
      <c r="BL35" s="34" t="s">
        <v>120</v>
      </c>
      <c r="BM35" s="34" t="s">
        <v>121</v>
      </c>
      <c r="BN35" s="34" t="s">
        <v>122</v>
      </c>
      <c r="BO35" s="34" t="s">
        <v>123</v>
      </c>
      <c r="BP35" s="34" t="s">
        <v>124</v>
      </c>
      <c r="BQ35" s="34" t="s">
        <v>125</v>
      </c>
      <c r="BR35" s="34" t="s">
        <v>126</v>
      </c>
      <c r="BS35" s="34" t="s">
        <v>127</v>
      </c>
      <c r="BT35" s="34" t="s">
        <v>128</v>
      </c>
      <c r="BU35" s="34" t="s">
        <v>129</v>
      </c>
      <c r="BV35" s="34" t="s">
        <v>130</v>
      </c>
      <c r="BW35" s="34" t="s">
        <v>131</v>
      </c>
      <c r="BX35" s="34" t="s">
        <v>132</v>
      </c>
      <c r="BY35" s="34" t="s">
        <v>133</v>
      </c>
      <c r="BZ35" s="34" t="s">
        <v>134</v>
      </c>
      <c r="CA35" s="34" t="s">
        <v>135</v>
      </c>
      <c r="CB35" s="34" t="s">
        <v>136</v>
      </c>
      <c r="CC35" s="34" t="s">
        <v>137</v>
      </c>
      <c r="CD35" s="34" t="s">
        <v>138</v>
      </c>
      <c r="CE35" s="34" t="s">
        <v>139</v>
      </c>
      <c r="CF35" s="34" t="s">
        <v>140</v>
      </c>
      <c r="CG35" s="34" t="s">
        <v>141</v>
      </c>
      <c r="CH35" s="34" t="s">
        <v>142</v>
      </c>
      <c r="CI35" s="34" t="s">
        <v>143</v>
      </c>
      <c r="CJ35" s="34" t="s">
        <v>144</v>
      </c>
      <c r="CK35" s="34" t="s">
        <v>145</v>
      </c>
      <c r="CL35" s="34" t="s">
        <v>146</v>
      </c>
      <c r="CM35" s="34" t="s">
        <v>147</v>
      </c>
      <c r="CN35" s="34" t="s">
        <v>148</v>
      </c>
      <c r="CO35" s="34" t="s">
        <v>149</v>
      </c>
      <c r="CP35" s="34" t="s">
        <v>150</v>
      </c>
      <c r="CQ35" s="34" t="s">
        <v>151</v>
      </c>
      <c r="CR35" s="34" t="s">
        <v>152</v>
      </c>
      <c r="CS35" s="34" t="s">
        <v>153</v>
      </c>
      <c r="CT35" s="34" t="s">
        <v>154</v>
      </c>
      <c r="CU35" s="34" t="s">
        <v>155</v>
      </c>
      <c r="CV35" s="34" t="s">
        <v>156</v>
      </c>
      <c r="CW35" s="34" t="s">
        <v>157</v>
      </c>
      <c r="CX35" s="34" t="s">
        <v>158</v>
      </c>
      <c r="CY35" s="34" t="s">
        <v>159</v>
      </c>
      <c r="CZ35" s="34" t="s">
        <v>160</v>
      </c>
      <c r="DA35" s="34" t="s">
        <v>161</v>
      </c>
      <c r="DB35" s="34" t="s">
        <v>162</v>
      </c>
      <c r="DC35" s="34" t="s">
        <v>163</v>
      </c>
      <c r="DD35" s="34" t="s">
        <v>164</v>
      </c>
      <c r="DE35" s="34" t="s">
        <v>165</v>
      </c>
      <c r="DF35" s="34" t="s">
        <v>166</v>
      </c>
      <c r="DG35" s="34" t="s">
        <v>167</v>
      </c>
      <c r="DH35" s="34" t="s">
        <v>168</v>
      </c>
      <c r="DI35" s="34" t="s">
        <v>169</v>
      </c>
      <c r="DJ35" s="34" t="s">
        <v>170</v>
      </c>
      <c r="DK35" s="34" t="s">
        <v>171</v>
      </c>
      <c r="DL35" s="34" t="s">
        <v>172</v>
      </c>
      <c r="DM35" s="34" t="s">
        <v>173</v>
      </c>
      <c r="DN35" s="34" t="s">
        <v>174</v>
      </c>
      <c r="DO35" s="34" t="s">
        <v>175</v>
      </c>
      <c r="DP35" s="34" t="s">
        <v>176</v>
      </c>
      <c r="DQ35" s="34" t="s">
        <v>177</v>
      </c>
      <c r="DR35" s="34" t="s">
        <v>178</v>
      </c>
      <c r="DS35" s="34" t="s">
        <v>179</v>
      </c>
      <c r="DT35" s="34" t="s">
        <v>180</v>
      </c>
      <c r="DU35" s="34" t="s">
        <v>181</v>
      </c>
      <c r="DV35" s="34" t="s">
        <v>182</v>
      </c>
      <c r="DW35" s="34" t="s">
        <v>183</v>
      </c>
      <c r="DX35" s="34" t="s">
        <v>184</v>
      </c>
      <c r="DY35" s="34" t="s">
        <v>185</v>
      </c>
      <c r="DZ35" s="34" t="s">
        <v>186</v>
      </c>
      <c r="EA35" s="34" t="s">
        <v>187</v>
      </c>
      <c r="EB35" s="34" t="s">
        <v>188</v>
      </c>
      <c r="EC35" s="34" t="s">
        <v>189</v>
      </c>
      <c r="ED35" s="34" t="s">
        <v>190</v>
      </c>
      <c r="EE35" s="34" t="s">
        <v>191</v>
      </c>
      <c r="EF35" s="34" t="s">
        <v>192</v>
      </c>
      <c r="EG35" s="34" t="s">
        <v>193</v>
      </c>
      <c r="EH35" s="34" t="s">
        <v>194</v>
      </c>
      <c r="EI35" s="34" t="s">
        <v>195</v>
      </c>
      <c r="EJ35" s="34" t="s">
        <v>196</v>
      </c>
      <c r="EK35" s="34" t="s">
        <v>197</v>
      </c>
      <c r="EL35" s="34" t="s">
        <v>198</v>
      </c>
      <c r="EM35" s="34" t="s">
        <v>199</v>
      </c>
      <c r="EN35" s="34" t="s">
        <v>200</v>
      </c>
      <c r="EO35" s="34" t="s">
        <v>201</v>
      </c>
      <c r="EP35" s="34" t="s">
        <v>202</v>
      </c>
      <c r="EQ35" s="34" t="s">
        <v>203</v>
      </c>
      <c r="ER35" s="34" t="s">
        <v>204</v>
      </c>
      <c r="ES35" s="34" t="s">
        <v>205</v>
      </c>
      <c r="ET35" s="34" t="s">
        <v>206</v>
      </c>
      <c r="EU35" s="34" t="s">
        <v>207</v>
      </c>
      <c r="EV35" s="34" t="s">
        <v>208</v>
      </c>
      <c r="EW35" s="34" t="s">
        <v>209</v>
      </c>
      <c r="EX35" s="34" t="s">
        <v>210</v>
      </c>
      <c r="EY35" s="34" t="s">
        <v>211</v>
      </c>
      <c r="EZ35" s="34" t="s">
        <v>212</v>
      </c>
      <c r="FA35" s="34" t="s">
        <v>213</v>
      </c>
      <c r="FB35" s="34" t="s">
        <v>214</v>
      </c>
      <c r="FC35" s="34" t="s">
        <v>215</v>
      </c>
      <c r="FD35" s="34" t="s">
        <v>216</v>
      </c>
      <c r="FE35" s="34" t="s">
        <v>217</v>
      </c>
      <c r="FF35" s="34" t="s">
        <v>218</v>
      </c>
      <c r="FG35" s="34" t="s">
        <v>219</v>
      </c>
      <c r="FH35" s="34" t="s">
        <v>220</v>
      </c>
      <c r="FI35" s="34" t="s">
        <v>221</v>
      </c>
      <c r="FJ35" s="34" t="s">
        <v>222</v>
      </c>
      <c r="FK35" s="34" t="s">
        <v>223</v>
      </c>
      <c r="FL35" s="34" t="s">
        <v>224</v>
      </c>
      <c r="FM35" s="34" t="s">
        <v>225</v>
      </c>
      <c r="FN35" s="34" t="s">
        <v>226</v>
      </c>
      <c r="FO35" s="34" t="s">
        <v>227</v>
      </c>
      <c r="FP35" s="34" t="s">
        <v>228</v>
      </c>
      <c r="FQ35" s="34" t="s">
        <v>229</v>
      </c>
      <c r="FR35" s="34" t="s">
        <v>230</v>
      </c>
      <c r="FS35" s="34" t="s">
        <v>231</v>
      </c>
      <c r="FT35" s="34" t="s">
        <v>232</v>
      </c>
      <c r="FU35" s="34" t="s">
        <v>233</v>
      </c>
      <c r="FV35" s="34" t="s">
        <v>234</v>
      </c>
      <c r="FW35" s="34" t="s">
        <v>235</v>
      </c>
      <c r="FX35" s="34" t="s">
        <v>236</v>
      </c>
      <c r="FY35" s="34" t="s">
        <v>237</v>
      </c>
      <c r="FZ35" s="34" t="s">
        <v>238</v>
      </c>
      <c r="GA35" s="34" t="s">
        <v>239</v>
      </c>
      <c r="GB35" s="34" t="s">
        <v>240</v>
      </c>
      <c r="GC35" s="34" t="s">
        <v>241</v>
      </c>
      <c r="GD35" s="34" t="s">
        <v>242</v>
      </c>
      <c r="GE35" s="34" t="s">
        <v>243</v>
      </c>
      <c r="GF35" s="34" t="s">
        <v>244</v>
      </c>
      <c r="GG35" s="34" t="s">
        <v>245</v>
      </c>
      <c r="GH35" s="34" t="s">
        <v>246</v>
      </c>
      <c r="GI35" s="34" t="s">
        <v>247</v>
      </c>
      <c r="GJ35" s="34" t="s">
        <v>248</v>
      </c>
      <c r="GK35" s="34" t="s">
        <v>249</v>
      </c>
      <c r="GL35" s="34" t="s">
        <v>250</v>
      </c>
      <c r="GM35" s="34" t="s">
        <v>251</v>
      </c>
      <c r="GN35" s="34" t="s">
        <v>252</v>
      </c>
      <c r="GO35" s="34" t="s">
        <v>253</v>
      </c>
      <c r="GP35" s="34" t="s">
        <v>254</v>
      </c>
      <c r="GQ35" s="34" t="s">
        <v>255</v>
      </c>
      <c r="GR35" s="34" t="s">
        <v>256</v>
      </c>
      <c r="GS35" s="34" t="s">
        <v>257</v>
      </c>
      <c r="GT35" s="34" t="s">
        <v>258</v>
      </c>
      <c r="GU35" s="34" t="s">
        <v>259</v>
      </c>
      <c r="GV35" s="34" t="s">
        <v>260</v>
      </c>
      <c r="GW35" s="34" t="s">
        <v>261</v>
      </c>
      <c r="GX35" s="34" t="s">
        <v>262</v>
      </c>
      <c r="GY35" s="34" t="s">
        <v>263</v>
      </c>
      <c r="GZ35" s="34" t="s">
        <v>264</v>
      </c>
      <c r="HA35" s="34" t="s">
        <v>265</v>
      </c>
      <c r="HB35" s="34" t="s">
        <v>266</v>
      </c>
      <c r="HC35" s="34" t="s">
        <v>267</v>
      </c>
      <c r="HD35" s="34" t="s">
        <v>268</v>
      </c>
      <c r="HE35" s="34" t="s">
        <v>269</v>
      </c>
      <c r="HF35" s="34" t="s">
        <v>270</v>
      </c>
      <c r="HG35" s="34" t="s">
        <v>271</v>
      </c>
      <c r="HH35" s="34" t="s">
        <v>272</v>
      </c>
      <c r="HI35" s="34" t="s">
        <v>273</v>
      </c>
      <c r="HJ35" s="34" t="s">
        <v>274</v>
      </c>
      <c r="HK35" s="34" t="s">
        <v>275</v>
      </c>
      <c r="HL35" s="34" t="s">
        <v>276</v>
      </c>
      <c r="HM35" s="34" t="s">
        <v>277</v>
      </c>
      <c r="HN35" s="34" t="s">
        <v>278</v>
      </c>
      <c r="HO35" s="34" t="s">
        <v>279</v>
      </c>
      <c r="HP35" s="34" t="s">
        <v>280</v>
      </c>
      <c r="HQ35" s="34" t="s">
        <v>281</v>
      </c>
      <c r="HR35" s="34" t="s">
        <v>282</v>
      </c>
      <c r="HS35" s="34" t="s">
        <v>283</v>
      </c>
      <c r="HT35" s="34" t="s">
        <v>284</v>
      </c>
      <c r="HU35" s="34" t="s">
        <v>285</v>
      </c>
      <c r="HV35" s="34" t="s">
        <v>286</v>
      </c>
      <c r="HW35" s="34" t="s">
        <v>287</v>
      </c>
      <c r="HX35" s="34" t="s">
        <v>288</v>
      </c>
      <c r="HY35" s="34" t="s">
        <v>289</v>
      </c>
      <c r="HZ35" s="34" t="s">
        <v>290</v>
      </c>
      <c r="IA35" s="34" t="s">
        <v>291</v>
      </c>
      <c r="IB35" s="34" t="s">
        <v>292</v>
      </c>
      <c r="IC35" s="34" t="s">
        <v>293</v>
      </c>
      <c r="ID35" s="34" t="s">
        <v>294</v>
      </c>
      <c r="IE35" s="34" t="s">
        <v>295</v>
      </c>
      <c r="IF35" s="34" t="s">
        <v>296</v>
      </c>
      <c r="IG35" s="34" t="s">
        <v>297</v>
      </c>
      <c r="IH35" s="43" t="s">
        <v>312</v>
      </c>
      <c r="II35" s="43" t="s">
        <v>314</v>
      </c>
    </row>
    <row r="36" spans="1:243" x14ac:dyDescent="0.3">
      <c r="A36" s="34" t="s">
        <v>37</v>
      </c>
      <c r="B36" s="38">
        <f t="shared" ref="B36:B57" si="14">B4</f>
        <v>16</v>
      </c>
      <c r="C36" s="39">
        <f>(($B$31+1)*C4)/(C4+$B$31*((1-$B$32)+$B$32*($B36/$B$33)))*C$27</f>
        <v>0</v>
      </c>
      <c r="D36" s="39">
        <f t="shared" ref="D36:BO36" si="15">(($B$31+1)*D4)/(D4+$B$31*((1-$B$32)+$B$32*($B36/$B$33)))*D$27</f>
        <v>0</v>
      </c>
      <c r="E36" s="39">
        <f t="shared" si="15"/>
        <v>0</v>
      </c>
      <c r="F36" s="39">
        <f t="shared" si="15"/>
        <v>0</v>
      </c>
      <c r="G36" s="39">
        <f t="shared" si="15"/>
        <v>0</v>
      </c>
      <c r="H36" s="39">
        <f t="shared" si="15"/>
        <v>0</v>
      </c>
      <c r="I36" s="39">
        <f t="shared" si="15"/>
        <v>0</v>
      </c>
      <c r="J36" s="39">
        <f t="shared" si="15"/>
        <v>0</v>
      </c>
      <c r="K36" s="39">
        <f t="shared" si="15"/>
        <v>0</v>
      </c>
      <c r="L36" s="39">
        <f t="shared" si="15"/>
        <v>0</v>
      </c>
      <c r="M36" s="39">
        <f t="shared" si="15"/>
        <v>0</v>
      </c>
      <c r="N36" s="39">
        <f t="shared" si="15"/>
        <v>0</v>
      </c>
      <c r="O36" s="39">
        <f t="shared" si="15"/>
        <v>1.1099232583434666</v>
      </c>
      <c r="P36" s="39">
        <f t="shared" si="15"/>
        <v>0</v>
      </c>
      <c r="Q36" s="39">
        <f t="shared" si="15"/>
        <v>0</v>
      </c>
      <c r="R36" s="39">
        <f t="shared" si="15"/>
        <v>0</v>
      </c>
      <c r="S36" s="39">
        <f t="shared" si="15"/>
        <v>0</v>
      </c>
      <c r="T36" s="39">
        <f t="shared" si="15"/>
        <v>0</v>
      </c>
      <c r="U36" s="39">
        <f t="shared" si="15"/>
        <v>0</v>
      </c>
      <c r="V36" s="39">
        <f t="shared" si="15"/>
        <v>0</v>
      </c>
      <c r="W36" s="39">
        <f t="shared" si="15"/>
        <v>0</v>
      </c>
      <c r="X36" s="39">
        <f t="shared" si="15"/>
        <v>0</v>
      </c>
      <c r="Y36" s="39">
        <f t="shared" si="15"/>
        <v>0</v>
      </c>
      <c r="Z36" s="39">
        <f t="shared" si="15"/>
        <v>0</v>
      </c>
      <c r="AA36" s="39">
        <f t="shared" si="15"/>
        <v>0</v>
      </c>
      <c r="AB36" s="39">
        <f t="shared" si="15"/>
        <v>0</v>
      </c>
      <c r="AC36" s="39">
        <f t="shared" si="15"/>
        <v>0</v>
      </c>
      <c r="AD36" s="39">
        <f t="shared" si="15"/>
        <v>0</v>
      </c>
      <c r="AE36" s="39">
        <f t="shared" si="15"/>
        <v>0</v>
      </c>
      <c r="AF36" s="39">
        <f t="shared" si="15"/>
        <v>0</v>
      </c>
      <c r="AG36" s="39">
        <f t="shared" si="15"/>
        <v>0</v>
      </c>
      <c r="AH36" s="39">
        <f t="shared" si="15"/>
        <v>0</v>
      </c>
      <c r="AI36" s="39">
        <f t="shared" si="15"/>
        <v>0</v>
      </c>
      <c r="AJ36" s="39">
        <f t="shared" si="15"/>
        <v>1.2593343125830641</v>
      </c>
      <c r="AK36" s="39">
        <f t="shared" si="15"/>
        <v>0</v>
      </c>
      <c r="AL36" s="39">
        <f t="shared" si="15"/>
        <v>0</v>
      </c>
      <c r="AM36" s="39">
        <f t="shared" si="15"/>
        <v>2.3241678925219933</v>
      </c>
      <c r="AN36" s="39">
        <f t="shared" si="15"/>
        <v>0</v>
      </c>
      <c r="AO36" s="39">
        <f t="shared" si="15"/>
        <v>0</v>
      </c>
      <c r="AP36" s="39">
        <f t="shared" si="15"/>
        <v>0</v>
      </c>
      <c r="AQ36" s="39">
        <f t="shared" si="15"/>
        <v>0</v>
      </c>
      <c r="AR36" s="39">
        <f t="shared" si="15"/>
        <v>0</v>
      </c>
      <c r="AS36" s="39">
        <f t="shared" si="15"/>
        <v>0</v>
      </c>
      <c r="AT36" s="39">
        <f t="shared" si="15"/>
        <v>0</v>
      </c>
      <c r="AU36" s="39">
        <f t="shared" si="15"/>
        <v>0</v>
      </c>
      <c r="AV36" s="39">
        <f t="shared" si="15"/>
        <v>0</v>
      </c>
      <c r="AW36" s="39">
        <f t="shared" si="15"/>
        <v>0</v>
      </c>
      <c r="AX36" s="39">
        <f t="shared" si="15"/>
        <v>0</v>
      </c>
      <c r="AY36" s="39">
        <f t="shared" si="15"/>
        <v>0</v>
      </c>
      <c r="AZ36" s="39">
        <f t="shared" si="15"/>
        <v>0</v>
      </c>
      <c r="BA36" s="39">
        <f t="shared" si="15"/>
        <v>0</v>
      </c>
      <c r="BB36" s="39">
        <f t="shared" si="15"/>
        <v>0</v>
      </c>
      <c r="BC36" s="39">
        <f t="shared" si="15"/>
        <v>0</v>
      </c>
      <c r="BD36" s="39">
        <f t="shared" si="15"/>
        <v>0</v>
      </c>
      <c r="BE36" s="39">
        <f t="shared" si="15"/>
        <v>0</v>
      </c>
      <c r="BF36" s="39">
        <f t="shared" si="15"/>
        <v>0</v>
      </c>
      <c r="BG36" s="39">
        <f t="shared" si="15"/>
        <v>0</v>
      </c>
      <c r="BH36" s="39">
        <f t="shared" si="15"/>
        <v>0</v>
      </c>
      <c r="BI36" s="39">
        <f t="shared" si="15"/>
        <v>0</v>
      </c>
      <c r="BJ36" s="39">
        <f t="shared" si="15"/>
        <v>0</v>
      </c>
      <c r="BK36" s="39">
        <f t="shared" si="15"/>
        <v>0</v>
      </c>
      <c r="BL36" s="39">
        <f t="shared" si="15"/>
        <v>0</v>
      </c>
      <c r="BM36" s="39">
        <f t="shared" si="15"/>
        <v>0</v>
      </c>
      <c r="BN36" s="39">
        <f t="shared" si="15"/>
        <v>0</v>
      </c>
      <c r="BO36" s="39">
        <f t="shared" si="15"/>
        <v>0</v>
      </c>
      <c r="BP36" s="39">
        <f t="shared" ref="BP36:EA36" si="16">(($B$31+1)*BP4)/(BP4+$B$31*((1-$B$32)+$B$32*($B36/$B$33)))*BP$27</f>
        <v>0</v>
      </c>
      <c r="BQ36" s="39">
        <f t="shared" si="16"/>
        <v>0</v>
      </c>
      <c r="BR36" s="39">
        <f t="shared" si="16"/>
        <v>2.3241678925219933</v>
      </c>
      <c r="BS36" s="39">
        <f t="shared" si="16"/>
        <v>0</v>
      </c>
      <c r="BT36" s="39">
        <f t="shared" si="16"/>
        <v>0</v>
      </c>
      <c r="BU36" s="39">
        <f t="shared" si="16"/>
        <v>0</v>
      </c>
      <c r="BV36" s="39">
        <f t="shared" si="16"/>
        <v>0</v>
      </c>
      <c r="BW36" s="39">
        <f t="shared" si="16"/>
        <v>0</v>
      </c>
      <c r="BX36" s="39">
        <f t="shared" si="16"/>
        <v>0</v>
      </c>
      <c r="BY36" s="39">
        <f t="shared" si="16"/>
        <v>2.3241678925219933</v>
      </c>
      <c r="BZ36" s="39">
        <f t="shared" si="16"/>
        <v>0</v>
      </c>
      <c r="CA36" s="39">
        <f t="shared" si="16"/>
        <v>0</v>
      </c>
      <c r="CB36" s="39">
        <f t="shared" si="16"/>
        <v>2.9960030807074745</v>
      </c>
      <c r="CC36" s="39">
        <f t="shared" si="16"/>
        <v>0</v>
      </c>
      <c r="CD36" s="39">
        <f t="shared" si="16"/>
        <v>0</v>
      </c>
      <c r="CE36" s="39">
        <f t="shared" si="16"/>
        <v>0</v>
      </c>
      <c r="CF36" s="39">
        <f t="shared" si="16"/>
        <v>0</v>
      </c>
      <c r="CG36" s="39">
        <f t="shared" si="16"/>
        <v>0</v>
      </c>
      <c r="CH36" s="39">
        <f t="shared" si="16"/>
        <v>0</v>
      </c>
      <c r="CI36" s="39">
        <f t="shared" si="16"/>
        <v>0</v>
      </c>
      <c r="CJ36" s="39">
        <f t="shared" si="16"/>
        <v>0</v>
      </c>
      <c r="CK36" s="39">
        <f t="shared" si="16"/>
        <v>0</v>
      </c>
      <c r="CL36" s="39">
        <f t="shared" si="16"/>
        <v>0</v>
      </c>
      <c r="CM36" s="39">
        <f t="shared" si="16"/>
        <v>0</v>
      </c>
      <c r="CN36" s="39">
        <f t="shared" si="16"/>
        <v>0</v>
      </c>
      <c r="CO36" s="39">
        <f t="shared" si="16"/>
        <v>0</v>
      </c>
      <c r="CP36" s="39">
        <f t="shared" si="16"/>
        <v>0</v>
      </c>
      <c r="CQ36" s="39">
        <f t="shared" si="16"/>
        <v>0</v>
      </c>
      <c r="CR36" s="39">
        <f t="shared" si="16"/>
        <v>1.6523327043365117</v>
      </c>
      <c r="CS36" s="39">
        <f t="shared" si="16"/>
        <v>0</v>
      </c>
      <c r="CT36" s="39">
        <f t="shared" si="16"/>
        <v>0</v>
      </c>
      <c r="CU36" s="39">
        <f t="shared" si="16"/>
        <v>0</v>
      </c>
      <c r="CV36" s="39">
        <f t="shared" si="16"/>
        <v>2.9960030807074745</v>
      </c>
      <c r="CW36" s="39">
        <f t="shared" si="16"/>
        <v>0</v>
      </c>
      <c r="CX36" s="39">
        <f t="shared" si="16"/>
        <v>0</v>
      </c>
      <c r="CY36" s="39">
        <f t="shared" si="16"/>
        <v>0</v>
      </c>
      <c r="CZ36" s="39">
        <f t="shared" si="16"/>
        <v>0</v>
      </c>
      <c r="DA36" s="39">
        <f t="shared" si="16"/>
        <v>0</v>
      </c>
      <c r="DB36" s="39">
        <f t="shared" si="16"/>
        <v>0</v>
      </c>
      <c r="DC36" s="39">
        <f t="shared" si="16"/>
        <v>2.9960030807074745</v>
      </c>
      <c r="DD36" s="39">
        <f t="shared" si="16"/>
        <v>0</v>
      </c>
      <c r="DE36" s="39">
        <f t="shared" si="16"/>
        <v>0</v>
      </c>
      <c r="DF36" s="39">
        <f t="shared" si="16"/>
        <v>0</v>
      </c>
      <c r="DG36" s="39">
        <f t="shared" si="16"/>
        <v>0</v>
      </c>
      <c r="DH36" s="39">
        <f t="shared" si="16"/>
        <v>2.9960030807074745</v>
      </c>
      <c r="DI36" s="39">
        <f t="shared" si="16"/>
        <v>0</v>
      </c>
      <c r="DJ36" s="39">
        <f t="shared" si="16"/>
        <v>0</v>
      </c>
      <c r="DK36" s="39">
        <f t="shared" si="16"/>
        <v>0</v>
      </c>
      <c r="DL36" s="39">
        <f t="shared" si="16"/>
        <v>0</v>
      </c>
      <c r="DM36" s="39">
        <f t="shared" si="16"/>
        <v>0</v>
      </c>
      <c r="DN36" s="39">
        <f t="shared" si="16"/>
        <v>0</v>
      </c>
      <c r="DO36" s="39">
        <f t="shared" si="16"/>
        <v>0</v>
      </c>
      <c r="DP36" s="39">
        <f t="shared" si="16"/>
        <v>0</v>
      </c>
      <c r="DQ36" s="39">
        <f t="shared" si="16"/>
        <v>0</v>
      </c>
      <c r="DR36" s="39">
        <f t="shared" si="16"/>
        <v>2.3241678925219933</v>
      </c>
      <c r="DS36" s="39">
        <f t="shared" si="16"/>
        <v>0</v>
      </c>
      <c r="DT36" s="39">
        <f t="shared" si="16"/>
        <v>0</v>
      </c>
      <c r="DU36" s="39">
        <f t="shared" si="16"/>
        <v>2.9960030807074745</v>
      </c>
      <c r="DV36" s="39">
        <f t="shared" si="16"/>
        <v>0</v>
      </c>
      <c r="DW36" s="39">
        <f t="shared" si="16"/>
        <v>0</v>
      </c>
      <c r="DX36" s="39">
        <f t="shared" si="16"/>
        <v>0</v>
      </c>
      <c r="DY36" s="39">
        <f t="shared" si="16"/>
        <v>0</v>
      </c>
      <c r="DZ36" s="39">
        <f t="shared" si="16"/>
        <v>0</v>
      </c>
      <c r="EA36" s="39">
        <f t="shared" si="16"/>
        <v>0</v>
      </c>
      <c r="EB36" s="39">
        <f t="shared" ref="EB36:GM36" si="17">(($B$31+1)*EB4)/(EB4+$B$31*((1-$B$32)+$B$32*($B36/$B$33)))*EB$27</f>
        <v>0</v>
      </c>
      <c r="EC36" s="39">
        <f t="shared" si="17"/>
        <v>0</v>
      </c>
      <c r="ED36" s="39">
        <f t="shared" si="17"/>
        <v>0</v>
      </c>
      <c r="EE36" s="39">
        <f t="shared" si="17"/>
        <v>0</v>
      </c>
      <c r="EF36" s="39">
        <f t="shared" si="17"/>
        <v>0</v>
      </c>
      <c r="EG36" s="39">
        <f t="shared" si="17"/>
        <v>2.3241678925219933</v>
      </c>
      <c r="EH36" s="39">
        <f t="shared" si="17"/>
        <v>0</v>
      </c>
      <c r="EI36" s="39">
        <f t="shared" si="17"/>
        <v>0</v>
      </c>
      <c r="EJ36" s="39">
        <f t="shared" si="17"/>
        <v>0</v>
      </c>
      <c r="EK36" s="39">
        <f t="shared" si="17"/>
        <v>0</v>
      </c>
      <c r="EL36" s="39">
        <f t="shared" si="17"/>
        <v>0</v>
      </c>
      <c r="EM36" s="39">
        <f t="shared" si="17"/>
        <v>0</v>
      </c>
      <c r="EN36" s="39">
        <f t="shared" si="17"/>
        <v>0</v>
      </c>
      <c r="EO36" s="39">
        <f t="shared" si="17"/>
        <v>0</v>
      </c>
      <c r="EP36" s="39">
        <f t="shared" si="17"/>
        <v>0</v>
      </c>
      <c r="EQ36" s="39">
        <f t="shared" si="17"/>
        <v>0</v>
      </c>
      <c r="ER36" s="39">
        <f t="shared" si="17"/>
        <v>0</v>
      </c>
      <c r="ES36" s="39">
        <f t="shared" si="17"/>
        <v>0</v>
      </c>
      <c r="ET36" s="39">
        <f t="shared" si="17"/>
        <v>0</v>
      </c>
      <c r="EU36" s="39">
        <f t="shared" si="17"/>
        <v>0</v>
      </c>
      <c r="EV36" s="39">
        <f t="shared" si="17"/>
        <v>0</v>
      </c>
      <c r="EW36" s="39">
        <f t="shared" si="17"/>
        <v>0</v>
      </c>
      <c r="EX36" s="39">
        <f t="shared" si="17"/>
        <v>0</v>
      </c>
      <c r="EY36" s="39">
        <f t="shared" si="17"/>
        <v>0</v>
      </c>
      <c r="EZ36" s="39">
        <f t="shared" si="17"/>
        <v>0</v>
      </c>
      <c r="FA36" s="39">
        <f t="shared" si="17"/>
        <v>0</v>
      </c>
      <c r="FB36" s="39">
        <f t="shared" si="17"/>
        <v>0</v>
      </c>
      <c r="FC36" s="39">
        <f t="shared" si="17"/>
        <v>0</v>
      </c>
      <c r="FD36" s="39">
        <f t="shared" si="17"/>
        <v>0</v>
      </c>
      <c r="FE36" s="39">
        <f t="shared" si="17"/>
        <v>0.9804975161510302</v>
      </c>
      <c r="FF36" s="39">
        <f t="shared" si="17"/>
        <v>0</v>
      </c>
      <c r="FG36" s="39">
        <f t="shared" si="17"/>
        <v>0</v>
      </c>
      <c r="FH36" s="39">
        <f t="shared" si="17"/>
        <v>0</v>
      </c>
      <c r="FI36" s="39">
        <f t="shared" si="17"/>
        <v>0</v>
      </c>
      <c r="FJ36" s="39">
        <f t="shared" si="17"/>
        <v>0</v>
      </c>
      <c r="FK36" s="39">
        <f t="shared" si="17"/>
        <v>0</v>
      </c>
      <c r="FL36" s="39">
        <f t="shared" si="17"/>
        <v>0</v>
      </c>
      <c r="FM36" s="39">
        <f t="shared" si="17"/>
        <v>0</v>
      </c>
      <c r="FN36" s="39">
        <f t="shared" si="17"/>
        <v>0</v>
      </c>
      <c r="FO36" s="39">
        <f t="shared" si="17"/>
        <v>0</v>
      </c>
      <c r="FP36" s="39">
        <f t="shared" si="17"/>
        <v>0</v>
      </c>
      <c r="FQ36" s="39">
        <f t="shared" si="17"/>
        <v>0</v>
      </c>
      <c r="FR36" s="39">
        <f t="shared" si="17"/>
        <v>0</v>
      </c>
      <c r="FS36" s="39">
        <f t="shared" si="17"/>
        <v>0</v>
      </c>
      <c r="FT36" s="39">
        <f t="shared" si="17"/>
        <v>0</v>
      </c>
      <c r="FU36" s="39">
        <f t="shared" si="17"/>
        <v>0</v>
      </c>
      <c r="FV36" s="39">
        <f t="shared" si="17"/>
        <v>0</v>
      </c>
      <c r="FW36" s="39">
        <f t="shared" si="17"/>
        <v>0</v>
      </c>
      <c r="FX36" s="39">
        <f t="shared" si="17"/>
        <v>0</v>
      </c>
      <c r="FY36" s="39">
        <f t="shared" si="17"/>
        <v>0</v>
      </c>
      <c r="FZ36" s="39">
        <f t="shared" si="17"/>
        <v>0</v>
      </c>
      <c r="GA36" s="39">
        <f t="shared" si="17"/>
        <v>0</v>
      </c>
      <c r="GB36" s="39">
        <f t="shared" si="17"/>
        <v>0</v>
      </c>
      <c r="GC36" s="39">
        <f t="shared" si="17"/>
        <v>0</v>
      </c>
      <c r="GD36" s="39">
        <f t="shared" si="17"/>
        <v>0</v>
      </c>
      <c r="GE36" s="39">
        <f t="shared" si="17"/>
        <v>0</v>
      </c>
      <c r="GF36" s="39">
        <f t="shared" si="17"/>
        <v>0</v>
      </c>
      <c r="GG36" s="39">
        <f t="shared" si="17"/>
        <v>0</v>
      </c>
      <c r="GH36" s="39">
        <f t="shared" si="17"/>
        <v>0</v>
      </c>
      <c r="GI36" s="39">
        <f t="shared" si="17"/>
        <v>0</v>
      </c>
      <c r="GJ36" s="39">
        <f t="shared" si="17"/>
        <v>2.9960030807074745</v>
      </c>
      <c r="GK36" s="39">
        <f t="shared" si="17"/>
        <v>0</v>
      </c>
      <c r="GL36" s="39">
        <f t="shared" si="17"/>
        <v>0</v>
      </c>
      <c r="GM36" s="39">
        <f t="shared" si="17"/>
        <v>0</v>
      </c>
      <c r="GN36" s="39">
        <f t="shared" ref="GN36:IG36" si="18">(($B$31+1)*GN4)/(GN4+$B$31*((1-$B$32)+$B$32*($B36/$B$33)))*GN$27</f>
        <v>0</v>
      </c>
      <c r="GO36" s="39">
        <f t="shared" si="18"/>
        <v>0</v>
      </c>
      <c r="GP36" s="39">
        <f t="shared" si="18"/>
        <v>0</v>
      </c>
      <c r="GQ36" s="39">
        <f t="shared" si="18"/>
        <v>0</v>
      </c>
      <c r="GR36" s="39">
        <f t="shared" si="18"/>
        <v>0</v>
      </c>
      <c r="GS36" s="39">
        <f t="shared" si="18"/>
        <v>0</v>
      </c>
      <c r="GT36" s="39">
        <f t="shared" si="18"/>
        <v>0</v>
      </c>
      <c r="GU36" s="39">
        <f t="shared" si="18"/>
        <v>0</v>
      </c>
      <c r="GV36" s="39">
        <f t="shared" si="18"/>
        <v>0</v>
      </c>
      <c r="GW36" s="39">
        <f t="shared" si="18"/>
        <v>0</v>
      </c>
      <c r="GX36" s="39">
        <f t="shared" si="18"/>
        <v>0</v>
      </c>
      <c r="GY36" s="39">
        <f t="shared" si="18"/>
        <v>0</v>
      </c>
      <c r="GZ36" s="39">
        <f t="shared" si="18"/>
        <v>0</v>
      </c>
      <c r="HA36" s="39">
        <f t="shared" si="18"/>
        <v>0</v>
      </c>
      <c r="HB36" s="39">
        <f t="shared" si="18"/>
        <v>0</v>
      </c>
      <c r="HC36" s="39">
        <f t="shared" si="18"/>
        <v>0</v>
      </c>
      <c r="HD36" s="39">
        <f t="shared" si="18"/>
        <v>0</v>
      </c>
      <c r="HE36" s="39">
        <f t="shared" si="18"/>
        <v>0</v>
      </c>
      <c r="HF36" s="39">
        <f t="shared" si="18"/>
        <v>0</v>
      </c>
      <c r="HG36" s="39">
        <f t="shared" si="18"/>
        <v>0</v>
      </c>
      <c r="HH36" s="39">
        <f t="shared" si="18"/>
        <v>0</v>
      </c>
      <c r="HI36" s="39">
        <f t="shared" si="18"/>
        <v>0</v>
      </c>
      <c r="HJ36" s="39">
        <f t="shared" si="18"/>
        <v>0</v>
      </c>
      <c r="HK36" s="39">
        <f t="shared" si="18"/>
        <v>0</v>
      </c>
      <c r="HL36" s="39">
        <f t="shared" si="18"/>
        <v>0</v>
      </c>
      <c r="HM36" s="39">
        <f t="shared" si="18"/>
        <v>0</v>
      </c>
      <c r="HN36" s="39">
        <f t="shared" si="18"/>
        <v>0</v>
      </c>
      <c r="HO36" s="39">
        <f t="shared" si="18"/>
        <v>0</v>
      </c>
      <c r="HP36" s="39">
        <f t="shared" si="18"/>
        <v>0</v>
      </c>
      <c r="HQ36" s="39">
        <f t="shared" si="18"/>
        <v>0</v>
      </c>
      <c r="HR36" s="39">
        <f t="shared" si="18"/>
        <v>0</v>
      </c>
      <c r="HS36" s="39">
        <f t="shared" si="18"/>
        <v>0</v>
      </c>
      <c r="HT36" s="39">
        <f t="shared" si="18"/>
        <v>0</v>
      </c>
      <c r="HU36" s="39">
        <f t="shared" si="18"/>
        <v>0</v>
      </c>
      <c r="HV36" s="39">
        <f t="shared" si="18"/>
        <v>0</v>
      </c>
      <c r="HW36" s="39">
        <f t="shared" si="18"/>
        <v>0</v>
      </c>
      <c r="HX36" s="39">
        <f t="shared" si="18"/>
        <v>0</v>
      </c>
      <c r="HY36" s="39">
        <f t="shared" si="18"/>
        <v>2.9960030807074745</v>
      </c>
      <c r="HZ36" s="39">
        <f t="shared" si="18"/>
        <v>0</v>
      </c>
      <c r="IA36" s="39">
        <f t="shared" si="18"/>
        <v>0</v>
      </c>
      <c r="IB36" s="39">
        <f t="shared" si="18"/>
        <v>0</v>
      </c>
      <c r="IC36" s="39">
        <f t="shared" si="18"/>
        <v>0</v>
      </c>
      <c r="ID36" s="39">
        <f t="shared" si="18"/>
        <v>0</v>
      </c>
      <c r="IE36" s="39">
        <f t="shared" si="18"/>
        <v>0</v>
      </c>
      <c r="IF36" s="39">
        <f t="shared" si="18"/>
        <v>0</v>
      </c>
      <c r="IG36" s="39">
        <f t="shared" si="18"/>
        <v>0</v>
      </c>
      <c r="IH36" s="43">
        <v>0.27617771830543153</v>
      </c>
      <c r="II36" s="43">
        <v>0.278843523987646</v>
      </c>
    </row>
    <row r="37" spans="1:243" x14ac:dyDescent="0.3">
      <c r="A37" s="34" t="s">
        <v>38</v>
      </c>
      <c r="B37" s="38">
        <f t="shared" si="14"/>
        <v>15</v>
      </c>
      <c r="C37" s="39">
        <f t="shared" ref="C37:BN37" si="19">(($B$31+1)*C5)/(C5+$B$31*((1-$B$32)+$B$32*($B37/$B$33)))*C$27</f>
        <v>0</v>
      </c>
      <c r="D37" s="39">
        <f t="shared" si="19"/>
        <v>0</v>
      </c>
      <c r="E37" s="39">
        <f t="shared" si="19"/>
        <v>0</v>
      </c>
      <c r="F37" s="39">
        <f t="shared" si="19"/>
        <v>0</v>
      </c>
      <c r="G37" s="39">
        <f t="shared" si="19"/>
        <v>0</v>
      </c>
      <c r="H37" s="39">
        <f t="shared" si="19"/>
        <v>0</v>
      </c>
      <c r="I37" s="39">
        <f t="shared" si="19"/>
        <v>0</v>
      </c>
      <c r="J37" s="39">
        <f t="shared" si="19"/>
        <v>0</v>
      </c>
      <c r="K37" s="39">
        <f t="shared" si="19"/>
        <v>3.0957187656932001</v>
      </c>
      <c r="L37" s="39">
        <f t="shared" si="19"/>
        <v>0</v>
      </c>
      <c r="M37" s="39">
        <f t="shared" si="19"/>
        <v>0</v>
      </c>
      <c r="N37" s="39">
        <f t="shared" si="19"/>
        <v>0</v>
      </c>
      <c r="O37" s="39">
        <f t="shared" si="19"/>
        <v>0</v>
      </c>
      <c r="P37" s="39">
        <f t="shared" si="19"/>
        <v>0</v>
      </c>
      <c r="Q37" s="39">
        <f t="shared" si="19"/>
        <v>0</v>
      </c>
      <c r="R37" s="39">
        <f t="shared" si="19"/>
        <v>0</v>
      </c>
      <c r="S37" s="39">
        <f t="shared" si="19"/>
        <v>0</v>
      </c>
      <c r="T37" s="39">
        <f t="shared" si="19"/>
        <v>0</v>
      </c>
      <c r="U37" s="39">
        <f t="shared" si="19"/>
        <v>0</v>
      </c>
      <c r="V37" s="39">
        <f t="shared" si="19"/>
        <v>0</v>
      </c>
      <c r="W37" s="39">
        <f t="shared" si="19"/>
        <v>3.0957187656932001</v>
      </c>
      <c r="X37" s="39">
        <f t="shared" si="19"/>
        <v>0</v>
      </c>
      <c r="Y37" s="39">
        <f t="shared" si="19"/>
        <v>0</v>
      </c>
      <c r="Z37" s="39">
        <f t="shared" si="19"/>
        <v>0</v>
      </c>
      <c r="AA37" s="39">
        <f t="shared" si="19"/>
        <v>0</v>
      </c>
      <c r="AB37" s="39">
        <f t="shared" si="19"/>
        <v>0</v>
      </c>
      <c r="AC37" s="39">
        <f t="shared" si="19"/>
        <v>0</v>
      </c>
      <c r="AD37" s="39">
        <f t="shared" si="19"/>
        <v>0</v>
      </c>
      <c r="AE37" s="39">
        <f t="shared" si="19"/>
        <v>0</v>
      </c>
      <c r="AF37" s="39">
        <f t="shared" si="19"/>
        <v>0</v>
      </c>
      <c r="AG37" s="39">
        <f t="shared" si="19"/>
        <v>0</v>
      </c>
      <c r="AH37" s="39">
        <f t="shared" si="19"/>
        <v>0</v>
      </c>
      <c r="AI37" s="39">
        <f t="shared" si="19"/>
        <v>0</v>
      </c>
      <c r="AJ37" s="39">
        <f t="shared" si="19"/>
        <v>0</v>
      </c>
      <c r="AK37" s="39">
        <f t="shared" si="19"/>
        <v>3.0957187656932001</v>
      </c>
      <c r="AL37" s="39">
        <f t="shared" si="19"/>
        <v>0</v>
      </c>
      <c r="AM37" s="39">
        <f t="shared" si="19"/>
        <v>0</v>
      </c>
      <c r="AN37" s="39">
        <f t="shared" si="19"/>
        <v>0</v>
      </c>
      <c r="AO37" s="39">
        <f t="shared" si="19"/>
        <v>0</v>
      </c>
      <c r="AP37" s="39">
        <f t="shared" si="19"/>
        <v>0</v>
      </c>
      <c r="AQ37" s="39">
        <f t="shared" si="19"/>
        <v>0</v>
      </c>
      <c r="AR37" s="39">
        <f t="shared" si="19"/>
        <v>0</v>
      </c>
      <c r="AS37" s="39">
        <f t="shared" si="19"/>
        <v>0</v>
      </c>
      <c r="AT37" s="39">
        <f t="shared" si="19"/>
        <v>0</v>
      </c>
      <c r="AU37" s="39">
        <f t="shared" si="19"/>
        <v>0</v>
      </c>
      <c r="AV37" s="39">
        <f t="shared" si="19"/>
        <v>0</v>
      </c>
      <c r="AW37" s="39">
        <f t="shared" si="19"/>
        <v>0</v>
      </c>
      <c r="AX37" s="39">
        <f t="shared" si="19"/>
        <v>0</v>
      </c>
      <c r="AY37" s="39">
        <f t="shared" si="19"/>
        <v>0</v>
      </c>
      <c r="AZ37" s="39">
        <f t="shared" si="19"/>
        <v>0</v>
      </c>
      <c r="BA37" s="39">
        <f t="shared" si="19"/>
        <v>0</v>
      </c>
      <c r="BB37" s="39">
        <f t="shared" si="19"/>
        <v>0</v>
      </c>
      <c r="BC37" s="39">
        <f t="shared" si="19"/>
        <v>0</v>
      </c>
      <c r="BD37" s="39">
        <f t="shared" si="19"/>
        <v>0</v>
      </c>
      <c r="BE37" s="39">
        <f t="shared" si="19"/>
        <v>0</v>
      </c>
      <c r="BF37" s="39">
        <f t="shared" si="19"/>
        <v>0</v>
      </c>
      <c r="BG37" s="39">
        <f t="shared" si="19"/>
        <v>0</v>
      </c>
      <c r="BH37" s="39">
        <f t="shared" si="19"/>
        <v>0</v>
      </c>
      <c r="BI37" s="39">
        <f t="shared" si="19"/>
        <v>0</v>
      </c>
      <c r="BJ37" s="39">
        <f t="shared" si="19"/>
        <v>3.0957187656932001</v>
      </c>
      <c r="BK37" s="39">
        <f t="shared" si="19"/>
        <v>0</v>
      </c>
      <c r="BL37" s="39">
        <f t="shared" si="19"/>
        <v>0</v>
      </c>
      <c r="BM37" s="39">
        <f t="shared" si="19"/>
        <v>0</v>
      </c>
      <c r="BN37" s="39">
        <f t="shared" si="19"/>
        <v>0</v>
      </c>
      <c r="BO37" s="39">
        <f t="shared" ref="BO37:DZ37" si="20">(($B$31+1)*BO5)/(BO5+$B$31*((1-$B$32)+$B$32*($B37/$B$33)))*BO$27</f>
        <v>0</v>
      </c>
      <c r="BP37" s="39">
        <f t="shared" si="20"/>
        <v>0</v>
      </c>
      <c r="BQ37" s="39">
        <f t="shared" si="20"/>
        <v>2.4015229509720446</v>
      </c>
      <c r="BR37" s="39">
        <f t="shared" si="20"/>
        <v>0</v>
      </c>
      <c r="BS37" s="39">
        <f t="shared" si="20"/>
        <v>0</v>
      </c>
      <c r="BT37" s="39">
        <f t="shared" si="20"/>
        <v>1.9954444312025967</v>
      </c>
      <c r="BU37" s="39">
        <f t="shared" si="20"/>
        <v>0</v>
      </c>
      <c r="BV37" s="39">
        <f t="shared" si="20"/>
        <v>0</v>
      </c>
      <c r="BW37" s="39">
        <f t="shared" si="20"/>
        <v>0</v>
      </c>
      <c r="BX37" s="39">
        <f t="shared" si="20"/>
        <v>0</v>
      </c>
      <c r="BY37" s="39">
        <f t="shared" si="20"/>
        <v>0</v>
      </c>
      <c r="BZ37" s="39">
        <f t="shared" si="20"/>
        <v>0</v>
      </c>
      <c r="CA37" s="39">
        <f t="shared" si="20"/>
        <v>0</v>
      </c>
      <c r="CB37" s="39">
        <f t="shared" si="20"/>
        <v>0</v>
      </c>
      <c r="CC37" s="39">
        <f t="shared" si="20"/>
        <v>0</v>
      </c>
      <c r="CD37" s="39">
        <f t="shared" si="20"/>
        <v>0</v>
      </c>
      <c r="CE37" s="39">
        <f t="shared" si="20"/>
        <v>0</v>
      </c>
      <c r="CF37" s="39">
        <f t="shared" si="20"/>
        <v>0</v>
      </c>
      <c r="CG37" s="39">
        <f t="shared" si="20"/>
        <v>0</v>
      </c>
      <c r="CH37" s="39">
        <f t="shared" si="20"/>
        <v>0</v>
      </c>
      <c r="CI37" s="39">
        <f t="shared" si="20"/>
        <v>0</v>
      </c>
      <c r="CJ37" s="39">
        <f t="shared" si="20"/>
        <v>3.0957187656932001</v>
      </c>
      <c r="CK37" s="39">
        <f t="shared" si="20"/>
        <v>3.0957187656932001</v>
      </c>
      <c r="CL37" s="39">
        <f t="shared" si="20"/>
        <v>0</v>
      </c>
      <c r="CM37" s="39">
        <f t="shared" si="20"/>
        <v>0</v>
      </c>
      <c r="CN37" s="39">
        <f t="shared" si="20"/>
        <v>0</v>
      </c>
      <c r="CO37" s="39">
        <f t="shared" si="20"/>
        <v>0</v>
      </c>
      <c r="CP37" s="39">
        <f t="shared" si="20"/>
        <v>3.0957187656932001</v>
      </c>
      <c r="CQ37" s="39">
        <f t="shared" si="20"/>
        <v>0</v>
      </c>
      <c r="CR37" s="39">
        <f t="shared" si="20"/>
        <v>0</v>
      </c>
      <c r="CS37" s="39">
        <f t="shared" si="20"/>
        <v>0</v>
      </c>
      <c r="CT37" s="39">
        <f t="shared" si="20"/>
        <v>0</v>
      </c>
      <c r="CU37" s="39">
        <f t="shared" si="20"/>
        <v>0</v>
      </c>
      <c r="CV37" s="39">
        <f t="shared" si="20"/>
        <v>0</v>
      </c>
      <c r="CW37" s="39">
        <f t="shared" si="20"/>
        <v>0</v>
      </c>
      <c r="CX37" s="39">
        <f t="shared" si="20"/>
        <v>0</v>
      </c>
      <c r="CY37" s="39">
        <f t="shared" si="20"/>
        <v>0</v>
      </c>
      <c r="CZ37" s="39">
        <f t="shared" si="20"/>
        <v>0</v>
      </c>
      <c r="DA37" s="39">
        <f t="shared" si="20"/>
        <v>0</v>
      </c>
      <c r="DB37" s="39">
        <f t="shared" si="20"/>
        <v>0</v>
      </c>
      <c r="DC37" s="39">
        <f t="shared" si="20"/>
        <v>0</v>
      </c>
      <c r="DD37" s="39">
        <f t="shared" si="20"/>
        <v>0</v>
      </c>
      <c r="DE37" s="39">
        <f t="shared" si="20"/>
        <v>0</v>
      </c>
      <c r="DF37" s="39">
        <f t="shared" si="20"/>
        <v>0</v>
      </c>
      <c r="DG37" s="39">
        <f t="shared" si="20"/>
        <v>0</v>
      </c>
      <c r="DH37" s="39">
        <f t="shared" si="20"/>
        <v>0</v>
      </c>
      <c r="DI37" s="39">
        <f t="shared" si="20"/>
        <v>0</v>
      </c>
      <c r="DJ37" s="39">
        <f t="shared" si="20"/>
        <v>0</v>
      </c>
      <c r="DK37" s="39">
        <f t="shared" si="20"/>
        <v>0</v>
      </c>
      <c r="DL37" s="39">
        <f t="shared" si="20"/>
        <v>3.0957187656932001</v>
      </c>
      <c r="DM37" s="39">
        <f t="shared" si="20"/>
        <v>0</v>
      </c>
      <c r="DN37" s="39">
        <f t="shared" si="20"/>
        <v>0</v>
      </c>
      <c r="DO37" s="39">
        <f t="shared" si="20"/>
        <v>3.0957187656932001</v>
      </c>
      <c r="DP37" s="39">
        <f t="shared" si="20"/>
        <v>0</v>
      </c>
      <c r="DQ37" s="39">
        <f t="shared" si="20"/>
        <v>0</v>
      </c>
      <c r="DR37" s="39">
        <f t="shared" si="20"/>
        <v>0</v>
      </c>
      <c r="DS37" s="39">
        <f t="shared" si="20"/>
        <v>0</v>
      </c>
      <c r="DT37" s="39">
        <f t="shared" si="20"/>
        <v>0</v>
      </c>
      <c r="DU37" s="39">
        <f t="shared" si="20"/>
        <v>0</v>
      </c>
      <c r="DV37" s="39">
        <f t="shared" si="20"/>
        <v>2.4015229509720446</v>
      </c>
      <c r="DW37" s="39">
        <f t="shared" si="20"/>
        <v>0</v>
      </c>
      <c r="DX37" s="39">
        <f t="shared" si="20"/>
        <v>0</v>
      </c>
      <c r="DY37" s="39">
        <f t="shared" si="20"/>
        <v>0</v>
      </c>
      <c r="DZ37" s="39">
        <f t="shared" si="20"/>
        <v>0</v>
      </c>
      <c r="EA37" s="39">
        <f t="shared" ref="EA37:GL37" si="21">(($B$31+1)*EA5)/(EA5+$B$31*((1-$B$32)+$B$32*($B37/$B$33)))*EA$27</f>
        <v>0</v>
      </c>
      <c r="EB37" s="39">
        <f t="shared" si="21"/>
        <v>0</v>
      </c>
      <c r="EC37" s="39">
        <f t="shared" si="21"/>
        <v>0</v>
      </c>
      <c r="ED37" s="39">
        <f t="shared" si="21"/>
        <v>0</v>
      </c>
      <c r="EE37" s="39">
        <f t="shared" si="21"/>
        <v>0</v>
      </c>
      <c r="EF37" s="39">
        <f t="shared" si="21"/>
        <v>0</v>
      </c>
      <c r="EG37" s="39">
        <f t="shared" si="21"/>
        <v>0</v>
      </c>
      <c r="EH37" s="39">
        <f t="shared" si="21"/>
        <v>0</v>
      </c>
      <c r="EI37" s="39">
        <f t="shared" si="21"/>
        <v>0</v>
      </c>
      <c r="EJ37" s="39">
        <f t="shared" si="21"/>
        <v>0</v>
      </c>
      <c r="EK37" s="39">
        <f t="shared" si="21"/>
        <v>0</v>
      </c>
      <c r="EL37" s="39">
        <f t="shared" si="21"/>
        <v>0</v>
      </c>
      <c r="EM37" s="39">
        <f t="shared" si="21"/>
        <v>0</v>
      </c>
      <c r="EN37" s="39">
        <f t="shared" si="21"/>
        <v>0</v>
      </c>
      <c r="EO37" s="39">
        <f t="shared" si="21"/>
        <v>0</v>
      </c>
      <c r="EP37" s="39">
        <f t="shared" si="21"/>
        <v>0</v>
      </c>
      <c r="EQ37" s="39">
        <f t="shared" si="21"/>
        <v>0</v>
      </c>
      <c r="ER37" s="39">
        <f t="shared" si="21"/>
        <v>0</v>
      </c>
      <c r="ES37" s="39">
        <f t="shared" si="21"/>
        <v>0</v>
      </c>
      <c r="ET37" s="39">
        <f t="shared" si="21"/>
        <v>0</v>
      </c>
      <c r="EU37" s="39">
        <f t="shared" si="21"/>
        <v>0</v>
      </c>
      <c r="EV37" s="39">
        <f t="shared" si="21"/>
        <v>0</v>
      </c>
      <c r="EW37" s="39">
        <f t="shared" si="21"/>
        <v>0</v>
      </c>
      <c r="EX37" s="39">
        <f t="shared" si="21"/>
        <v>0</v>
      </c>
      <c r="EY37" s="39">
        <f t="shared" si="21"/>
        <v>0</v>
      </c>
      <c r="EZ37" s="39">
        <f t="shared" si="21"/>
        <v>0</v>
      </c>
      <c r="FA37" s="39">
        <f t="shared" si="21"/>
        <v>0</v>
      </c>
      <c r="FB37" s="39">
        <f t="shared" si="21"/>
        <v>0</v>
      </c>
      <c r="FC37" s="39">
        <f t="shared" si="21"/>
        <v>0</v>
      </c>
      <c r="FD37" s="39">
        <f t="shared" si="21"/>
        <v>0</v>
      </c>
      <c r="FE37" s="39">
        <f t="shared" si="21"/>
        <v>1.0131313215297333</v>
      </c>
      <c r="FF37" s="39">
        <f t="shared" si="21"/>
        <v>0</v>
      </c>
      <c r="FG37" s="39">
        <f t="shared" si="21"/>
        <v>0</v>
      </c>
      <c r="FH37" s="39">
        <f t="shared" si="21"/>
        <v>0</v>
      </c>
      <c r="FI37" s="39">
        <f t="shared" si="21"/>
        <v>0</v>
      </c>
      <c r="FJ37" s="39">
        <f t="shared" si="21"/>
        <v>0</v>
      </c>
      <c r="FK37" s="39">
        <f t="shared" si="21"/>
        <v>0</v>
      </c>
      <c r="FL37" s="39">
        <f t="shared" si="21"/>
        <v>0</v>
      </c>
      <c r="FM37" s="39">
        <f t="shared" si="21"/>
        <v>0</v>
      </c>
      <c r="FN37" s="39">
        <f t="shared" si="21"/>
        <v>0</v>
      </c>
      <c r="FO37" s="39">
        <f t="shared" si="21"/>
        <v>0</v>
      </c>
      <c r="FP37" s="39">
        <f t="shared" si="21"/>
        <v>0</v>
      </c>
      <c r="FQ37" s="39">
        <f t="shared" si="21"/>
        <v>0</v>
      </c>
      <c r="FR37" s="39">
        <f t="shared" si="21"/>
        <v>3.0957187656932001</v>
      </c>
      <c r="FS37" s="39">
        <f t="shared" si="21"/>
        <v>0</v>
      </c>
      <c r="FT37" s="39">
        <f t="shared" si="21"/>
        <v>0</v>
      </c>
      <c r="FU37" s="39">
        <f t="shared" si="21"/>
        <v>0</v>
      </c>
      <c r="FV37" s="39">
        <f t="shared" si="21"/>
        <v>1.9954444312025967</v>
      </c>
      <c r="FW37" s="39">
        <f t="shared" si="21"/>
        <v>0</v>
      </c>
      <c r="FX37" s="39">
        <f t="shared" si="21"/>
        <v>0</v>
      </c>
      <c r="FY37" s="39">
        <f t="shared" si="21"/>
        <v>0</v>
      </c>
      <c r="FZ37" s="39">
        <f t="shared" si="21"/>
        <v>0</v>
      </c>
      <c r="GA37" s="39">
        <f t="shared" si="21"/>
        <v>0</v>
      </c>
      <c r="GB37" s="39">
        <f t="shared" si="21"/>
        <v>0</v>
      </c>
      <c r="GC37" s="39">
        <f t="shared" si="21"/>
        <v>0</v>
      </c>
      <c r="GD37" s="39">
        <f t="shared" si="21"/>
        <v>0</v>
      </c>
      <c r="GE37" s="39">
        <f t="shared" si="21"/>
        <v>0</v>
      </c>
      <c r="GF37" s="39">
        <f t="shared" si="21"/>
        <v>0</v>
      </c>
      <c r="GG37" s="39">
        <f t="shared" si="21"/>
        <v>0</v>
      </c>
      <c r="GH37" s="39">
        <f t="shared" si="21"/>
        <v>0</v>
      </c>
      <c r="GI37" s="39">
        <f t="shared" si="21"/>
        <v>0</v>
      </c>
      <c r="GJ37" s="39">
        <f t="shared" si="21"/>
        <v>0</v>
      </c>
      <c r="GK37" s="39">
        <f t="shared" si="21"/>
        <v>0</v>
      </c>
      <c r="GL37" s="39">
        <f t="shared" si="21"/>
        <v>0</v>
      </c>
      <c r="GM37" s="39">
        <f t="shared" ref="GM37:IG37" si="22">(($B$31+1)*GM5)/(GM5+$B$31*((1-$B$32)+$B$32*($B37/$B$33)))*GM$27</f>
        <v>0</v>
      </c>
      <c r="GN37" s="39">
        <f t="shared" si="22"/>
        <v>0</v>
      </c>
      <c r="GO37" s="39">
        <f t="shared" si="22"/>
        <v>0</v>
      </c>
      <c r="GP37" s="39">
        <f t="shared" si="22"/>
        <v>0</v>
      </c>
      <c r="GQ37" s="39">
        <f t="shared" si="22"/>
        <v>0</v>
      </c>
      <c r="GR37" s="39">
        <f t="shared" si="22"/>
        <v>0</v>
      </c>
      <c r="GS37" s="39">
        <f t="shared" si="22"/>
        <v>0</v>
      </c>
      <c r="GT37" s="39">
        <f t="shared" si="22"/>
        <v>0</v>
      </c>
      <c r="GU37" s="39">
        <f t="shared" si="22"/>
        <v>0</v>
      </c>
      <c r="GV37" s="39">
        <f t="shared" si="22"/>
        <v>0</v>
      </c>
      <c r="GW37" s="39">
        <f t="shared" si="22"/>
        <v>0</v>
      </c>
      <c r="GX37" s="39">
        <f t="shared" si="22"/>
        <v>0</v>
      </c>
      <c r="GY37" s="39">
        <f t="shared" si="22"/>
        <v>0</v>
      </c>
      <c r="GZ37" s="39">
        <f t="shared" si="22"/>
        <v>0</v>
      </c>
      <c r="HA37" s="39">
        <f t="shared" si="22"/>
        <v>0</v>
      </c>
      <c r="HB37" s="39">
        <f t="shared" si="22"/>
        <v>0</v>
      </c>
      <c r="HC37" s="39">
        <f t="shared" si="22"/>
        <v>0</v>
      </c>
      <c r="HD37" s="39">
        <f t="shared" si="22"/>
        <v>0</v>
      </c>
      <c r="HE37" s="39">
        <f t="shared" si="22"/>
        <v>0</v>
      </c>
      <c r="HF37" s="39">
        <f t="shared" si="22"/>
        <v>0</v>
      </c>
      <c r="HG37" s="39">
        <f t="shared" si="22"/>
        <v>0</v>
      </c>
      <c r="HH37" s="39">
        <f t="shared" si="22"/>
        <v>0</v>
      </c>
      <c r="HI37" s="39">
        <f t="shared" si="22"/>
        <v>0</v>
      </c>
      <c r="HJ37" s="39">
        <f t="shared" si="22"/>
        <v>0</v>
      </c>
      <c r="HK37" s="39">
        <f t="shared" si="22"/>
        <v>0</v>
      </c>
      <c r="HL37" s="39">
        <f t="shared" si="22"/>
        <v>0</v>
      </c>
      <c r="HM37" s="39">
        <f t="shared" si="22"/>
        <v>0</v>
      </c>
      <c r="HN37" s="39">
        <f t="shared" si="22"/>
        <v>0</v>
      </c>
      <c r="HO37" s="39">
        <f t="shared" si="22"/>
        <v>0</v>
      </c>
      <c r="HP37" s="39">
        <f t="shared" si="22"/>
        <v>0</v>
      </c>
      <c r="HQ37" s="39">
        <f t="shared" si="22"/>
        <v>0</v>
      </c>
      <c r="HR37" s="39">
        <f t="shared" si="22"/>
        <v>0</v>
      </c>
      <c r="HS37" s="39">
        <f t="shared" si="22"/>
        <v>0</v>
      </c>
      <c r="HT37" s="39">
        <f t="shared" si="22"/>
        <v>0</v>
      </c>
      <c r="HU37" s="39">
        <f t="shared" si="22"/>
        <v>0</v>
      </c>
      <c r="HV37" s="39">
        <f t="shared" si="22"/>
        <v>0</v>
      </c>
      <c r="HW37" s="39">
        <f t="shared" si="22"/>
        <v>0</v>
      </c>
      <c r="HX37" s="39">
        <f t="shared" si="22"/>
        <v>0</v>
      </c>
      <c r="HY37" s="39">
        <f t="shared" si="22"/>
        <v>0</v>
      </c>
      <c r="HZ37" s="39">
        <f t="shared" si="22"/>
        <v>0</v>
      </c>
      <c r="IA37" s="39">
        <f t="shared" si="22"/>
        <v>0</v>
      </c>
      <c r="IB37" s="39">
        <f t="shared" si="22"/>
        <v>0</v>
      </c>
      <c r="IC37" s="39">
        <f t="shared" si="22"/>
        <v>0</v>
      </c>
      <c r="ID37" s="39">
        <f t="shared" si="22"/>
        <v>0</v>
      </c>
      <c r="IE37" s="39">
        <f t="shared" si="22"/>
        <v>0</v>
      </c>
      <c r="IF37" s="39">
        <f t="shared" si="22"/>
        <v>0</v>
      </c>
      <c r="IG37" s="39">
        <f t="shared" si="22"/>
        <v>0</v>
      </c>
      <c r="IH37" s="43">
        <v>0.24360762168354114</v>
      </c>
      <c r="II37" s="43">
        <v>0.24985108497653799</v>
      </c>
    </row>
    <row r="38" spans="1:243" x14ac:dyDescent="0.3">
      <c r="A38" s="34" t="s">
        <v>39</v>
      </c>
      <c r="B38" s="38">
        <f t="shared" si="14"/>
        <v>16</v>
      </c>
      <c r="C38" s="39">
        <f t="shared" ref="C38:BN38" si="23">(($B$31+1)*C6)/(C6+$B$31*((1-$B$32)+$B$32*($B38/$B$33)))*C$27</f>
        <v>0</v>
      </c>
      <c r="D38" s="39">
        <f t="shared" si="23"/>
        <v>0</v>
      </c>
      <c r="E38" s="39">
        <f t="shared" si="23"/>
        <v>0</v>
      </c>
      <c r="F38" s="39">
        <f t="shared" si="23"/>
        <v>0</v>
      </c>
      <c r="G38" s="39">
        <f t="shared" si="23"/>
        <v>0</v>
      </c>
      <c r="H38" s="39">
        <f t="shared" si="23"/>
        <v>0</v>
      </c>
      <c r="I38" s="39">
        <f t="shared" si="23"/>
        <v>0</v>
      </c>
      <c r="J38" s="39">
        <f t="shared" si="23"/>
        <v>0</v>
      </c>
      <c r="K38" s="39">
        <f t="shared" si="23"/>
        <v>0</v>
      </c>
      <c r="L38" s="39">
        <f t="shared" si="23"/>
        <v>0</v>
      </c>
      <c r="M38" s="39">
        <f t="shared" si="23"/>
        <v>0</v>
      </c>
      <c r="N38" s="39">
        <f t="shared" si="23"/>
        <v>0</v>
      </c>
      <c r="O38" s="39">
        <f t="shared" si="23"/>
        <v>0</v>
      </c>
      <c r="P38" s="39">
        <f t="shared" si="23"/>
        <v>0</v>
      </c>
      <c r="Q38" s="39">
        <f t="shared" si="23"/>
        <v>0</v>
      </c>
      <c r="R38" s="39">
        <f t="shared" si="23"/>
        <v>0</v>
      </c>
      <c r="S38" s="39">
        <f t="shared" si="23"/>
        <v>0</v>
      </c>
      <c r="T38" s="39">
        <f t="shared" si="23"/>
        <v>0</v>
      </c>
      <c r="U38" s="39">
        <f t="shared" si="23"/>
        <v>2.9960030807074745</v>
      </c>
      <c r="V38" s="39">
        <f t="shared" si="23"/>
        <v>0</v>
      </c>
      <c r="W38" s="39">
        <f t="shared" si="23"/>
        <v>0</v>
      </c>
      <c r="X38" s="39">
        <f t="shared" si="23"/>
        <v>0</v>
      </c>
      <c r="Y38" s="39">
        <f t="shared" si="23"/>
        <v>0</v>
      </c>
      <c r="Z38" s="39">
        <f t="shared" si="23"/>
        <v>0</v>
      </c>
      <c r="AA38" s="39">
        <f t="shared" si="23"/>
        <v>0</v>
      </c>
      <c r="AB38" s="39">
        <f t="shared" si="23"/>
        <v>0</v>
      </c>
      <c r="AC38" s="39">
        <f t="shared" si="23"/>
        <v>0</v>
      </c>
      <c r="AD38" s="39">
        <f t="shared" si="23"/>
        <v>0</v>
      </c>
      <c r="AE38" s="39">
        <f t="shared" si="23"/>
        <v>0</v>
      </c>
      <c r="AF38" s="39">
        <f t="shared" si="23"/>
        <v>2.3241678925219933</v>
      </c>
      <c r="AG38" s="39">
        <f t="shared" si="23"/>
        <v>0</v>
      </c>
      <c r="AH38" s="39">
        <f t="shared" si="23"/>
        <v>0</v>
      </c>
      <c r="AI38" s="39">
        <f t="shared" si="23"/>
        <v>0</v>
      </c>
      <c r="AJ38" s="39">
        <f t="shared" si="23"/>
        <v>1.2593343125830641</v>
      </c>
      <c r="AK38" s="39">
        <f t="shared" si="23"/>
        <v>0</v>
      </c>
      <c r="AL38" s="39">
        <f t="shared" si="23"/>
        <v>2.3241678925219933</v>
      </c>
      <c r="AM38" s="39">
        <f t="shared" si="23"/>
        <v>0</v>
      </c>
      <c r="AN38" s="39">
        <f t="shared" si="23"/>
        <v>0</v>
      </c>
      <c r="AO38" s="39">
        <f t="shared" si="23"/>
        <v>0</v>
      </c>
      <c r="AP38" s="39">
        <f t="shared" si="23"/>
        <v>0</v>
      </c>
      <c r="AQ38" s="39">
        <f t="shared" si="23"/>
        <v>0</v>
      </c>
      <c r="AR38" s="39">
        <f t="shared" si="23"/>
        <v>0</v>
      </c>
      <c r="AS38" s="39">
        <f t="shared" si="23"/>
        <v>0</v>
      </c>
      <c r="AT38" s="39">
        <f t="shared" si="23"/>
        <v>0</v>
      </c>
      <c r="AU38" s="39">
        <f t="shared" si="23"/>
        <v>1.9311695007685452</v>
      </c>
      <c r="AV38" s="39">
        <f t="shared" si="23"/>
        <v>0</v>
      </c>
      <c r="AW38" s="39">
        <f t="shared" si="23"/>
        <v>0</v>
      </c>
      <c r="AX38" s="39">
        <f t="shared" si="23"/>
        <v>0</v>
      </c>
      <c r="AY38" s="39">
        <f t="shared" si="23"/>
        <v>0</v>
      </c>
      <c r="AZ38" s="39">
        <f t="shared" si="23"/>
        <v>0</v>
      </c>
      <c r="BA38" s="39">
        <f t="shared" si="23"/>
        <v>0</v>
      </c>
      <c r="BB38" s="39">
        <f t="shared" si="23"/>
        <v>0</v>
      </c>
      <c r="BC38" s="39">
        <f t="shared" si="23"/>
        <v>0</v>
      </c>
      <c r="BD38" s="39">
        <f t="shared" si="23"/>
        <v>0</v>
      </c>
      <c r="BE38" s="39">
        <f t="shared" si="23"/>
        <v>0</v>
      </c>
      <c r="BF38" s="39">
        <f t="shared" si="23"/>
        <v>0</v>
      </c>
      <c r="BG38" s="39">
        <f t="shared" si="23"/>
        <v>0</v>
      </c>
      <c r="BH38" s="39">
        <f t="shared" si="23"/>
        <v>0</v>
      </c>
      <c r="BI38" s="39">
        <f t="shared" si="23"/>
        <v>0</v>
      </c>
      <c r="BJ38" s="39">
        <f t="shared" si="23"/>
        <v>0</v>
      </c>
      <c r="BK38" s="39">
        <f t="shared" si="23"/>
        <v>0</v>
      </c>
      <c r="BL38" s="39">
        <f t="shared" si="23"/>
        <v>0</v>
      </c>
      <c r="BM38" s="39">
        <f t="shared" si="23"/>
        <v>0</v>
      </c>
      <c r="BN38" s="39">
        <f t="shared" si="23"/>
        <v>0</v>
      </c>
      <c r="BO38" s="39">
        <f t="shared" ref="BO38:DZ38" si="24">(($B$31+1)*BO6)/(BO6+$B$31*((1-$B$32)+$B$32*($B38/$B$33)))*BO$27</f>
        <v>0</v>
      </c>
      <c r="BP38" s="39">
        <f t="shared" si="24"/>
        <v>2.9960030807074745</v>
      </c>
      <c r="BQ38" s="39">
        <f t="shared" si="24"/>
        <v>0</v>
      </c>
      <c r="BR38" s="39">
        <f t="shared" si="24"/>
        <v>0</v>
      </c>
      <c r="BS38" s="39">
        <f t="shared" si="24"/>
        <v>0</v>
      </c>
      <c r="BT38" s="39">
        <f t="shared" si="24"/>
        <v>0</v>
      </c>
      <c r="BU38" s="39">
        <f t="shared" si="24"/>
        <v>0</v>
      </c>
      <c r="BV38" s="39">
        <f t="shared" si="24"/>
        <v>0</v>
      </c>
      <c r="BW38" s="39">
        <f t="shared" si="24"/>
        <v>0</v>
      </c>
      <c r="BX38" s="39">
        <f t="shared" si="24"/>
        <v>0</v>
      </c>
      <c r="BY38" s="39">
        <f t="shared" si="24"/>
        <v>0</v>
      </c>
      <c r="BZ38" s="39">
        <f t="shared" si="24"/>
        <v>0</v>
      </c>
      <c r="CA38" s="39">
        <f t="shared" si="24"/>
        <v>0</v>
      </c>
      <c r="CB38" s="39">
        <f t="shared" si="24"/>
        <v>0</v>
      </c>
      <c r="CC38" s="39">
        <f t="shared" si="24"/>
        <v>0</v>
      </c>
      <c r="CD38" s="39">
        <f t="shared" si="24"/>
        <v>0</v>
      </c>
      <c r="CE38" s="39">
        <f t="shared" si="24"/>
        <v>0</v>
      </c>
      <c r="CF38" s="39">
        <f t="shared" si="24"/>
        <v>0</v>
      </c>
      <c r="CG38" s="39">
        <f t="shared" si="24"/>
        <v>0</v>
      </c>
      <c r="CH38" s="39">
        <f t="shared" si="24"/>
        <v>0</v>
      </c>
      <c r="CI38" s="39">
        <f t="shared" si="24"/>
        <v>0</v>
      </c>
      <c r="CJ38" s="39">
        <f t="shared" si="24"/>
        <v>0</v>
      </c>
      <c r="CK38" s="39">
        <f t="shared" si="24"/>
        <v>0</v>
      </c>
      <c r="CL38" s="39">
        <f t="shared" si="24"/>
        <v>0</v>
      </c>
      <c r="CM38" s="39">
        <f t="shared" si="24"/>
        <v>0</v>
      </c>
      <c r="CN38" s="39">
        <f t="shared" si="24"/>
        <v>0</v>
      </c>
      <c r="CO38" s="39">
        <f t="shared" si="24"/>
        <v>0</v>
      </c>
      <c r="CP38" s="39">
        <f t="shared" si="24"/>
        <v>0</v>
      </c>
      <c r="CQ38" s="39">
        <f t="shared" si="24"/>
        <v>0</v>
      </c>
      <c r="CR38" s="39">
        <f t="shared" si="24"/>
        <v>1.6523327043365117</v>
      </c>
      <c r="CS38" s="39">
        <f t="shared" si="24"/>
        <v>0</v>
      </c>
      <c r="CT38" s="39">
        <f t="shared" si="24"/>
        <v>0</v>
      </c>
      <c r="CU38" s="39">
        <f t="shared" si="24"/>
        <v>0</v>
      </c>
      <c r="CV38" s="39">
        <f t="shared" si="24"/>
        <v>0</v>
      </c>
      <c r="CW38" s="39">
        <f t="shared" si="24"/>
        <v>0</v>
      </c>
      <c r="CX38" s="39">
        <f t="shared" si="24"/>
        <v>0</v>
      </c>
      <c r="CY38" s="39">
        <f t="shared" si="24"/>
        <v>0</v>
      </c>
      <c r="CZ38" s="39">
        <f t="shared" si="24"/>
        <v>0</v>
      </c>
      <c r="DA38" s="39">
        <f t="shared" si="24"/>
        <v>0</v>
      </c>
      <c r="DB38" s="39">
        <f t="shared" si="24"/>
        <v>0</v>
      </c>
      <c r="DC38" s="39">
        <f t="shared" si="24"/>
        <v>0</v>
      </c>
      <c r="DD38" s="39">
        <f t="shared" si="24"/>
        <v>0</v>
      </c>
      <c r="DE38" s="39">
        <f t="shared" si="24"/>
        <v>0</v>
      </c>
      <c r="DF38" s="39">
        <f t="shared" si="24"/>
        <v>0</v>
      </c>
      <c r="DG38" s="39">
        <f t="shared" si="24"/>
        <v>0</v>
      </c>
      <c r="DH38" s="39">
        <f t="shared" si="24"/>
        <v>0</v>
      </c>
      <c r="DI38" s="39">
        <f t="shared" si="24"/>
        <v>0</v>
      </c>
      <c r="DJ38" s="39">
        <f t="shared" si="24"/>
        <v>0</v>
      </c>
      <c r="DK38" s="39">
        <f t="shared" si="24"/>
        <v>0</v>
      </c>
      <c r="DL38" s="39">
        <f t="shared" si="24"/>
        <v>0</v>
      </c>
      <c r="DM38" s="39">
        <f t="shared" si="24"/>
        <v>0</v>
      </c>
      <c r="DN38" s="39">
        <f t="shared" si="24"/>
        <v>0</v>
      </c>
      <c r="DO38" s="39">
        <f t="shared" si="24"/>
        <v>0</v>
      </c>
      <c r="DP38" s="39">
        <f t="shared" si="24"/>
        <v>0</v>
      </c>
      <c r="DQ38" s="39">
        <f t="shared" si="24"/>
        <v>0</v>
      </c>
      <c r="DR38" s="39">
        <f t="shared" si="24"/>
        <v>0</v>
      </c>
      <c r="DS38" s="39">
        <f t="shared" si="24"/>
        <v>0</v>
      </c>
      <c r="DT38" s="39">
        <f t="shared" si="24"/>
        <v>2.9960030807074745</v>
      </c>
      <c r="DU38" s="39">
        <f t="shared" si="24"/>
        <v>0</v>
      </c>
      <c r="DV38" s="39">
        <f t="shared" si="24"/>
        <v>0</v>
      </c>
      <c r="DW38" s="39">
        <f t="shared" si="24"/>
        <v>0</v>
      </c>
      <c r="DX38" s="39">
        <f t="shared" si="24"/>
        <v>0</v>
      </c>
      <c r="DY38" s="39">
        <f t="shared" si="24"/>
        <v>0</v>
      </c>
      <c r="DZ38" s="39">
        <f t="shared" si="24"/>
        <v>0</v>
      </c>
      <c r="EA38" s="39">
        <f t="shared" ref="EA38:GL38" si="25">(($B$31+1)*EA6)/(EA6+$B$31*((1-$B$32)+$B$32*($B38/$B$33)))*EA$27</f>
        <v>0</v>
      </c>
      <c r="EB38" s="39">
        <f t="shared" si="25"/>
        <v>0</v>
      </c>
      <c r="EC38" s="39">
        <f t="shared" si="25"/>
        <v>0</v>
      </c>
      <c r="ED38" s="39">
        <f t="shared" si="25"/>
        <v>0</v>
      </c>
      <c r="EE38" s="39">
        <f t="shared" si="25"/>
        <v>0</v>
      </c>
      <c r="EF38" s="39">
        <f t="shared" si="25"/>
        <v>0</v>
      </c>
      <c r="EG38" s="39">
        <f t="shared" si="25"/>
        <v>0</v>
      </c>
      <c r="EH38" s="39">
        <f t="shared" si="25"/>
        <v>0</v>
      </c>
      <c r="EI38" s="39">
        <f t="shared" si="25"/>
        <v>0</v>
      </c>
      <c r="EJ38" s="39">
        <f t="shared" si="25"/>
        <v>0</v>
      </c>
      <c r="EK38" s="39">
        <f t="shared" si="25"/>
        <v>0</v>
      </c>
      <c r="EL38" s="39">
        <f t="shared" si="25"/>
        <v>1.0155590561357812</v>
      </c>
      <c r="EM38" s="39">
        <f t="shared" si="25"/>
        <v>0</v>
      </c>
      <c r="EN38" s="39">
        <f t="shared" si="25"/>
        <v>0</v>
      </c>
      <c r="EO38" s="39">
        <f t="shared" si="25"/>
        <v>0</v>
      </c>
      <c r="EP38" s="39">
        <f t="shared" si="25"/>
        <v>0</v>
      </c>
      <c r="EQ38" s="39">
        <f t="shared" si="25"/>
        <v>0</v>
      </c>
      <c r="ER38" s="39">
        <f t="shared" si="25"/>
        <v>0</v>
      </c>
      <c r="ES38" s="39">
        <f t="shared" si="25"/>
        <v>0</v>
      </c>
      <c r="ET38" s="39">
        <f t="shared" si="25"/>
        <v>0</v>
      </c>
      <c r="EU38" s="39">
        <f t="shared" si="25"/>
        <v>0</v>
      </c>
      <c r="EV38" s="39">
        <f t="shared" si="25"/>
        <v>0</v>
      </c>
      <c r="EW38" s="39">
        <f t="shared" si="25"/>
        <v>0</v>
      </c>
      <c r="EX38" s="39">
        <f t="shared" si="25"/>
        <v>0</v>
      </c>
      <c r="EY38" s="39">
        <f t="shared" si="25"/>
        <v>0</v>
      </c>
      <c r="EZ38" s="39">
        <f t="shared" si="25"/>
        <v>0</v>
      </c>
      <c r="FA38" s="39">
        <f t="shared" si="25"/>
        <v>0</v>
      </c>
      <c r="FB38" s="39">
        <f t="shared" si="25"/>
        <v>2.3241678925219933</v>
      </c>
      <c r="FC38" s="39">
        <f t="shared" si="25"/>
        <v>0</v>
      </c>
      <c r="FD38" s="39">
        <f t="shared" si="25"/>
        <v>0</v>
      </c>
      <c r="FE38" s="39">
        <f t="shared" si="25"/>
        <v>0</v>
      </c>
      <c r="FF38" s="39">
        <f t="shared" si="25"/>
        <v>2.3241678925219933</v>
      </c>
      <c r="FG38" s="39">
        <f t="shared" si="25"/>
        <v>0</v>
      </c>
      <c r="FH38" s="39">
        <f t="shared" si="25"/>
        <v>2.9960030807074745</v>
      </c>
      <c r="FI38" s="39">
        <f t="shared" si="25"/>
        <v>0</v>
      </c>
      <c r="FJ38" s="39">
        <f t="shared" si="25"/>
        <v>0</v>
      </c>
      <c r="FK38" s="39">
        <f t="shared" si="25"/>
        <v>0</v>
      </c>
      <c r="FL38" s="39">
        <f t="shared" si="25"/>
        <v>0</v>
      </c>
      <c r="FM38" s="39">
        <f t="shared" si="25"/>
        <v>0</v>
      </c>
      <c r="FN38" s="39">
        <f t="shared" si="25"/>
        <v>0</v>
      </c>
      <c r="FO38" s="39">
        <f t="shared" si="25"/>
        <v>0</v>
      </c>
      <c r="FP38" s="39">
        <f t="shared" si="25"/>
        <v>0</v>
      </c>
      <c r="FQ38" s="39">
        <f t="shared" si="25"/>
        <v>0</v>
      </c>
      <c r="FR38" s="39">
        <f t="shared" si="25"/>
        <v>0</v>
      </c>
      <c r="FS38" s="39">
        <f t="shared" si="25"/>
        <v>0</v>
      </c>
      <c r="FT38" s="39">
        <f t="shared" si="25"/>
        <v>0</v>
      </c>
      <c r="FU38" s="39">
        <f t="shared" si="25"/>
        <v>0</v>
      </c>
      <c r="FV38" s="39">
        <f t="shared" si="25"/>
        <v>0</v>
      </c>
      <c r="FW38" s="39">
        <f t="shared" si="25"/>
        <v>0</v>
      </c>
      <c r="FX38" s="39">
        <f t="shared" si="25"/>
        <v>2.9960030807074745</v>
      </c>
      <c r="FY38" s="39">
        <f t="shared" si="25"/>
        <v>0</v>
      </c>
      <c r="FZ38" s="39">
        <f t="shared" si="25"/>
        <v>0</v>
      </c>
      <c r="GA38" s="39">
        <f t="shared" si="25"/>
        <v>0</v>
      </c>
      <c r="GB38" s="39">
        <f t="shared" si="25"/>
        <v>0</v>
      </c>
      <c r="GC38" s="39">
        <f t="shared" si="25"/>
        <v>0</v>
      </c>
      <c r="GD38" s="39">
        <f t="shared" si="25"/>
        <v>0</v>
      </c>
      <c r="GE38" s="39">
        <f t="shared" si="25"/>
        <v>0</v>
      </c>
      <c r="GF38" s="39">
        <f t="shared" si="25"/>
        <v>0</v>
      </c>
      <c r="GG38" s="39">
        <f t="shared" si="25"/>
        <v>0</v>
      </c>
      <c r="GH38" s="39">
        <f t="shared" si="25"/>
        <v>0</v>
      </c>
      <c r="GI38" s="39">
        <f t="shared" si="25"/>
        <v>0</v>
      </c>
      <c r="GJ38" s="39">
        <f t="shared" si="25"/>
        <v>0</v>
      </c>
      <c r="GK38" s="39">
        <f t="shared" si="25"/>
        <v>0</v>
      </c>
      <c r="GL38" s="39">
        <f t="shared" si="25"/>
        <v>0</v>
      </c>
      <c r="GM38" s="39">
        <f t="shared" ref="GM38:IG38" si="26">(($B$31+1)*GM6)/(GM6+$B$31*((1-$B$32)+$B$32*($B38/$B$33)))*GM$27</f>
        <v>0</v>
      </c>
      <c r="GN38" s="39">
        <f t="shared" si="26"/>
        <v>0</v>
      </c>
      <c r="GO38" s="39">
        <f t="shared" si="26"/>
        <v>0</v>
      </c>
      <c r="GP38" s="39">
        <f t="shared" si="26"/>
        <v>0</v>
      </c>
      <c r="GQ38" s="39">
        <f t="shared" si="26"/>
        <v>0</v>
      </c>
      <c r="GR38" s="39">
        <f t="shared" si="26"/>
        <v>0</v>
      </c>
      <c r="GS38" s="39">
        <f t="shared" si="26"/>
        <v>0</v>
      </c>
      <c r="GT38" s="39">
        <f t="shared" si="26"/>
        <v>0</v>
      </c>
      <c r="GU38" s="39">
        <f t="shared" si="26"/>
        <v>0</v>
      </c>
      <c r="GV38" s="39">
        <f t="shared" si="26"/>
        <v>0</v>
      </c>
      <c r="GW38" s="39">
        <f t="shared" si="26"/>
        <v>0</v>
      </c>
      <c r="GX38" s="39">
        <f t="shared" si="26"/>
        <v>0</v>
      </c>
      <c r="GY38" s="39">
        <f t="shared" si="26"/>
        <v>0</v>
      </c>
      <c r="GZ38" s="39">
        <f t="shared" si="26"/>
        <v>0</v>
      </c>
      <c r="HA38" s="39">
        <f t="shared" si="26"/>
        <v>0</v>
      </c>
      <c r="HB38" s="39">
        <f t="shared" si="26"/>
        <v>0</v>
      </c>
      <c r="HC38" s="39">
        <f t="shared" si="26"/>
        <v>0</v>
      </c>
      <c r="HD38" s="39">
        <f t="shared" si="26"/>
        <v>0</v>
      </c>
      <c r="HE38" s="39">
        <f t="shared" si="26"/>
        <v>0</v>
      </c>
      <c r="HF38" s="39">
        <f t="shared" si="26"/>
        <v>0</v>
      </c>
      <c r="HG38" s="39">
        <f t="shared" si="26"/>
        <v>0</v>
      </c>
      <c r="HH38" s="39">
        <f t="shared" si="26"/>
        <v>0</v>
      </c>
      <c r="HI38" s="39">
        <f t="shared" si="26"/>
        <v>0</v>
      </c>
      <c r="HJ38" s="39">
        <f t="shared" si="26"/>
        <v>0</v>
      </c>
      <c r="HK38" s="39">
        <f t="shared" si="26"/>
        <v>0</v>
      </c>
      <c r="HL38" s="39">
        <f t="shared" si="26"/>
        <v>0</v>
      </c>
      <c r="HM38" s="39">
        <f t="shared" si="26"/>
        <v>0</v>
      </c>
      <c r="HN38" s="39">
        <f t="shared" si="26"/>
        <v>0</v>
      </c>
      <c r="HO38" s="39">
        <f t="shared" si="26"/>
        <v>0</v>
      </c>
      <c r="HP38" s="39">
        <f t="shared" si="26"/>
        <v>2.9960030807074745</v>
      </c>
      <c r="HQ38" s="39">
        <f t="shared" si="26"/>
        <v>0</v>
      </c>
      <c r="HR38" s="39">
        <f t="shared" si="26"/>
        <v>0</v>
      </c>
      <c r="HS38" s="39">
        <f t="shared" si="26"/>
        <v>0</v>
      </c>
      <c r="HT38" s="39">
        <f t="shared" si="26"/>
        <v>0</v>
      </c>
      <c r="HU38" s="39">
        <f t="shared" si="26"/>
        <v>0</v>
      </c>
      <c r="HV38" s="39">
        <f t="shared" si="26"/>
        <v>0</v>
      </c>
      <c r="HW38" s="39">
        <f t="shared" si="26"/>
        <v>0</v>
      </c>
      <c r="HX38" s="39">
        <f t="shared" si="26"/>
        <v>0</v>
      </c>
      <c r="HY38" s="39">
        <f t="shared" si="26"/>
        <v>0</v>
      </c>
      <c r="HZ38" s="39">
        <f t="shared" si="26"/>
        <v>0</v>
      </c>
      <c r="IA38" s="39">
        <f t="shared" si="26"/>
        <v>2.3241678925219933</v>
      </c>
      <c r="IB38" s="39">
        <f t="shared" si="26"/>
        <v>0</v>
      </c>
      <c r="IC38" s="39">
        <f t="shared" si="26"/>
        <v>0</v>
      </c>
      <c r="ID38" s="39">
        <f t="shared" si="26"/>
        <v>0</v>
      </c>
      <c r="IE38" s="39">
        <f t="shared" si="26"/>
        <v>0</v>
      </c>
      <c r="IF38" s="39">
        <f t="shared" si="26"/>
        <v>0</v>
      </c>
      <c r="IG38" s="39">
        <f t="shared" si="26"/>
        <v>0</v>
      </c>
      <c r="IH38" s="43">
        <v>0.2770604410459257</v>
      </c>
      <c r="II38" s="43">
        <v>0.28741966467699998</v>
      </c>
    </row>
    <row r="39" spans="1:243" x14ac:dyDescent="0.3">
      <c r="A39" s="34" t="s">
        <v>40</v>
      </c>
      <c r="B39" s="38">
        <f t="shared" si="14"/>
        <v>17</v>
      </c>
      <c r="C39" s="39">
        <f t="shared" ref="C39:BN39" si="27">(($B$31+1)*C7)/(C7+$B$31*((1-$B$32)+$B$32*($B39/$B$33)))*C$27</f>
        <v>0</v>
      </c>
      <c r="D39" s="39">
        <f t="shared" si="27"/>
        <v>0</v>
      </c>
      <c r="E39" s="39">
        <f t="shared" si="27"/>
        <v>0</v>
      </c>
      <c r="F39" s="39">
        <f t="shared" si="27"/>
        <v>0</v>
      </c>
      <c r="G39" s="39">
        <f t="shared" si="27"/>
        <v>0</v>
      </c>
      <c r="H39" s="39">
        <f t="shared" si="27"/>
        <v>0</v>
      </c>
      <c r="I39" s="39">
        <f t="shared" si="27"/>
        <v>0</v>
      </c>
      <c r="J39" s="39">
        <f t="shared" si="27"/>
        <v>0</v>
      </c>
      <c r="K39" s="39">
        <f t="shared" si="27"/>
        <v>0</v>
      </c>
      <c r="L39" s="39">
        <f t="shared" si="27"/>
        <v>0</v>
      </c>
      <c r="M39" s="39">
        <f t="shared" si="27"/>
        <v>2.9025107859903616</v>
      </c>
      <c r="N39" s="39">
        <f t="shared" si="27"/>
        <v>0</v>
      </c>
      <c r="O39" s="39">
        <f t="shared" si="27"/>
        <v>1.0752873552462237</v>
      </c>
      <c r="P39" s="39">
        <f t="shared" si="27"/>
        <v>2.2516406675071221</v>
      </c>
      <c r="Q39" s="39">
        <f t="shared" si="27"/>
        <v>0</v>
      </c>
      <c r="R39" s="39">
        <f t="shared" si="27"/>
        <v>0</v>
      </c>
      <c r="S39" s="39">
        <f t="shared" si="27"/>
        <v>0</v>
      </c>
      <c r="T39" s="39">
        <f t="shared" si="27"/>
        <v>0</v>
      </c>
      <c r="U39" s="39">
        <f t="shared" si="27"/>
        <v>0</v>
      </c>
      <c r="V39" s="39">
        <f t="shared" si="27"/>
        <v>0</v>
      </c>
      <c r="W39" s="39">
        <f t="shared" si="27"/>
        <v>0</v>
      </c>
      <c r="X39" s="39">
        <f t="shared" si="27"/>
        <v>0</v>
      </c>
      <c r="Y39" s="39">
        <f t="shared" si="27"/>
        <v>0</v>
      </c>
      <c r="Z39" s="39">
        <f t="shared" si="27"/>
        <v>0</v>
      </c>
      <c r="AA39" s="39">
        <f t="shared" si="27"/>
        <v>0</v>
      </c>
      <c r="AB39" s="39">
        <f t="shared" si="27"/>
        <v>0</v>
      </c>
      <c r="AC39" s="39">
        <f t="shared" si="27"/>
        <v>2.9025107859903616</v>
      </c>
      <c r="AD39" s="39">
        <f t="shared" si="27"/>
        <v>0</v>
      </c>
      <c r="AE39" s="39">
        <f t="shared" si="27"/>
        <v>0</v>
      </c>
      <c r="AF39" s="39">
        <f t="shared" si="27"/>
        <v>0</v>
      </c>
      <c r="AG39" s="39">
        <f t="shared" si="27"/>
        <v>0</v>
      </c>
      <c r="AH39" s="39">
        <f t="shared" si="27"/>
        <v>2.9025107859903616</v>
      </c>
      <c r="AI39" s="39">
        <f t="shared" si="27"/>
        <v>0</v>
      </c>
      <c r="AJ39" s="39">
        <f t="shared" si="27"/>
        <v>0</v>
      </c>
      <c r="AK39" s="39">
        <f t="shared" si="27"/>
        <v>0</v>
      </c>
      <c r="AL39" s="39">
        <f t="shared" si="27"/>
        <v>0</v>
      </c>
      <c r="AM39" s="39">
        <f t="shared" si="27"/>
        <v>0</v>
      </c>
      <c r="AN39" s="39">
        <f t="shared" si="27"/>
        <v>0</v>
      </c>
      <c r="AO39" s="39">
        <f t="shared" si="27"/>
        <v>0</v>
      </c>
      <c r="AP39" s="39">
        <f t="shared" si="27"/>
        <v>0</v>
      </c>
      <c r="AQ39" s="39">
        <f t="shared" si="27"/>
        <v>0</v>
      </c>
      <c r="AR39" s="39">
        <f t="shared" si="27"/>
        <v>0</v>
      </c>
      <c r="AS39" s="39">
        <f t="shared" si="27"/>
        <v>0</v>
      </c>
      <c r="AT39" s="39">
        <f t="shared" si="27"/>
        <v>0</v>
      </c>
      <c r="AU39" s="39">
        <f t="shared" si="27"/>
        <v>0</v>
      </c>
      <c r="AV39" s="39">
        <f t="shared" si="27"/>
        <v>0</v>
      </c>
      <c r="AW39" s="39">
        <f t="shared" si="27"/>
        <v>0</v>
      </c>
      <c r="AX39" s="39">
        <f t="shared" si="27"/>
        <v>0</v>
      </c>
      <c r="AY39" s="39">
        <f t="shared" si="27"/>
        <v>0</v>
      </c>
      <c r="AZ39" s="39">
        <f t="shared" si="27"/>
        <v>0</v>
      </c>
      <c r="BA39" s="39">
        <f t="shared" si="27"/>
        <v>0</v>
      </c>
      <c r="BB39" s="39">
        <f t="shared" si="27"/>
        <v>0</v>
      </c>
      <c r="BC39" s="39">
        <f t="shared" si="27"/>
        <v>0</v>
      </c>
      <c r="BD39" s="39">
        <f t="shared" si="27"/>
        <v>0</v>
      </c>
      <c r="BE39" s="39">
        <f t="shared" si="27"/>
        <v>0</v>
      </c>
      <c r="BF39" s="39">
        <f t="shared" si="27"/>
        <v>0</v>
      </c>
      <c r="BG39" s="39">
        <f t="shared" si="27"/>
        <v>0</v>
      </c>
      <c r="BH39" s="39">
        <f t="shared" si="27"/>
        <v>0</v>
      </c>
      <c r="BI39" s="39">
        <f t="shared" si="27"/>
        <v>0</v>
      </c>
      <c r="BJ39" s="39">
        <f t="shared" si="27"/>
        <v>0</v>
      </c>
      <c r="BK39" s="39">
        <f t="shared" si="27"/>
        <v>0</v>
      </c>
      <c r="BL39" s="39">
        <f t="shared" si="27"/>
        <v>0</v>
      </c>
      <c r="BM39" s="39">
        <f t="shared" si="27"/>
        <v>0</v>
      </c>
      <c r="BN39" s="39">
        <f t="shared" si="27"/>
        <v>0</v>
      </c>
      <c r="BO39" s="39">
        <f t="shared" ref="BO39:DZ39" si="28">(($B$31+1)*BO7)/(BO7+$B$31*((1-$B$32)+$B$32*($B39/$B$33)))*BO$27</f>
        <v>0</v>
      </c>
      <c r="BP39" s="39">
        <f t="shared" si="28"/>
        <v>0</v>
      </c>
      <c r="BQ39" s="39">
        <f t="shared" si="28"/>
        <v>2.2516406675071221</v>
      </c>
      <c r="BR39" s="39">
        <f t="shared" si="28"/>
        <v>0</v>
      </c>
      <c r="BS39" s="39">
        <f t="shared" si="28"/>
        <v>0</v>
      </c>
      <c r="BT39" s="39">
        <f t="shared" si="28"/>
        <v>0</v>
      </c>
      <c r="BU39" s="39">
        <f t="shared" si="28"/>
        <v>0</v>
      </c>
      <c r="BV39" s="39">
        <f t="shared" si="28"/>
        <v>0</v>
      </c>
      <c r="BW39" s="39">
        <f t="shared" si="28"/>
        <v>0</v>
      </c>
      <c r="BX39" s="39">
        <f t="shared" si="28"/>
        <v>0</v>
      </c>
      <c r="BY39" s="39">
        <f t="shared" si="28"/>
        <v>0</v>
      </c>
      <c r="BZ39" s="39">
        <f t="shared" si="28"/>
        <v>0</v>
      </c>
      <c r="CA39" s="39">
        <f t="shared" si="28"/>
        <v>2.2516406675071221</v>
      </c>
      <c r="CB39" s="39">
        <f t="shared" si="28"/>
        <v>0</v>
      </c>
      <c r="CC39" s="39">
        <f t="shared" si="28"/>
        <v>0</v>
      </c>
      <c r="CD39" s="39">
        <f t="shared" si="28"/>
        <v>0</v>
      </c>
      <c r="CE39" s="39">
        <f t="shared" si="28"/>
        <v>0</v>
      </c>
      <c r="CF39" s="39">
        <f t="shared" si="28"/>
        <v>0</v>
      </c>
      <c r="CG39" s="39">
        <f t="shared" si="28"/>
        <v>0</v>
      </c>
      <c r="CH39" s="39">
        <f t="shared" si="28"/>
        <v>0</v>
      </c>
      <c r="CI39" s="39">
        <f t="shared" si="28"/>
        <v>0</v>
      </c>
      <c r="CJ39" s="39">
        <f t="shared" si="28"/>
        <v>0</v>
      </c>
      <c r="CK39" s="39">
        <f t="shared" si="28"/>
        <v>0</v>
      </c>
      <c r="CL39" s="39">
        <f t="shared" si="28"/>
        <v>0</v>
      </c>
      <c r="CM39" s="39">
        <f t="shared" si="28"/>
        <v>0</v>
      </c>
      <c r="CN39" s="39">
        <f t="shared" si="28"/>
        <v>0</v>
      </c>
      <c r="CO39" s="39">
        <f t="shared" si="28"/>
        <v>0</v>
      </c>
      <c r="CP39" s="39">
        <f t="shared" si="28"/>
        <v>0</v>
      </c>
      <c r="CQ39" s="39">
        <f t="shared" si="28"/>
        <v>0</v>
      </c>
      <c r="CR39" s="39">
        <f t="shared" si="28"/>
        <v>1.6007705490238828</v>
      </c>
      <c r="CS39" s="39">
        <f t="shared" si="28"/>
        <v>2.9025107859903616</v>
      </c>
      <c r="CT39" s="39">
        <f t="shared" si="28"/>
        <v>0</v>
      </c>
      <c r="CU39" s="39">
        <f t="shared" si="28"/>
        <v>0</v>
      </c>
      <c r="CV39" s="39">
        <f t="shared" si="28"/>
        <v>0</v>
      </c>
      <c r="CW39" s="39">
        <f t="shared" si="28"/>
        <v>0</v>
      </c>
      <c r="CX39" s="39">
        <f t="shared" si="28"/>
        <v>0</v>
      </c>
      <c r="CY39" s="39">
        <f t="shared" si="28"/>
        <v>0</v>
      </c>
      <c r="CZ39" s="39">
        <f t="shared" si="28"/>
        <v>2.9025107859903616</v>
      </c>
      <c r="DA39" s="39">
        <f t="shared" si="28"/>
        <v>0</v>
      </c>
      <c r="DB39" s="39">
        <f t="shared" si="28"/>
        <v>0</v>
      </c>
      <c r="DC39" s="39">
        <f t="shared" si="28"/>
        <v>0</v>
      </c>
      <c r="DD39" s="39">
        <f t="shared" si="28"/>
        <v>0</v>
      </c>
      <c r="DE39" s="39">
        <f t="shared" si="28"/>
        <v>0</v>
      </c>
      <c r="DF39" s="39">
        <f t="shared" si="28"/>
        <v>0</v>
      </c>
      <c r="DG39" s="39">
        <f t="shared" si="28"/>
        <v>0</v>
      </c>
      <c r="DH39" s="39">
        <f t="shared" si="28"/>
        <v>0</v>
      </c>
      <c r="DI39" s="39">
        <f t="shared" si="28"/>
        <v>0</v>
      </c>
      <c r="DJ39" s="39">
        <f t="shared" si="28"/>
        <v>0</v>
      </c>
      <c r="DK39" s="39">
        <f t="shared" si="28"/>
        <v>0</v>
      </c>
      <c r="DL39" s="39">
        <f t="shared" si="28"/>
        <v>0</v>
      </c>
      <c r="DM39" s="39">
        <f t="shared" si="28"/>
        <v>0</v>
      </c>
      <c r="DN39" s="39">
        <f t="shared" si="28"/>
        <v>2.9025107859903616</v>
      </c>
      <c r="DO39" s="39">
        <f t="shared" si="28"/>
        <v>0</v>
      </c>
      <c r="DP39" s="39">
        <f t="shared" si="28"/>
        <v>2.9025107859903616</v>
      </c>
      <c r="DQ39" s="39">
        <f t="shared" si="28"/>
        <v>0</v>
      </c>
      <c r="DR39" s="39">
        <f t="shared" si="28"/>
        <v>0</v>
      </c>
      <c r="DS39" s="39">
        <f t="shared" si="28"/>
        <v>0</v>
      </c>
      <c r="DT39" s="39">
        <f t="shared" si="28"/>
        <v>0</v>
      </c>
      <c r="DU39" s="39">
        <f t="shared" si="28"/>
        <v>0</v>
      </c>
      <c r="DV39" s="39">
        <f t="shared" si="28"/>
        <v>0</v>
      </c>
      <c r="DW39" s="39">
        <f t="shared" si="28"/>
        <v>0</v>
      </c>
      <c r="DX39" s="39">
        <f t="shared" si="28"/>
        <v>0</v>
      </c>
      <c r="DY39" s="39">
        <f t="shared" si="28"/>
        <v>0</v>
      </c>
      <c r="DZ39" s="39">
        <f t="shared" si="28"/>
        <v>0</v>
      </c>
      <c r="EA39" s="39">
        <f t="shared" ref="EA39:GL39" si="29">(($B$31+1)*EA7)/(EA7+$B$31*((1-$B$32)+$B$32*($B39/$B$33)))*EA$27</f>
        <v>0</v>
      </c>
      <c r="EB39" s="39">
        <f t="shared" si="29"/>
        <v>0</v>
      </c>
      <c r="EC39" s="39">
        <f t="shared" si="29"/>
        <v>0</v>
      </c>
      <c r="ED39" s="39">
        <f t="shared" si="29"/>
        <v>0</v>
      </c>
      <c r="EE39" s="39">
        <f t="shared" si="29"/>
        <v>0</v>
      </c>
      <c r="EF39" s="39">
        <f t="shared" si="29"/>
        <v>2.9025107859903616</v>
      </c>
      <c r="EG39" s="39">
        <f t="shared" si="29"/>
        <v>0</v>
      </c>
      <c r="EH39" s="39">
        <f t="shared" si="29"/>
        <v>2.9025107859903616</v>
      </c>
      <c r="EI39" s="39">
        <f t="shared" si="29"/>
        <v>0</v>
      </c>
      <c r="EJ39" s="39">
        <f t="shared" si="29"/>
        <v>0</v>
      </c>
      <c r="EK39" s="39">
        <f t="shared" si="29"/>
        <v>0</v>
      </c>
      <c r="EL39" s="39">
        <f t="shared" si="29"/>
        <v>0</v>
      </c>
      <c r="EM39" s="39">
        <f t="shared" si="29"/>
        <v>0</v>
      </c>
      <c r="EN39" s="39">
        <f t="shared" si="29"/>
        <v>0</v>
      </c>
      <c r="EO39" s="39">
        <f t="shared" si="29"/>
        <v>0</v>
      </c>
      <c r="EP39" s="39">
        <f t="shared" si="29"/>
        <v>0</v>
      </c>
      <c r="EQ39" s="39">
        <f t="shared" si="29"/>
        <v>0</v>
      </c>
      <c r="ER39" s="39">
        <f t="shared" si="29"/>
        <v>0</v>
      </c>
      <c r="ES39" s="39">
        <f t="shared" si="29"/>
        <v>0</v>
      </c>
      <c r="ET39" s="39">
        <f t="shared" si="29"/>
        <v>0</v>
      </c>
      <c r="EU39" s="39">
        <f t="shared" si="29"/>
        <v>0</v>
      </c>
      <c r="EV39" s="39">
        <f t="shared" si="29"/>
        <v>0</v>
      </c>
      <c r="EW39" s="39">
        <f t="shared" si="29"/>
        <v>0</v>
      </c>
      <c r="EX39" s="39">
        <f t="shared" si="29"/>
        <v>0</v>
      </c>
      <c r="EY39" s="39">
        <f t="shared" si="29"/>
        <v>0</v>
      </c>
      <c r="EZ39" s="39">
        <f t="shared" si="29"/>
        <v>0</v>
      </c>
      <c r="FA39" s="39">
        <f t="shared" si="29"/>
        <v>0</v>
      </c>
      <c r="FB39" s="39">
        <f t="shared" si="29"/>
        <v>0</v>
      </c>
      <c r="FC39" s="39">
        <f t="shared" si="29"/>
        <v>0</v>
      </c>
      <c r="FD39" s="39">
        <f t="shared" si="29"/>
        <v>0</v>
      </c>
      <c r="FE39" s="39">
        <f t="shared" si="29"/>
        <v>0.94990043054064344</v>
      </c>
      <c r="FF39" s="39">
        <f t="shared" si="29"/>
        <v>0</v>
      </c>
      <c r="FG39" s="39">
        <f t="shared" si="29"/>
        <v>0</v>
      </c>
      <c r="FH39" s="39">
        <f t="shared" si="29"/>
        <v>0</v>
      </c>
      <c r="FI39" s="39">
        <f t="shared" si="29"/>
        <v>0</v>
      </c>
      <c r="FJ39" s="39">
        <f t="shared" si="29"/>
        <v>0</v>
      </c>
      <c r="FK39" s="39">
        <f t="shared" si="29"/>
        <v>0</v>
      </c>
      <c r="FL39" s="39">
        <f t="shared" si="29"/>
        <v>2.9025107859903616</v>
      </c>
      <c r="FM39" s="39">
        <f t="shared" si="29"/>
        <v>0</v>
      </c>
      <c r="FN39" s="39">
        <f t="shared" si="29"/>
        <v>0</v>
      </c>
      <c r="FO39" s="39">
        <f t="shared" si="29"/>
        <v>0</v>
      </c>
      <c r="FP39" s="39">
        <f t="shared" si="29"/>
        <v>0</v>
      </c>
      <c r="FQ39" s="39">
        <f t="shared" si="29"/>
        <v>0</v>
      </c>
      <c r="FR39" s="39">
        <f t="shared" si="29"/>
        <v>0</v>
      </c>
      <c r="FS39" s="39">
        <f t="shared" si="29"/>
        <v>0</v>
      </c>
      <c r="FT39" s="39">
        <f t="shared" si="29"/>
        <v>0</v>
      </c>
      <c r="FU39" s="39">
        <f t="shared" si="29"/>
        <v>0</v>
      </c>
      <c r="FV39" s="39">
        <f t="shared" si="29"/>
        <v>0</v>
      </c>
      <c r="FW39" s="39">
        <f t="shared" si="29"/>
        <v>0</v>
      </c>
      <c r="FX39" s="39">
        <f t="shared" si="29"/>
        <v>0</v>
      </c>
      <c r="FY39" s="39">
        <f t="shared" si="29"/>
        <v>0</v>
      </c>
      <c r="FZ39" s="39">
        <f t="shared" si="29"/>
        <v>0</v>
      </c>
      <c r="GA39" s="39">
        <f t="shared" si="29"/>
        <v>0</v>
      </c>
      <c r="GB39" s="39">
        <f t="shared" si="29"/>
        <v>0</v>
      </c>
      <c r="GC39" s="39">
        <f t="shared" si="29"/>
        <v>0</v>
      </c>
      <c r="GD39" s="39">
        <f t="shared" si="29"/>
        <v>0</v>
      </c>
      <c r="GE39" s="39">
        <f t="shared" si="29"/>
        <v>0</v>
      </c>
      <c r="GF39" s="39">
        <f t="shared" si="29"/>
        <v>0</v>
      </c>
      <c r="GG39" s="39">
        <f t="shared" si="29"/>
        <v>0</v>
      </c>
      <c r="GH39" s="39">
        <f t="shared" si="29"/>
        <v>0</v>
      </c>
      <c r="GI39" s="39">
        <f t="shared" si="29"/>
        <v>0</v>
      </c>
      <c r="GJ39" s="39">
        <f t="shared" si="29"/>
        <v>0</v>
      </c>
      <c r="GK39" s="39">
        <f t="shared" si="29"/>
        <v>0</v>
      </c>
      <c r="GL39" s="39">
        <f t="shared" si="29"/>
        <v>0</v>
      </c>
      <c r="GM39" s="39">
        <f t="shared" ref="GM39:IG39" si="30">(($B$31+1)*GM7)/(GM7+$B$31*((1-$B$32)+$B$32*($B39/$B$33)))*GM$27</f>
        <v>0</v>
      </c>
      <c r="GN39" s="39">
        <f t="shared" si="30"/>
        <v>0</v>
      </c>
      <c r="GO39" s="39">
        <f t="shared" si="30"/>
        <v>0</v>
      </c>
      <c r="GP39" s="39">
        <f t="shared" si="30"/>
        <v>0</v>
      </c>
      <c r="GQ39" s="39">
        <f t="shared" si="30"/>
        <v>0</v>
      </c>
      <c r="GR39" s="39">
        <f t="shared" si="30"/>
        <v>0</v>
      </c>
      <c r="GS39" s="39">
        <f t="shared" si="30"/>
        <v>0</v>
      </c>
      <c r="GT39" s="39">
        <f t="shared" si="30"/>
        <v>0</v>
      </c>
      <c r="GU39" s="39">
        <f t="shared" si="30"/>
        <v>0</v>
      </c>
      <c r="GV39" s="39">
        <f t="shared" si="30"/>
        <v>0</v>
      </c>
      <c r="GW39" s="39">
        <f t="shared" si="30"/>
        <v>0</v>
      </c>
      <c r="GX39" s="39">
        <f t="shared" si="30"/>
        <v>0</v>
      </c>
      <c r="GY39" s="39">
        <f t="shared" si="30"/>
        <v>0</v>
      </c>
      <c r="GZ39" s="39">
        <f t="shared" si="30"/>
        <v>0</v>
      </c>
      <c r="HA39" s="39">
        <f t="shared" si="30"/>
        <v>0</v>
      </c>
      <c r="HB39" s="39">
        <f t="shared" si="30"/>
        <v>0</v>
      </c>
      <c r="HC39" s="39">
        <f t="shared" si="30"/>
        <v>0</v>
      </c>
      <c r="HD39" s="39">
        <f t="shared" si="30"/>
        <v>0</v>
      </c>
      <c r="HE39" s="39">
        <f t="shared" si="30"/>
        <v>0</v>
      </c>
      <c r="HF39" s="39">
        <f t="shared" si="30"/>
        <v>0</v>
      </c>
      <c r="HG39" s="39">
        <f t="shared" si="30"/>
        <v>0</v>
      </c>
      <c r="HH39" s="39">
        <f t="shared" si="30"/>
        <v>0</v>
      </c>
      <c r="HI39" s="39">
        <f t="shared" si="30"/>
        <v>0</v>
      </c>
      <c r="HJ39" s="39">
        <f t="shared" si="30"/>
        <v>0</v>
      </c>
      <c r="HK39" s="39">
        <f t="shared" si="30"/>
        <v>0</v>
      </c>
      <c r="HL39" s="39">
        <f t="shared" si="30"/>
        <v>0</v>
      </c>
      <c r="HM39" s="39">
        <f t="shared" si="30"/>
        <v>0</v>
      </c>
      <c r="HN39" s="39">
        <f t="shared" si="30"/>
        <v>0</v>
      </c>
      <c r="HO39" s="39">
        <f t="shared" si="30"/>
        <v>0</v>
      </c>
      <c r="HP39" s="39">
        <f t="shared" si="30"/>
        <v>0</v>
      </c>
      <c r="HQ39" s="39">
        <f t="shared" si="30"/>
        <v>0</v>
      </c>
      <c r="HR39" s="39">
        <f t="shared" si="30"/>
        <v>0</v>
      </c>
      <c r="HS39" s="39">
        <f t="shared" si="30"/>
        <v>0</v>
      </c>
      <c r="HT39" s="39">
        <f t="shared" si="30"/>
        <v>0</v>
      </c>
      <c r="HU39" s="39">
        <f t="shared" si="30"/>
        <v>0</v>
      </c>
      <c r="HV39" s="39">
        <f t="shared" si="30"/>
        <v>0</v>
      </c>
      <c r="HW39" s="39">
        <f t="shared" si="30"/>
        <v>0</v>
      </c>
      <c r="HX39" s="39">
        <f t="shared" si="30"/>
        <v>0</v>
      </c>
      <c r="HY39" s="39">
        <f t="shared" si="30"/>
        <v>0</v>
      </c>
      <c r="HZ39" s="39">
        <f t="shared" si="30"/>
        <v>2.9025107859903616</v>
      </c>
      <c r="IA39" s="39">
        <f t="shared" si="30"/>
        <v>0</v>
      </c>
      <c r="IB39" s="39">
        <f t="shared" si="30"/>
        <v>0</v>
      </c>
      <c r="IC39" s="39">
        <f t="shared" si="30"/>
        <v>0</v>
      </c>
      <c r="ID39" s="39">
        <f t="shared" si="30"/>
        <v>0</v>
      </c>
      <c r="IE39" s="39">
        <f t="shared" si="30"/>
        <v>0</v>
      </c>
      <c r="IF39" s="39">
        <f t="shared" si="30"/>
        <v>0</v>
      </c>
      <c r="IG39" s="39">
        <f t="shared" si="30"/>
        <v>0</v>
      </c>
      <c r="IH39" s="43">
        <v>0.25868670471146837</v>
      </c>
      <c r="II39" s="43">
        <v>0.25482377144916085</v>
      </c>
    </row>
    <row r="40" spans="1:243" x14ac:dyDescent="0.3">
      <c r="A40" s="34" t="s">
        <v>41</v>
      </c>
      <c r="B40" s="38">
        <f t="shared" si="14"/>
        <v>20</v>
      </c>
      <c r="C40" s="39">
        <f t="shared" ref="C40:BN40" si="31">(($B$31+1)*C8)/(C8+$B$31*((1-$B$32)+$B$32*($B40/$B$33)))*C$27</f>
        <v>0</v>
      </c>
      <c r="D40" s="39">
        <f t="shared" si="31"/>
        <v>0</v>
      </c>
      <c r="E40" s="39">
        <f t="shared" si="31"/>
        <v>0</v>
      </c>
      <c r="F40" s="39">
        <f t="shared" si="31"/>
        <v>0</v>
      </c>
      <c r="G40" s="39">
        <f t="shared" si="31"/>
        <v>0</v>
      </c>
      <c r="H40" s="39">
        <f t="shared" si="31"/>
        <v>0</v>
      </c>
      <c r="I40" s="39">
        <f t="shared" si="31"/>
        <v>0</v>
      </c>
      <c r="J40" s="39">
        <f t="shared" si="31"/>
        <v>2.6540468276565568</v>
      </c>
      <c r="K40" s="39">
        <f t="shared" si="31"/>
        <v>0</v>
      </c>
      <c r="L40" s="39">
        <f t="shared" si="31"/>
        <v>0</v>
      </c>
      <c r="M40" s="39">
        <f t="shared" si="31"/>
        <v>0</v>
      </c>
      <c r="N40" s="39">
        <f t="shared" si="31"/>
        <v>3.2014924448924802</v>
      </c>
      <c r="O40" s="39">
        <f t="shared" si="31"/>
        <v>0</v>
      </c>
      <c r="P40" s="39">
        <f t="shared" si="31"/>
        <v>0</v>
      </c>
      <c r="Q40" s="39">
        <f t="shared" si="31"/>
        <v>0</v>
      </c>
      <c r="R40" s="39">
        <f t="shared" si="31"/>
        <v>0</v>
      </c>
      <c r="S40" s="39">
        <f t="shared" si="31"/>
        <v>0</v>
      </c>
      <c r="T40" s="39">
        <f t="shared" si="31"/>
        <v>0</v>
      </c>
      <c r="U40" s="39">
        <f t="shared" si="31"/>
        <v>0</v>
      </c>
      <c r="V40" s="39">
        <f t="shared" si="31"/>
        <v>0</v>
      </c>
      <c r="W40" s="39">
        <f t="shared" si="31"/>
        <v>0</v>
      </c>
      <c r="X40" s="39">
        <f t="shared" si="31"/>
        <v>0</v>
      </c>
      <c r="Y40" s="39">
        <f t="shared" si="31"/>
        <v>0</v>
      </c>
      <c r="Z40" s="39">
        <f t="shared" si="31"/>
        <v>0</v>
      </c>
      <c r="AA40" s="39">
        <f t="shared" si="31"/>
        <v>0</v>
      </c>
      <c r="AB40" s="39">
        <f t="shared" si="31"/>
        <v>0</v>
      </c>
      <c r="AC40" s="39">
        <f t="shared" si="31"/>
        <v>0</v>
      </c>
      <c r="AD40" s="39">
        <f t="shared" si="31"/>
        <v>0</v>
      </c>
      <c r="AE40" s="39">
        <f t="shared" si="31"/>
        <v>0</v>
      </c>
      <c r="AF40" s="39">
        <f t="shared" si="31"/>
        <v>0</v>
      </c>
      <c r="AG40" s="39">
        <f t="shared" si="31"/>
        <v>0</v>
      </c>
      <c r="AH40" s="39">
        <f t="shared" si="31"/>
        <v>0</v>
      </c>
      <c r="AI40" s="39">
        <f t="shared" si="31"/>
        <v>0</v>
      </c>
      <c r="AJ40" s="39">
        <f t="shared" si="31"/>
        <v>0</v>
      </c>
      <c r="AK40" s="39">
        <f t="shared" si="31"/>
        <v>0</v>
      </c>
      <c r="AL40" s="39">
        <f t="shared" si="31"/>
        <v>2.058893217370326</v>
      </c>
      <c r="AM40" s="39">
        <f t="shared" si="31"/>
        <v>0</v>
      </c>
      <c r="AN40" s="39">
        <f t="shared" si="31"/>
        <v>0</v>
      </c>
      <c r="AO40" s="39">
        <f t="shared" si="31"/>
        <v>0</v>
      </c>
      <c r="AP40" s="39">
        <f t="shared" si="31"/>
        <v>0</v>
      </c>
      <c r="AQ40" s="39">
        <f t="shared" si="31"/>
        <v>0</v>
      </c>
      <c r="AR40" s="39">
        <f t="shared" si="31"/>
        <v>0</v>
      </c>
      <c r="AS40" s="39">
        <f t="shared" si="31"/>
        <v>0</v>
      </c>
      <c r="AT40" s="39">
        <f t="shared" si="31"/>
        <v>0</v>
      </c>
      <c r="AU40" s="39">
        <f t="shared" si="31"/>
        <v>0</v>
      </c>
      <c r="AV40" s="39">
        <f t="shared" si="31"/>
        <v>0</v>
      </c>
      <c r="AW40" s="39">
        <f t="shared" si="31"/>
        <v>2.058893217370326</v>
      </c>
      <c r="AX40" s="39">
        <f t="shared" si="31"/>
        <v>0</v>
      </c>
      <c r="AY40" s="39">
        <f t="shared" si="31"/>
        <v>0</v>
      </c>
      <c r="AZ40" s="39">
        <f t="shared" si="31"/>
        <v>0</v>
      </c>
      <c r="BA40" s="39">
        <f t="shared" si="31"/>
        <v>0</v>
      </c>
      <c r="BB40" s="39">
        <f t="shared" si="31"/>
        <v>0</v>
      </c>
      <c r="BC40" s="39">
        <f t="shared" si="31"/>
        <v>0</v>
      </c>
      <c r="BD40" s="39">
        <f t="shared" si="31"/>
        <v>0</v>
      </c>
      <c r="BE40" s="39">
        <f t="shared" si="31"/>
        <v>2.6540468276565568</v>
      </c>
      <c r="BF40" s="39">
        <f t="shared" si="31"/>
        <v>2.6540468276565568</v>
      </c>
      <c r="BG40" s="39">
        <f t="shared" si="31"/>
        <v>0</v>
      </c>
      <c r="BH40" s="39">
        <f t="shared" si="31"/>
        <v>0</v>
      </c>
      <c r="BI40" s="39">
        <f t="shared" si="31"/>
        <v>0</v>
      </c>
      <c r="BJ40" s="39">
        <f t="shared" si="31"/>
        <v>0</v>
      </c>
      <c r="BK40" s="39">
        <f t="shared" si="31"/>
        <v>2.6540468276565568</v>
      </c>
      <c r="BL40" s="39">
        <f t="shared" si="31"/>
        <v>0</v>
      </c>
      <c r="BM40" s="39">
        <f t="shared" si="31"/>
        <v>0</v>
      </c>
      <c r="BN40" s="39">
        <f t="shared" si="31"/>
        <v>0</v>
      </c>
      <c r="BO40" s="39">
        <f t="shared" ref="BO40:DZ40" si="32">(($B$31+1)*BO8)/(BO8+$B$31*((1-$B$32)+$B$32*($B40/$B$33)))*BO$27</f>
        <v>0</v>
      </c>
      <c r="BP40" s="39">
        <f t="shared" si="32"/>
        <v>0</v>
      </c>
      <c r="BQ40" s="39">
        <f t="shared" si="32"/>
        <v>0</v>
      </c>
      <c r="BR40" s="39">
        <f t="shared" si="32"/>
        <v>0</v>
      </c>
      <c r="BS40" s="39">
        <f t="shared" si="32"/>
        <v>0</v>
      </c>
      <c r="BT40" s="39">
        <f t="shared" si="32"/>
        <v>0</v>
      </c>
      <c r="BU40" s="39">
        <f t="shared" si="32"/>
        <v>0</v>
      </c>
      <c r="BV40" s="39">
        <f t="shared" si="32"/>
        <v>0</v>
      </c>
      <c r="BW40" s="39">
        <f t="shared" si="32"/>
        <v>0</v>
      </c>
      <c r="BX40" s="39">
        <f t="shared" si="32"/>
        <v>0</v>
      </c>
      <c r="BY40" s="39">
        <f t="shared" si="32"/>
        <v>0</v>
      </c>
      <c r="BZ40" s="39">
        <f t="shared" si="32"/>
        <v>2.058893217370326</v>
      </c>
      <c r="CA40" s="39">
        <f t="shared" si="32"/>
        <v>0</v>
      </c>
      <c r="CB40" s="39">
        <f t="shared" si="32"/>
        <v>0</v>
      </c>
      <c r="CC40" s="39">
        <f t="shared" si="32"/>
        <v>0</v>
      </c>
      <c r="CD40" s="39">
        <f t="shared" si="32"/>
        <v>0</v>
      </c>
      <c r="CE40" s="39">
        <f t="shared" si="32"/>
        <v>0</v>
      </c>
      <c r="CF40" s="39">
        <f t="shared" si="32"/>
        <v>0</v>
      </c>
      <c r="CG40" s="39">
        <f t="shared" si="32"/>
        <v>0</v>
      </c>
      <c r="CH40" s="39">
        <f t="shared" si="32"/>
        <v>0</v>
      </c>
      <c r="CI40" s="39">
        <f t="shared" si="32"/>
        <v>0</v>
      </c>
      <c r="CJ40" s="39">
        <f t="shared" si="32"/>
        <v>0</v>
      </c>
      <c r="CK40" s="39">
        <f t="shared" si="32"/>
        <v>0</v>
      </c>
      <c r="CL40" s="39">
        <f t="shared" si="32"/>
        <v>0</v>
      </c>
      <c r="CM40" s="39">
        <f t="shared" si="32"/>
        <v>0</v>
      </c>
      <c r="CN40" s="39">
        <f t="shared" si="32"/>
        <v>0</v>
      </c>
      <c r="CO40" s="39">
        <f t="shared" si="32"/>
        <v>0</v>
      </c>
      <c r="CP40" s="39">
        <f t="shared" si="32"/>
        <v>0</v>
      </c>
      <c r="CQ40" s="39">
        <f t="shared" si="32"/>
        <v>0</v>
      </c>
      <c r="CR40" s="39">
        <f t="shared" si="32"/>
        <v>0</v>
      </c>
      <c r="CS40" s="39">
        <f t="shared" si="32"/>
        <v>0</v>
      </c>
      <c r="CT40" s="39">
        <f t="shared" si="32"/>
        <v>0</v>
      </c>
      <c r="CU40" s="39">
        <f t="shared" si="32"/>
        <v>0</v>
      </c>
      <c r="CV40" s="39">
        <f t="shared" si="32"/>
        <v>0</v>
      </c>
      <c r="CW40" s="39">
        <f t="shared" si="32"/>
        <v>2.058893217370326</v>
      </c>
      <c r="CX40" s="39">
        <f t="shared" si="32"/>
        <v>0</v>
      </c>
      <c r="CY40" s="39">
        <f t="shared" si="32"/>
        <v>0</v>
      </c>
      <c r="CZ40" s="39">
        <f t="shared" si="32"/>
        <v>0</v>
      </c>
      <c r="DA40" s="39">
        <f t="shared" si="32"/>
        <v>0</v>
      </c>
      <c r="DB40" s="39">
        <f t="shared" si="32"/>
        <v>0</v>
      </c>
      <c r="DC40" s="39">
        <f t="shared" si="32"/>
        <v>0</v>
      </c>
      <c r="DD40" s="39">
        <f t="shared" si="32"/>
        <v>0</v>
      </c>
      <c r="DE40" s="39">
        <f t="shared" si="32"/>
        <v>0</v>
      </c>
      <c r="DF40" s="39">
        <f t="shared" si="32"/>
        <v>0</v>
      </c>
      <c r="DG40" s="39">
        <f t="shared" si="32"/>
        <v>0</v>
      </c>
      <c r="DH40" s="39">
        <f t="shared" si="32"/>
        <v>0</v>
      </c>
      <c r="DI40" s="39">
        <f t="shared" si="32"/>
        <v>0</v>
      </c>
      <c r="DJ40" s="39">
        <f t="shared" si="32"/>
        <v>0</v>
      </c>
      <c r="DK40" s="39">
        <f t="shared" si="32"/>
        <v>0</v>
      </c>
      <c r="DL40" s="39">
        <f t="shared" si="32"/>
        <v>0</v>
      </c>
      <c r="DM40" s="39">
        <f t="shared" si="32"/>
        <v>0</v>
      </c>
      <c r="DN40" s="39">
        <f t="shared" si="32"/>
        <v>0</v>
      </c>
      <c r="DO40" s="39">
        <f t="shared" si="32"/>
        <v>0</v>
      </c>
      <c r="DP40" s="39">
        <f t="shared" si="32"/>
        <v>0</v>
      </c>
      <c r="DQ40" s="39">
        <f t="shared" si="32"/>
        <v>0</v>
      </c>
      <c r="DR40" s="39">
        <f t="shared" si="32"/>
        <v>0</v>
      </c>
      <c r="DS40" s="39">
        <f t="shared" si="32"/>
        <v>0</v>
      </c>
      <c r="DT40" s="39">
        <f t="shared" si="32"/>
        <v>0</v>
      </c>
      <c r="DU40" s="39">
        <f t="shared" si="32"/>
        <v>0</v>
      </c>
      <c r="DV40" s="39">
        <f t="shared" si="32"/>
        <v>0</v>
      </c>
      <c r="DW40" s="39">
        <f t="shared" si="32"/>
        <v>0</v>
      </c>
      <c r="DX40" s="39">
        <f t="shared" si="32"/>
        <v>0</v>
      </c>
      <c r="DY40" s="39">
        <f t="shared" si="32"/>
        <v>0</v>
      </c>
      <c r="DZ40" s="39">
        <f t="shared" si="32"/>
        <v>0</v>
      </c>
      <c r="EA40" s="39">
        <f t="shared" ref="EA40:GL40" si="33">(($B$31+1)*EA8)/(EA8+$B$31*((1-$B$32)+$B$32*($B40/$B$33)))*EA$27</f>
        <v>0</v>
      </c>
      <c r="EB40" s="39">
        <f t="shared" si="33"/>
        <v>0</v>
      </c>
      <c r="EC40" s="39">
        <f t="shared" si="33"/>
        <v>0</v>
      </c>
      <c r="ED40" s="39">
        <f t="shared" si="33"/>
        <v>0</v>
      </c>
      <c r="EE40" s="39">
        <f t="shared" si="33"/>
        <v>0</v>
      </c>
      <c r="EF40" s="39">
        <f t="shared" si="33"/>
        <v>0</v>
      </c>
      <c r="EG40" s="39">
        <f t="shared" si="33"/>
        <v>0</v>
      </c>
      <c r="EH40" s="39">
        <f t="shared" si="33"/>
        <v>0</v>
      </c>
      <c r="EI40" s="39">
        <f t="shared" si="33"/>
        <v>0</v>
      </c>
      <c r="EJ40" s="39">
        <f t="shared" si="33"/>
        <v>0</v>
      </c>
      <c r="EK40" s="39">
        <f t="shared" si="33"/>
        <v>0</v>
      </c>
      <c r="EL40" s="39">
        <f t="shared" si="33"/>
        <v>0</v>
      </c>
      <c r="EM40" s="39">
        <f t="shared" si="33"/>
        <v>2.058893217370326</v>
      </c>
      <c r="EN40" s="39">
        <f t="shared" si="33"/>
        <v>2.6540468276565568</v>
      </c>
      <c r="EO40" s="39">
        <f t="shared" si="33"/>
        <v>0</v>
      </c>
      <c r="EP40" s="39">
        <f t="shared" si="33"/>
        <v>2.6540468276565568</v>
      </c>
      <c r="EQ40" s="39">
        <f t="shared" si="33"/>
        <v>0</v>
      </c>
      <c r="ER40" s="39">
        <f t="shared" si="33"/>
        <v>0</v>
      </c>
      <c r="ES40" s="39">
        <f t="shared" si="33"/>
        <v>0</v>
      </c>
      <c r="ET40" s="39">
        <f t="shared" si="33"/>
        <v>0</v>
      </c>
      <c r="EU40" s="39">
        <f t="shared" si="33"/>
        <v>2.058893217370326</v>
      </c>
      <c r="EV40" s="39">
        <f t="shared" si="33"/>
        <v>0</v>
      </c>
      <c r="EW40" s="39">
        <f t="shared" si="33"/>
        <v>0</v>
      </c>
      <c r="EX40" s="39">
        <f t="shared" si="33"/>
        <v>2.6540468276565568</v>
      </c>
      <c r="EY40" s="39">
        <f t="shared" si="33"/>
        <v>0</v>
      </c>
      <c r="EZ40" s="39">
        <f t="shared" si="33"/>
        <v>0</v>
      </c>
      <c r="FA40" s="39">
        <f t="shared" si="33"/>
        <v>0</v>
      </c>
      <c r="FB40" s="39">
        <f t="shared" si="33"/>
        <v>0</v>
      </c>
      <c r="FC40" s="39">
        <f t="shared" si="33"/>
        <v>0</v>
      </c>
      <c r="FD40" s="39">
        <f t="shared" si="33"/>
        <v>0</v>
      </c>
      <c r="FE40" s="39">
        <f t="shared" si="33"/>
        <v>0</v>
      </c>
      <c r="FF40" s="39">
        <f t="shared" si="33"/>
        <v>0</v>
      </c>
      <c r="FG40" s="39">
        <f t="shared" si="33"/>
        <v>0</v>
      </c>
      <c r="FH40" s="39">
        <f t="shared" si="33"/>
        <v>0</v>
      </c>
      <c r="FI40" s="39">
        <f t="shared" si="33"/>
        <v>0</v>
      </c>
      <c r="FJ40" s="39">
        <f t="shared" si="33"/>
        <v>0</v>
      </c>
      <c r="FK40" s="39">
        <f t="shared" si="33"/>
        <v>0</v>
      </c>
      <c r="FL40" s="39">
        <f t="shared" si="33"/>
        <v>0</v>
      </c>
      <c r="FM40" s="39">
        <f t="shared" si="33"/>
        <v>0</v>
      </c>
      <c r="FN40" s="39">
        <f t="shared" si="33"/>
        <v>2.6540468276565568</v>
      </c>
      <c r="FO40" s="39">
        <f t="shared" si="33"/>
        <v>0</v>
      </c>
      <c r="FP40" s="39">
        <f t="shared" si="33"/>
        <v>0</v>
      </c>
      <c r="FQ40" s="39">
        <f t="shared" si="33"/>
        <v>1.710750673184068</v>
      </c>
      <c r="FR40" s="39">
        <f t="shared" si="33"/>
        <v>0</v>
      </c>
      <c r="FS40" s="39">
        <f t="shared" si="33"/>
        <v>0</v>
      </c>
      <c r="FT40" s="39">
        <f t="shared" si="33"/>
        <v>0</v>
      </c>
      <c r="FU40" s="39">
        <f t="shared" si="33"/>
        <v>0</v>
      </c>
      <c r="FV40" s="39">
        <f t="shared" si="33"/>
        <v>0</v>
      </c>
      <c r="FW40" s="39">
        <f t="shared" si="33"/>
        <v>0</v>
      </c>
      <c r="FX40" s="39">
        <f t="shared" si="33"/>
        <v>0</v>
      </c>
      <c r="FY40" s="39">
        <f t="shared" si="33"/>
        <v>0</v>
      </c>
      <c r="FZ40" s="39">
        <f t="shared" si="33"/>
        <v>0</v>
      </c>
      <c r="GA40" s="39">
        <f t="shared" si="33"/>
        <v>0</v>
      </c>
      <c r="GB40" s="39">
        <f t="shared" si="33"/>
        <v>0</v>
      </c>
      <c r="GC40" s="39">
        <f t="shared" si="33"/>
        <v>0</v>
      </c>
      <c r="GD40" s="39">
        <f t="shared" si="33"/>
        <v>0</v>
      </c>
      <c r="GE40" s="39">
        <f t="shared" si="33"/>
        <v>0</v>
      </c>
      <c r="GF40" s="39">
        <f t="shared" si="33"/>
        <v>0</v>
      </c>
      <c r="GG40" s="39">
        <f t="shared" si="33"/>
        <v>0</v>
      </c>
      <c r="GH40" s="39">
        <f t="shared" si="33"/>
        <v>0</v>
      </c>
      <c r="GI40" s="39">
        <f t="shared" si="33"/>
        <v>0</v>
      </c>
      <c r="GJ40" s="39">
        <f t="shared" si="33"/>
        <v>0</v>
      </c>
      <c r="GK40" s="39">
        <f t="shared" si="33"/>
        <v>0</v>
      </c>
      <c r="GL40" s="39">
        <f t="shared" si="33"/>
        <v>2.6540468276565568</v>
      </c>
      <c r="GM40" s="39">
        <f t="shared" ref="GM40:IG40" si="34">(($B$31+1)*GM8)/(GM8+$B$31*((1-$B$32)+$B$32*($B40/$B$33)))*GM$27</f>
        <v>0</v>
      </c>
      <c r="GN40" s="39">
        <f t="shared" si="34"/>
        <v>0</v>
      </c>
      <c r="GO40" s="39">
        <f t="shared" si="34"/>
        <v>0</v>
      </c>
      <c r="GP40" s="39">
        <f t="shared" si="34"/>
        <v>0</v>
      </c>
      <c r="GQ40" s="39">
        <f t="shared" si="34"/>
        <v>0</v>
      </c>
      <c r="GR40" s="39">
        <f t="shared" si="34"/>
        <v>0</v>
      </c>
      <c r="GS40" s="39">
        <f t="shared" si="34"/>
        <v>0</v>
      </c>
      <c r="GT40" s="39">
        <f t="shared" si="34"/>
        <v>0</v>
      </c>
      <c r="GU40" s="39">
        <f t="shared" si="34"/>
        <v>0</v>
      </c>
      <c r="GV40" s="39">
        <f t="shared" si="34"/>
        <v>2.6540468276565568</v>
      </c>
      <c r="GW40" s="39">
        <f t="shared" si="34"/>
        <v>0</v>
      </c>
      <c r="GX40" s="39">
        <f t="shared" si="34"/>
        <v>0</v>
      </c>
      <c r="GY40" s="39">
        <f t="shared" si="34"/>
        <v>0</v>
      </c>
      <c r="GZ40" s="39">
        <f t="shared" si="34"/>
        <v>0</v>
      </c>
      <c r="HA40" s="39">
        <f t="shared" si="34"/>
        <v>0</v>
      </c>
      <c r="HB40" s="39">
        <f t="shared" si="34"/>
        <v>0</v>
      </c>
      <c r="HC40" s="39">
        <f t="shared" si="34"/>
        <v>0</v>
      </c>
      <c r="HD40" s="39">
        <f t="shared" si="34"/>
        <v>0</v>
      </c>
      <c r="HE40" s="39">
        <f t="shared" si="34"/>
        <v>0</v>
      </c>
      <c r="HF40" s="39">
        <f t="shared" si="34"/>
        <v>0</v>
      </c>
      <c r="HG40" s="39">
        <f t="shared" si="34"/>
        <v>0</v>
      </c>
      <c r="HH40" s="39">
        <f t="shared" si="34"/>
        <v>0</v>
      </c>
      <c r="HI40" s="39">
        <f t="shared" si="34"/>
        <v>0</v>
      </c>
      <c r="HJ40" s="39">
        <f t="shared" si="34"/>
        <v>0</v>
      </c>
      <c r="HK40" s="39">
        <f t="shared" si="34"/>
        <v>0</v>
      </c>
      <c r="HL40" s="39">
        <f t="shared" si="34"/>
        <v>0</v>
      </c>
      <c r="HM40" s="39">
        <f t="shared" si="34"/>
        <v>0</v>
      </c>
      <c r="HN40" s="39">
        <f t="shared" si="34"/>
        <v>0</v>
      </c>
      <c r="HO40" s="39">
        <f t="shared" si="34"/>
        <v>0</v>
      </c>
      <c r="HP40" s="39">
        <f t="shared" si="34"/>
        <v>0</v>
      </c>
      <c r="HQ40" s="39">
        <f t="shared" si="34"/>
        <v>0</v>
      </c>
      <c r="HR40" s="39">
        <f t="shared" si="34"/>
        <v>2.6540468276565568</v>
      </c>
      <c r="HS40" s="39">
        <f t="shared" si="34"/>
        <v>0</v>
      </c>
      <c r="HT40" s="39">
        <f t="shared" si="34"/>
        <v>0</v>
      </c>
      <c r="HU40" s="39">
        <f t="shared" si="34"/>
        <v>0</v>
      </c>
      <c r="HV40" s="39">
        <f t="shared" si="34"/>
        <v>0</v>
      </c>
      <c r="HW40" s="39">
        <f t="shared" si="34"/>
        <v>0</v>
      </c>
      <c r="HX40" s="39">
        <f t="shared" si="34"/>
        <v>0</v>
      </c>
      <c r="HY40" s="39">
        <f t="shared" si="34"/>
        <v>0</v>
      </c>
      <c r="HZ40" s="39">
        <f t="shared" si="34"/>
        <v>0</v>
      </c>
      <c r="IA40" s="39">
        <f t="shared" si="34"/>
        <v>0</v>
      </c>
      <c r="IB40" s="39">
        <f t="shared" si="34"/>
        <v>0</v>
      </c>
      <c r="IC40" s="39">
        <f t="shared" si="34"/>
        <v>0</v>
      </c>
      <c r="ID40" s="39">
        <f t="shared" si="34"/>
        <v>0</v>
      </c>
      <c r="IE40" s="39">
        <f t="shared" si="34"/>
        <v>0</v>
      </c>
      <c r="IF40" s="39">
        <f t="shared" si="34"/>
        <v>0</v>
      </c>
      <c r="IG40" s="39">
        <f t="shared" si="34"/>
        <v>0</v>
      </c>
      <c r="IH40" s="43">
        <v>0.29650661141319801</v>
      </c>
      <c r="II40" s="43">
        <v>0.26495203423251668</v>
      </c>
    </row>
    <row r="41" spans="1:243" x14ac:dyDescent="0.3">
      <c r="A41" s="34" t="s">
        <v>43</v>
      </c>
      <c r="B41" s="38">
        <f t="shared" si="14"/>
        <v>8</v>
      </c>
      <c r="C41" s="39">
        <f t="shared" ref="C41:BN41" si="35">(($B$31+1)*C9)/(C9+$B$31*((1-$B$32)+$B$32*($B41/$B$33)))*C$27</f>
        <v>0</v>
      </c>
      <c r="D41" s="39">
        <f t="shared" si="35"/>
        <v>0</v>
      </c>
      <c r="E41" s="39">
        <f t="shared" si="35"/>
        <v>0</v>
      </c>
      <c r="F41" s="39">
        <f t="shared" si="35"/>
        <v>0</v>
      </c>
      <c r="G41" s="39">
        <f t="shared" si="35"/>
        <v>0</v>
      </c>
      <c r="H41" s="39">
        <f t="shared" si="35"/>
        <v>0</v>
      </c>
      <c r="I41" s="39">
        <f t="shared" si="35"/>
        <v>0</v>
      </c>
      <c r="J41" s="39">
        <f t="shared" si="35"/>
        <v>0</v>
      </c>
      <c r="K41" s="39">
        <f t="shared" si="35"/>
        <v>0</v>
      </c>
      <c r="L41" s="39">
        <f t="shared" si="35"/>
        <v>0</v>
      </c>
      <c r="M41" s="39">
        <f t="shared" si="35"/>
        <v>0</v>
      </c>
      <c r="N41" s="39">
        <f t="shared" si="35"/>
        <v>0</v>
      </c>
      <c r="O41" s="39">
        <f t="shared" si="35"/>
        <v>0</v>
      </c>
      <c r="P41" s="39">
        <f t="shared" si="35"/>
        <v>0</v>
      </c>
      <c r="Q41" s="39">
        <f t="shared" si="35"/>
        <v>0</v>
      </c>
      <c r="R41" s="39">
        <f t="shared" si="35"/>
        <v>0</v>
      </c>
      <c r="S41" s="39">
        <f t="shared" si="35"/>
        <v>0</v>
      </c>
      <c r="T41" s="39">
        <f t="shared" si="35"/>
        <v>0</v>
      </c>
      <c r="U41" s="39">
        <f t="shared" si="35"/>
        <v>0</v>
      </c>
      <c r="V41" s="39">
        <f t="shared" si="35"/>
        <v>0</v>
      </c>
      <c r="W41" s="39">
        <f t="shared" si="35"/>
        <v>0</v>
      </c>
      <c r="X41" s="39">
        <f t="shared" si="35"/>
        <v>0</v>
      </c>
      <c r="Y41" s="39">
        <f t="shared" si="35"/>
        <v>0</v>
      </c>
      <c r="Z41" s="39">
        <f t="shared" si="35"/>
        <v>0</v>
      </c>
      <c r="AA41" s="39">
        <f t="shared" si="35"/>
        <v>0</v>
      </c>
      <c r="AB41" s="39">
        <f t="shared" si="35"/>
        <v>0</v>
      </c>
      <c r="AC41" s="39">
        <f t="shared" si="35"/>
        <v>0</v>
      </c>
      <c r="AD41" s="39">
        <f t="shared" si="35"/>
        <v>0</v>
      </c>
      <c r="AE41" s="39">
        <f t="shared" si="35"/>
        <v>0</v>
      </c>
      <c r="AF41" s="39">
        <f t="shared" si="35"/>
        <v>0</v>
      </c>
      <c r="AG41" s="39">
        <f t="shared" si="35"/>
        <v>0</v>
      </c>
      <c r="AH41" s="39">
        <f t="shared" si="35"/>
        <v>0</v>
      </c>
      <c r="AI41" s="39">
        <f t="shared" si="35"/>
        <v>0</v>
      </c>
      <c r="AJ41" s="39">
        <f t="shared" si="35"/>
        <v>0</v>
      </c>
      <c r="AK41" s="39">
        <f t="shared" si="35"/>
        <v>0</v>
      </c>
      <c r="AL41" s="39">
        <f t="shared" si="35"/>
        <v>0</v>
      </c>
      <c r="AM41" s="39">
        <f t="shared" si="35"/>
        <v>0</v>
      </c>
      <c r="AN41" s="39">
        <f t="shared" si="35"/>
        <v>0</v>
      </c>
      <c r="AO41" s="39">
        <f t="shared" si="35"/>
        <v>0</v>
      </c>
      <c r="AP41" s="39">
        <f t="shared" si="35"/>
        <v>0</v>
      </c>
      <c r="AQ41" s="39">
        <f t="shared" si="35"/>
        <v>0</v>
      </c>
      <c r="AR41" s="39">
        <f t="shared" si="35"/>
        <v>0</v>
      </c>
      <c r="AS41" s="39">
        <f t="shared" si="35"/>
        <v>0</v>
      </c>
      <c r="AT41" s="39">
        <f t="shared" si="35"/>
        <v>0</v>
      </c>
      <c r="AU41" s="39">
        <f t="shared" si="35"/>
        <v>0</v>
      </c>
      <c r="AV41" s="39">
        <f t="shared" si="35"/>
        <v>0</v>
      </c>
      <c r="AW41" s="39">
        <f t="shared" si="35"/>
        <v>0</v>
      </c>
      <c r="AX41" s="39">
        <f t="shared" si="35"/>
        <v>0</v>
      </c>
      <c r="AY41" s="39">
        <f t="shared" si="35"/>
        <v>0</v>
      </c>
      <c r="AZ41" s="39">
        <f t="shared" si="35"/>
        <v>0</v>
      </c>
      <c r="BA41" s="39">
        <f t="shared" si="35"/>
        <v>0</v>
      </c>
      <c r="BB41" s="39">
        <f t="shared" si="35"/>
        <v>0</v>
      </c>
      <c r="BC41" s="39">
        <f t="shared" si="35"/>
        <v>0</v>
      </c>
      <c r="BD41" s="39">
        <f t="shared" si="35"/>
        <v>0</v>
      </c>
      <c r="BE41" s="39">
        <f t="shared" si="35"/>
        <v>0</v>
      </c>
      <c r="BF41" s="39">
        <f t="shared" si="35"/>
        <v>0</v>
      </c>
      <c r="BG41" s="39">
        <f t="shared" si="35"/>
        <v>0</v>
      </c>
      <c r="BH41" s="39">
        <f t="shared" si="35"/>
        <v>0</v>
      </c>
      <c r="BI41" s="39">
        <f t="shared" si="35"/>
        <v>0</v>
      </c>
      <c r="BJ41" s="39">
        <f t="shared" si="35"/>
        <v>0</v>
      </c>
      <c r="BK41" s="39">
        <f t="shared" si="35"/>
        <v>0</v>
      </c>
      <c r="BL41" s="39">
        <f t="shared" si="35"/>
        <v>0</v>
      </c>
      <c r="BM41" s="39">
        <f t="shared" si="35"/>
        <v>0</v>
      </c>
      <c r="BN41" s="39">
        <f t="shared" si="35"/>
        <v>0</v>
      </c>
      <c r="BO41" s="39">
        <f t="shared" ref="BO41:DZ41" si="36">(($B$31+1)*BO9)/(BO9+$B$31*((1-$B$32)+$B$32*($B41/$B$33)))*BO$27</f>
        <v>0</v>
      </c>
      <c r="BP41" s="39">
        <f t="shared" si="36"/>
        <v>0</v>
      </c>
      <c r="BQ41" s="39">
        <f t="shared" si="36"/>
        <v>0</v>
      </c>
      <c r="BR41" s="39">
        <f t="shared" si="36"/>
        <v>0</v>
      </c>
      <c r="BS41" s="39">
        <f t="shared" si="36"/>
        <v>0</v>
      </c>
      <c r="BT41" s="39">
        <f t="shared" si="36"/>
        <v>0</v>
      </c>
      <c r="BU41" s="39">
        <f t="shared" si="36"/>
        <v>0</v>
      </c>
      <c r="BV41" s="39">
        <f t="shared" si="36"/>
        <v>0</v>
      </c>
      <c r="BW41" s="39">
        <f t="shared" si="36"/>
        <v>0</v>
      </c>
      <c r="BX41" s="39">
        <f t="shared" si="36"/>
        <v>0</v>
      </c>
      <c r="BY41" s="39">
        <f t="shared" si="36"/>
        <v>0</v>
      </c>
      <c r="BZ41" s="39">
        <f t="shared" si="36"/>
        <v>0</v>
      </c>
      <c r="CA41" s="39">
        <f t="shared" si="36"/>
        <v>0</v>
      </c>
      <c r="CB41" s="39">
        <f t="shared" si="36"/>
        <v>0</v>
      </c>
      <c r="CC41" s="39">
        <f t="shared" si="36"/>
        <v>0</v>
      </c>
      <c r="CD41" s="39">
        <f t="shared" si="36"/>
        <v>0</v>
      </c>
      <c r="CE41" s="39">
        <f t="shared" si="36"/>
        <v>0</v>
      </c>
      <c r="CF41" s="39">
        <f t="shared" si="36"/>
        <v>0</v>
      </c>
      <c r="CG41" s="39">
        <f t="shared" si="36"/>
        <v>0</v>
      </c>
      <c r="CH41" s="39">
        <f t="shared" si="36"/>
        <v>0</v>
      </c>
      <c r="CI41" s="39">
        <f t="shared" si="36"/>
        <v>0</v>
      </c>
      <c r="CJ41" s="39">
        <f t="shared" si="36"/>
        <v>0</v>
      </c>
      <c r="CK41" s="39">
        <f t="shared" si="36"/>
        <v>0</v>
      </c>
      <c r="CL41" s="39">
        <f t="shared" si="36"/>
        <v>0</v>
      </c>
      <c r="CM41" s="39">
        <f t="shared" si="36"/>
        <v>0</v>
      </c>
      <c r="CN41" s="39">
        <f t="shared" si="36"/>
        <v>0</v>
      </c>
      <c r="CO41" s="39">
        <f t="shared" si="36"/>
        <v>0</v>
      </c>
      <c r="CP41" s="39">
        <f t="shared" si="36"/>
        <v>0</v>
      </c>
      <c r="CQ41" s="39">
        <f t="shared" si="36"/>
        <v>0</v>
      </c>
      <c r="CR41" s="39">
        <f t="shared" si="36"/>
        <v>0</v>
      </c>
      <c r="CS41" s="39">
        <f t="shared" si="36"/>
        <v>0</v>
      </c>
      <c r="CT41" s="39">
        <f t="shared" si="36"/>
        <v>0</v>
      </c>
      <c r="CU41" s="39">
        <f t="shared" si="36"/>
        <v>0</v>
      </c>
      <c r="CV41" s="39">
        <f t="shared" si="36"/>
        <v>0</v>
      </c>
      <c r="CW41" s="39">
        <f t="shared" si="36"/>
        <v>0</v>
      </c>
      <c r="CX41" s="39">
        <f t="shared" si="36"/>
        <v>0</v>
      </c>
      <c r="CY41" s="39">
        <f t="shared" si="36"/>
        <v>0</v>
      </c>
      <c r="CZ41" s="39">
        <f t="shared" si="36"/>
        <v>0</v>
      </c>
      <c r="DA41" s="39">
        <f t="shared" si="36"/>
        <v>4.0360357083297931</v>
      </c>
      <c r="DB41" s="39">
        <f t="shared" si="36"/>
        <v>0</v>
      </c>
      <c r="DC41" s="39">
        <f t="shared" si="36"/>
        <v>0</v>
      </c>
      <c r="DD41" s="39">
        <f t="shared" si="36"/>
        <v>0</v>
      </c>
      <c r="DE41" s="39">
        <f t="shared" si="36"/>
        <v>0</v>
      </c>
      <c r="DF41" s="39">
        <f t="shared" si="36"/>
        <v>0</v>
      </c>
      <c r="DG41" s="39">
        <f t="shared" si="36"/>
        <v>0</v>
      </c>
      <c r="DH41" s="39">
        <f t="shared" si="36"/>
        <v>0</v>
      </c>
      <c r="DI41" s="39">
        <f t="shared" si="36"/>
        <v>0</v>
      </c>
      <c r="DJ41" s="39">
        <f t="shared" si="36"/>
        <v>0</v>
      </c>
      <c r="DK41" s="39">
        <f t="shared" si="36"/>
        <v>0</v>
      </c>
      <c r="DL41" s="39">
        <f t="shared" si="36"/>
        <v>0</v>
      </c>
      <c r="DM41" s="39">
        <f t="shared" si="36"/>
        <v>0</v>
      </c>
      <c r="DN41" s="39">
        <f t="shared" si="36"/>
        <v>0</v>
      </c>
      <c r="DO41" s="39">
        <f t="shared" si="36"/>
        <v>0</v>
      </c>
      <c r="DP41" s="39">
        <f t="shared" si="36"/>
        <v>0</v>
      </c>
      <c r="DQ41" s="39">
        <f t="shared" si="36"/>
        <v>0</v>
      </c>
      <c r="DR41" s="39">
        <f t="shared" si="36"/>
        <v>0</v>
      </c>
      <c r="DS41" s="39">
        <f t="shared" si="36"/>
        <v>0</v>
      </c>
      <c r="DT41" s="39">
        <f t="shared" si="36"/>
        <v>0</v>
      </c>
      <c r="DU41" s="39">
        <f t="shared" si="36"/>
        <v>0</v>
      </c>
      <c r="DV41" s="39">
        <f t="shared" si="36"/>
        <v>0</v>
      </c>
      <c r="DW41" s="39">
        <f t="shared" si="36"/>
        <v>0</v>
      </c>
      <c r="DX41" s="39">
        <f t="shared" si="36"/>
        <v>0</v>
      </c>
      <c r="DY41" s="39">
        <f t="shared" si="36"/>
        <v>0</v>
      </c>
      <c r="DZ41" s="39">
        <f t="shared" si="36"/>
        <v>0</v>
      </c>
      <c r="EA41" s="39">
        <f t="shared" ref="EA41:GL41" si="37">(($B$31+1)*EA9)/(EA9+$B$31*((1-$B$32)+$B$32*($B41/$B$33)))*EA$27</f>
        <v>0</v>
      </c>
      <c r="EB41" s="39">
        <f t="shared" si="37"/>
        <v>0</v>
      </c>
      <c r="EC41" s="39">
        <f t="shared" si="37"/>
        <v>0</v>
      </c>
      <c r="ED41" s="39">
        <f t="shared" si="37"/>
        <v>0</v>
      </c>
      <c r="EE41" s="39">
        <f t="shared" si="37"/>
        <v>0</v>
      </c>
      <c r="EF41" s="39">
        <f t="shared" si="37"/>
        <v>0</v>
      </c>
      <c r="EG41" s="39">
        <f t="shared" si="37"/>
        <v>0</v>
      </c>
      <c r="EH41" s="39">
        <f t="shared" si="37"/>
        <v>0</v>
      </c>
      <c r="EI41" s="39">
        <f t="shared" si="37"/>
        <v>0</v>
      </c>
      <c r="EJ41" s="39">
        <f t="shared" si="37"/>
        <v>0</v>
      </c>
      <c r="EK41" s="39">
        <f t="shared" si="37"/>
        <v>0</v>
      </c>
      <c r="EL41" s="39">
        <f t="shared" si="37"/>
        <v>0</v>
      </c>
      <c r="EM41" s="39">
        <f t="shared" si="37"/>
        <v>0</v>
      </c>
      <c r="EN41" s="39">
        <f t="shared" si="37"/>
        <v>0</v>
      </c>
      <c r="EO41" s="39">
        <f t="shared" si="37"/>
        <v>0</v>
      </c>
      <c r="EP41" s="39">
        <f t="shared" si="37"/>
        <v>0</v>
      </c>
      <c r="EQ41" s="39">
        <f t="shared" si="37"/>
        <v>0</v>
      </c>
      <c r="ER41" s="39">
        <f t="shared" si="37"/>
        <v>0</v>
      </c>
      <c r="ES41" s="39">
        <f t="shared" si="37"/>
        <v>4.0360357083297931</v>
      </c>
      <c r="ET41" s="39">
        <f t="shared" si="37"/>
        <v>4.0360357083297931</v>
      </c>
      <c r="EU41" s="39">
        <f t="shared" si="37"/>
        <v>0</v>
      </c>
      <c r="EV41" s="39">
        <f t="shared" si="37"/>
        <v>0</v>
      </c>
      <c r="EW41" s="39">
        <f t="shared" si="37"/>
        <v>0</v>
      </c>
      <c r="EX41" s="39">
        <f t="shared" si="37"/>
        <v>0</v>
      </c>
      <c r="EY41" s="39">
        <f t="shared" si="37"/>
        <v>0</v>
      </c>
      <c r="EZ41" s="39">
        <f t="shared" si="37"/>
        <v>0</v>
      </c>
      <c r="FA41" s="39">
        <f t="shared" si="37"/>
        <v>0</v>
      </c>
      <c r="FB41" s="39">
        <f t="shared" si="37"/>
        <v>0</v>
      </c>
      <c r="FC41" s="39">
        <f t="shared" si="37"/>
        <v>0</v>
      </c>
      <c r="FD41" s="39">
        <f t="shared" si="37"/>
        <v>0</v>
      </c>
      <c r="FE41" s="39">
        <f t="shared" si="37"/>
        <v>0</v>
      </c>
      <c r="FF41" s="39">
        <f t="shared" si="37"/>
        <v>0</v>
      </c>
      <c r="FG41" s="39">
        <f t="shared" si="37"/>
        <v>0</v>
      </c>
      <c r="FH41" s="39">
        <f t="shared" si="37"/>
        <v>0</v>
      </c>
      <c r="FI41" s="39">
        <f t="shared" si="37"/>
        <v>0</v>
      </c>
      <c r="FJ41" s="39">
        <f t="shared" si="37"/>
        <v>0</v>
      </c>
      <c r="FK41" s="39">
        <f t="shared" si="37"/>
        <v>0</v>
      </c>
      <c r="FL41" s="39">
        <f t="shared" si="37"/>
        <v>0</v>
      </c>
      <c r="FM41" s="39">
        <f t="shared" si="37"/>
        <v>0</v>
      </c>
      <c r="FN41" s="39">
        <f t="shared" si="37"/>
        <v>0</v>
      </c>
      <c r="FO41" s="39">
        <f t="shared" si="37"/>
        <v>0</v>
      </c>
      <c r="FP41" s="39">
        <f t="shared" si="37"/>
        <v>0</v>
      </c>
      <c r="FQ41" s="39">
        <f t="shared" si="37"/>
        <v>0</v>
      </c>
      <c r="FR41" s="39">
        <f t="shared" si="37"/>
        <v>0</v>
      </c>
      <c r="FS41" s="39">
        <f t="shared" si="37"/>
        <v>0</v>
      </c>
      <c r="FT41" s="39">
        <f t="shared" si="37"/>
        <v>0</v>
      </c>
      <c r="FU41" s="39">
        <f t="shared" si="37"/>
        <v>0</v>
      </c>
      <c r="FV41" s="39">
        <f t="shared" si="37"/>
        <v>0</v>
      </c>
      <c r="FW41" s="39">
        <f t="shared" si="37"/>
        <v>0</v>
      </c>
      <c r="FX41" s="39">
        <f t="shared" si="37"/>
        <v>0</v>
      </c>
      <c r="FY41" s="39">
        <f t="shared" si="37"/>
        <v>0</v>
      </c>
      <c r="FZ41" s="39">
        <f t="shared" si="37"/>
        <v>0</v>
      </c>
      <c r="GA41" s="39">
        <f t="shared" si="37"/>
        <v>0</v>
      </c>
      <c r="GB41" s="39">
        <f t="shared" si="37"/>
        <v>0</v>
      </c>
      <c r="GC41" s="39">
        <f t="shared" si="37"/>
        <v>0</v>
      </c>
      <c r="GD41" s="39">
        <f t="shared" si="37"/>
        <v>0</v>
      </c>
      <c r="GE41" s="39">
        <f t="shared" si="37"/>
        <v>0</v>
      </c>
      <c r="GF41" s="39">
        <f t="shared" si="37"/>
        <v>0</v>
      </c>
      <c r="GG41" s="39">
        <f t="shared" si="37"/>
        <v>0</v>
      </c>
      <c r="GH41" s="39">
        <f t="shared" si="37"/>
        <v>0</v>
      </c>
      <c r="GI41" s="39">
        <f t="shared" si="37"/>
        <v>0</v>
      </c>
      <c r="GJ41" s="39">
        <f t="shared" si="37"/>
        <v>0</v>
      </c>
      <c r="GK41" s="39">
        <f t="shared" si="37"/>
        <v>4.0360357083297931</v>
      </c>
      <c r="GL41" s="39">
        <f t="shared" si="37"/>
        <v>0</v>
      </c>
      <c r="GM41" s="39">
        <f t="shared" ref="GM41:IG41" si="38">(($B$31+1)*GM9)/(GM9+$B$31*((1-$B$32)+$B$32*($B41/$B$33)))*GM$27</f>
        <v>0</v>
      </c>
      <c r="GN41" s="39">
        <f t="shared" si="38"/>
        <v>0</v>
      </c>
      <c r="GO41" s="39">
        <f t="shared" si="38"/>
        <v>0</v>
      </c>
      <c r="GP41" s="39">
        <f t="shared" si="38"/>
        <v>0</v>
      </c>
      <c r="GQ41" s="39">
        <f t="shared" si="38"/>
        <v>4.0360357083297931</v>
      </c>
      <c r="GR41" s="39">
        <f t="shared" si="38"/>
        <v>0</v>
      </c>
      <c r="GS41" s="39">
        <f t="shared" si="38"/>
        <v>0</v>
      </c>
      <c r="GT41" s="39">
        <f t="shared" si="38"/>
        <v>0</v>
      </c>
      <c r="GU41" s="39">
        <f t="shared" si="38"/>
        <v>0</v>
      </c>
      <c r="GV41" s="39">
        <f t="shared" si="38"/>
        <v>0</v>
      </c>
      <c r="GW41" s="39">
        <f t="shared" si="38"/>
        <v>0</v>
      </c>
      <c r="GX41" s="39">
        <f t="shared" si="38"/>
        <v>0</v>
      </c>
      <c r="GY41" s="39">
        <f t="shared" si="38"/>
        <v>0</v>
      </c>
      <c r="GZ41" s="39">
        <f t="shared" si="38"/>
        <v>0</v>
      </c>
      <c r="HA41" s="39">
        <f t="shared" si="38"/>
        <v>0</v>
      </c>
      <c r="HB41" s="39">
        <f t="shared" si="38"/>
        <v>0</v>
      </c>
      <c r="HC41" s="39">
        <f t="shared" si="38"/>
        <v>0</v>
      </c>
      <c r="HD41" s="39">
        <f t="shared" si="38"/>
        <v>0</v>
      </c>
      <c r="HE41" s="39">
        <f t="shared" si="38"/>
        <v>0</v>
      </c>
      <c r="HF41" s="39">
        <f t="shared" si="38"/>
        <v>0</v>
      </c>
      <c r="HG41" s="39">
        <f t="shared" si="38"/>
        <v>0</v>
      </c>
      <c r="HH41" s="39">
        <f t="shared" si="38"/>
        <v>0</v>
      </c>
      <c r="HI41" s="39">
        <f t="shared" si="38"/>
        <v>0</v>
      </c>
      <c r="HJ41" s="39">
        <f t="shared" si="38"/>
        <v>4.0360357083297931</v>
      </c>
      <c r="HK41" s="39">
        <f t="shared" si="38"/>
        <v>0</v>
      </c>
      <c r="HL41" s="39">
        <f t="shared" si="38"/>
        <v>4.0360357083297931</v>
      </c>
      <c r="HM41" s="39">
        <f t="shared" si="38"/>
        <v>4.0360357083297931</v>
      </c>
      <c r="HN41" s="39">
        <f t="shared" si="38"/>
        <v>0</v>
      </c>
      <c r="HO41" s="39">
        <f t="shared" si="38"/>
        <v>0</v>
      </c>
      <c r="HP41" s="39">
        <f t="shared" si="38"/>
        <v>0</v>
      </c>
      <c r="HQ41" s="39">
        <f t="shared" si="38"/>
        <v>0</v>
      </c>
      <c r="HR41" s="39">
        <f t="shared" si="38"/>
        <v>0</v>
      </c>
      <c r="HS41" s="39">
        <f t="shared" si="38"/>
        <v>0</v>
      </c>
      <c r="HT41" s="39">
        <f t="shared" si="38"/>
        <v>0</v>
      </c>
      <c r="HU41" s="39">
        <f t="shared" si="38"/>
        <v>0</v>
      </c>
      <c r="HV41" s="39">
        <f t="shared" si="38"/>
        <v>0</v>
      </c>
      <c r="HW41" s="39">
        <f t="shared" si="38"/>
        <v>0</v>
      </c>
      <c r="HX41" s="39">
        <f t="shared" si="38"/>
        <v>0</v>
      </c>
      <c r="HY41" s="39">
        <f t="shared" si="38"/>
        <v>0</v>
      </c>
      <c r="HZ41" s="39">
        <f t="shared" si="38"/>
        <v>0</v>
      </c>
      <c r="IA41" s="39">
        <f t="shared" si="38"/>
        <v>0</v>
      </c>
      <c r="IB41" s="39">
        <f t="shared" si="38"/>
        <v>0</v>
      </c>
      <c r="IC41" s="39">
        <f t="shared" si="38"/>
        <v>0</v>
      </c>
      <c r="ID41" s="39">
        <f t="shared" si="38"/>
        <v>0</v>
      </c>
      <c r="IE41" s="39">
        <f t="shared" si="38"/>
        <v>0</v>
      </c>
      <c r="IF41" s="39">
        <f t="shared" si="38"/>
        <v>0</v>
      </c>
      <c r="IG41" s="39">
        <f t="shared" si="38"/>
        <v>0</v>
      </c>
      <c r="IH41" s="43">
        <v>0.15582191900030706</v>
      </c>
      <c r="II41" s="43">
        <v>0.20441992135372564</v>
      </c>
    </row>
    <row r="42" spans="1:243" x14ac:dyDescent="0.3">
      <c r="A42" s="34" t="s">
        <v>44</v>
      </c>
      <c r="B42" s="38">
        <f t="shared" si="14"/>
        <v>26</v>
      </c>
      <c r="C42" s="39">
        <f t="shared" ref="C42:BN42" si="39">(($B$31+1)*C10)/(C10+$B$31*((1-$B$32)+$B$32*($B42/$B$33)))*C$27</f>
        <v>2.2660798495273591</v>
      </c>
      <c r="D42" s="39">
        <f t="shared" si="39"/>
        <v>0</v>
      </c>
      <c r="E42" s="39">
        <f t="shared" si="39"/>
        <v>2.2660798495273591</v>
      </c>
      <c r="F42" s="39">
        <f t="shared" si="39"/>
        <v>2.2660798495273591</v>
      </c>
      <c r="G42" s="39">
        <f t="shared" si="39"/>
        <v>0</v>
      </c>
      <c r="H42" s="39">
        <f t="shared" si="39"/>
        <v>0</v>
      </c>
      <c r="I42" s="39">
        <f t="shared" si="39"/>
        <v>0</v>
      </c>
      <c r="J42" s="39">
        <f t="shared" si="39"/>
        <v>0</v>
      </c>
      <c r="K42" s="39">
        <f t="shared" si="39"/>
        <v>0</v>
      </c>
      <c r="L42" s="39">
        <f t="shared" si="39"/>
        <v>0</v>
      </c>
      <c r="M42" s="39">
        <f t="shared" si="39"/>
        <v>0</v>
      </c>
      <c r="N42" s="39">
        <f t="shared" si="39"/>
        <v>0</v>
      </c>
      <c r="O42" s="39">
        <f t="shared" si="39"/>
        <v>0</v>
      </c>
      <c r="P42" s="39">
        <f t="shared" si="39"/>
        <v>0</v>
      </c>
      <c r="Q42" s="39">
        <f t="shared" si="39"/>
        <v>0</v>
      </c>
      <c r="R42" s="39">
        <f t="shared" si="39"/>
        <v>0</v>
      </c>
      <c r="S42" s="39">
        <f t="shared" si="39"/>
        <v>0</v>
      </c>
      <c r="T42" s="39">
        <f t="shared" si="39"/>
        <v>0</v>
      </c>
      <c r="U42" s="39">
        <f t="shared" si="39"/>
        <v>0</v>
      </c>
      <c r="V42" s="39">
        <f t="shared" si="39"/>
        <v>0</v>
      </c>
      <c r="W42" s="39">
        <f t="shared" si="39"/>
        <v>0</v>
      </c>
      <c r="X42" s="39">
        <f t="shared" si="39"/>
        <v>0</v>
      </c>
      <c r="Y42" s="39">
        <f t="shared" si="39"/>
        <v>2.2660798495273591</v>
      </c>
      <c r="Z42" s="39">
        <f t="shared" si="39"/>
        <v>0</v>
      </c>
      <c r="AA42" s="39">
        <f t="shared" si="39"/>
        <v>0</v>
      </c>
      <c r="AB42" s="39">
        <f t="shared" si="39"/>
        <v>0</v>
      </c>
      <c r="AC42" s="39">
        <f t="shared" si="39"/>
        <v>0</v>
      </c>
      <c r="AD42" s="39">
        <f t="shared" si="39"/>
        <v>2.2660798495273591</v>
      </c>
      <c r="AE42" s="39">
        <f t="shared" si="39"/>
        <v>0</v>
      </c>
      <c r="AF42" s="39">
        <f t="shared" si="39"/>
        <v>0</v>
      </c>
      <c r="AG42" s="39">
        <f t="shared" si="39"/>
        <v>0</v>
      </c>
      <c r="AH42" s="39">
        <f t="shared" si="39"/>
        <v>0</v>
      </c>
      <c r="AI42" s="39">
        <f t="shared" si="39"/>
        <v>0</v>
      </c>
      <c r="AJ42" s="39">
        <f t="shared" si="39"/>
        <v>0.9525197513778878</v>
      </c>
      <c r="AK42" s="39">
        <f t="shared" si="39"/>
        <v>0</v>
      </c>
      <c r="AL42" s="39">
        <f t="shared" si="39"/>
        <v>0</v>
      </c>
      <c r="AM42" s="39">
        <f t="shared" si="39"/>
        <v>0</v>
      </c>
      <c r="AN42" s="39">
        <f t="shared" si="39"/>
        <v>0</v>
      </c>
      <c r="AO42" s="39">
        <f t="shared" si="39"/>
        <v>0</v>
      </c>
      <c r="AP42" s="39">
        <f t="shared" si="39"/>
        <v>0</v>
      </c>
      <c r="AQ42" s="39">
        <f t="shared" si="39"/>
        <v>0</v>
      </c>
      <c r="AR42" s="39">
        <f t="shared" si="39"/>
        <v>2.2660798495273591</v>
      </c>
      <c r="AS42" s="39">
        <f t="shared" si="39"/>
        <v>0</v>
      </c>
      <c r="AT42" s="39">
        <f t="shared" si="39"/>
        <v>0</v>
      </c>
      <c r="AU42" s="39">
        <f t="shared" si="39"/>
        <v>1.4606741628182904</v>
      </c>
      <c r="AV42" s="39">
        <f t="shared" si="39"/>
        <v>2.2660798495273591</v>
      </c>
      <c r="AW42" s="39">
        <f t="shared" si="39"/>
        <v>0</v>
      </c>
      <c r="AX42" s="39">
        <f t="shared" si="39"/>
        <v>0</v>
      </c>
      <c r="AY42" s="39">
        <f t="shared" si="39"/>
        <v>0</v>
      </c>
      <c r="AZ42" s="39">
        <f t="shared" si="39"/>
        <v>2.2660798495273591</v>
      </c>
      <c r="BA42" s="39">
        <f t="shared" si="39"/>
        <v>0</v>
      </c>
      <c r="BB42" s="39">
        <f t="shared" si="39"/>
        <v>0</v>
      </c>
      <c r="BC42" s="39">
        <f t="shared" si="39"/>
        <v>0</v>
      </c>
      <c r="BD42" s="39">
        <f t="shared" si="39"/>
        <v>0</v>
      </c>
      <c r="BE42" s="39">
        <f t="shared" si="39"/>
        <v>0</v>
      </c>
      <c r="BF42" s="39">
        <f t="shared" si="39"/>
        <v>0</v>
      </c>
      <c r="BG42" s="39">
        <f t="shared" si="39"/>
        <v>0</v>
      </c>
      <c r="BH42" s="39">
        <f t="shared" si="39"/>
        <v>0</v>
      </c>
      <c r="BI42" s="39">
        <f t="shared" si="39"/>
        <v>0</v>
      </c>
      <c r="BJ42" s="39">
        <f t="shared" si="39"/>
        <v>0</v>
      </c>
      <c r="BK42" s="39">
        <f t="shared" si="39"/>
        <v>0</v>
      </c>
      <c r="BL42" s="39">
        <f t="shared" si="39"/>
        <v>0</v>
      </c>
      <c r="BM42" s="39">
        <f t="shared" si="39"/>
        <v>0</v>
      </c>
      <c r="BN42" s="39">
        <f t="shared" si="39"/>
        <v>0</v>
      </c>
      <c r="BO42" s="39">
        <f t="shared" ref="BO42:DZ42" si="40">(($B$31+1)*BO10)/(BO10+$B$31*((1-$B$32)+$B$32*($B42/$B$33)))*BO$27</f>
        <v>0</v>
      </c>
      <c r="BP42" s="39">
        <f t="shared" si="40"/>
        <v>0</v>
      </c>
      <c r="BQ42" s="39">
        <f t="shared" si="40"/>
        <v>0</v>
      </c>
      <c r="BR42" s="39">
        <f t="shared" si="40"/>
        <v>0</v>
      </c>
      <c r="BS42" s="39">
        <f t="shared" si="40"/>
        <v>0</v>
      </c>
      <c r="BT42" s="39">
        <f t="shared" si="40"/>
        <v>0</v>
      </c>
      <c r="BU42" s="39">
        <f t="shared" si="40"/>
        <v>0</v>
      </c>
      <c r="BV42" s="39">
        <f t="shared" si="40"/>
        <v>0</v>
      </c>
      <c r="BW42" s="39">
        <f t="shared" si="40"/>
        <v>0</v>
      </c>
      <c r="BX42" s="39">
        <f t="shared" si="40"/>
        <v>0</v>
      </c>
      <c r="BY42" s="39">
        <f t="shared" si="40"/>
        <v>0</v>
      </c>
      <c r="BZ42" s="39">
        <f t="shared" si="40"/>
        <v>0</v>
      </c>
      <c r="CA42" s="39">
        <f t="shared" si="40"/>
        <v>0</v>
      </c>
      <c r="CB42" s="39">
        <f t="shared" si="40"/>
        <v>0</v>
      </c>
      <c r="CC42" s="39">
        <f t="shared" si="40"/>
        <v>0</v>
      </c>
      <c r="CD42" s="39">
        <f t="shared" si="40"/>
        <v>0</v>
      </c>
      <c r="CE42" s="39">
        <f t="shared" si="40"/>
        <v>0</v>
      </c>
      <c r="CF42" s="39">
        <f t="shared" si="40"/>
        <v>0</v>
      </c>
      <c r="CG42" s="39">
        <f t="shared" si="40"/>
        <v>0</v>
      </c>
      <c r="CH42" s="39">
        <f t="shared" si="40"/>
        <v>0</v>
      </c>
      <c r="CI42" s="39">
        <f t="shared" si="40"/>
        <v>0</v>
      </c>
      <c r="CJ42" s="39">
        <f t="shared" si="40"/>
        <v>0</v>
      </c>
      <c r="CK42" s="39">
        <f t="shared" si="40"/>
        <v>0</v>
      </c>
      <c r="CL42" s="39">
        <f t="shared" si="40"/>
        <v>0</v>
      </c>
      <c r="CM42" s="39">
        <f t="shared" si="40"/>
        <v>0</v>
      </c>
      <c r="CN42" s="39">
        <f t="shared" si="40"/>
        <v>0</v>
      </c>
      <c r="CO42" s="39">
        <f t="shared" si="40"/>
        <v>0</v>
      </c>
      <c r="CP42" s="39">
        <f t="shared" si="40"/>
        <v>0</v>
      </c>
      <c r="CQ42" s="39">
        <f t="shared" si="40"/>
        <v>0</v>
      </c>
      <c r="CR42" s="39">
        <f t="shared" si="40"/>
        <v>0</v>
      </c>
      <c r="CS42" s="39">
        <f t="shared" si="40"/>
        <v>0</v>
      </c>
      <c r="CT42" s="39">
        <f t="shared" si="40"/>
        <v>0</v>
      </c>
      <c r="CU42" s="39">
        <f t="shared" si="40"/>
        <v>0</v>
      </c>
      <c r="CV42" s="39">
        <f t="shared" si="40"/>
        <v>0</v>
      </c>
      <c r="CW42" s="39">
        <f t="shared" si="40"/>
        <v>0</v>
      </c>
      <c r="CX42" s="39">
        <f t="shared" si="40"/>
        <v>0</v>
      </c>
      <c r="CY42" s="39">
        <f t="shared" si="40"/>
        <v>0</v>
      </c>
      <c r="CZ42" s="39">
        <f t="shared" si="40"/>
        <v>0</v>
      </c>
      <c r="DA42" s="39">
        <f t="shared" si="40"/>
        <v>0</v>
      </c>
      <c r="DB42" s="39">
        <f t="shared" si="40"/>
        <v>0</v>
      </c>
      <c r="DC42" s="39">
        <f t="shared" si="40"/>
        <v>0</v>
      </c>
      <c r="DD42" s="39">
        <f t="shared" si="40"/>
        <v>0</v>
      </c>
      <c r="DE42" s="39">
        <f t="shared" si="40"/>
        <v>0</v>
      </c>
      <c r="DF42" s="39">
        <f t="shared" si="40"/>
        <v>0</v>
      </c>
      <c r="DG42" s="39">
        <f t="shared" si="40"/>
        <v>0</v>
      </c>
      <c r="DH42" s="39">
        <f t="shared" si="40"/>
        <v>0</v>
      </c>
      <c r="DI42" s="39">
        <f t="shared" si="40"/>
        <v>2.2660798495273591</v>
      </c>
      <c r="DJ42" s="39">
        <f t="shared" si="40"/>
        <v>0</v>
      </c>
      <c r="DK42" s="39">
        <f t="shared" si="40"/>
        <v>0</v>
      </c>
      <c r="DL42" s="39">
        <f t="shared" si="40"/>
        <v>0</v>
      </c>
      <c r="DM42" s="39">
        <f t="shared" si="40"/>
        <v>0</v>
      </c>
      <c r="DN42" s="39">
        <f t="shared" si="40"/>
        <v>0</v>
      </c>
      <c r="DO42" s="39">
        <f t="shared" si="40"/>
        <v>0</v>
      </c>
      <c r="DP42" s="39">
        <f t="shared" si="40"/>
        <v>0</v>
      </c>
      <c r="DQ42" s="39">
        <f t="shared" si="40"/>
        <v>0</v>
      </c>
      <c r="DR42" s="39">
        <f t="shared" si="40"/>
        <v>0</v>
      </c>
      <c r="DS42" s="39">
        <f t="shared" si="40"/>
        <v>0</v>
      </c>
      <c r="DT42" s="39">
        <f t="shared" si="40"/>
        <v>0</v>
      </c>
      <c r="DU42" s="39">
        <f t="shared" si="40"/>
        <v>0</v>
      </c>
      <c r="DV42" s="39">
        <f t="shared" si="40"/>
        <v>0</v>
      </c>
      <c r="DW42" s="39">
        <f t="shared" si="40"/>
        <v>0</v>
      </c>
      <c r="DX42" s="39">
        <f t="shared" si="40"/>
        <v>0</v>
      </c>
      <c r="DY42" s="39">
        <f t="shared" si="40"/>
        <v>0</v>
      </c>
      <c r="DZ42" s="39">
        <f t="shared" si="40"/>
        <v>0</v>
      </c>
      <c r="EA42" s="39">
        <f t="shared" ref="EA42:GL42" si="41">(($B$31+1)*EA10)/(EA10+$B$31*((1-$B$32)+$B$32*($B42/$B$33)))*EA$27</f>
        <v>0</v>
      </c>
      <c r="EB42" s="39">
        <f t="shared" si="41"/>
        <v>0</v>
      </c>
      <c r="EC42" s="39">
        <f t="shared" si="41"/>
        <v>0</v>
      </c>
      <c r="ED42" s="39">
        <f t="shared" si="41"/>
        <v>0</v>
      </c>
      <c r="EE42" s="39">
        <f t="shared" si="41"/>
        <v>0</v>
      </c>
      <c r="EF42" s="39">
        <f t="shared" si="41"/>
        <v>0</v>
      </c>
      <c r="EG42" s="39">
        <f t="shared" si="41"/>
        <v>0</v>
      </c>
      <c r="EH42" s="39">
        <f t="shared" si="41"/>
        <v>0</v>
      </c>
      <c r="EI42" s="39">
        <f t="shared" si="41"/>
        <v>0</v>
      </c>
      <c r="EJ42" s="39">
        <f t="shared" si="41"/>
        <v>0</v>
      </c>
      <c r="EK42" s="39">
        <f t="shared" si="41"/>
        <v>0</v>
      </c>
      <c r="EL42" s="39">
        <f t="shared" si="41"/>
        <v>0.81672518575618602</v>
      </c>
      <c r="EM42" s="39">
        <f t="shared" si="41"/>
        <v>0</v>
      </c>
      <c r="EN42" s="39">
        <f t="shared" si="41"/>
        <v>0</v>
      </c>
      <c r="EO42" s="39">
        <f t="shared" si="41"/>
        <v>0</v>
      </c>
      <c r="EP42" s="39">
        <f t="shared" si="41"/>
        <v>0</v>
      </c>
      <c r="EQ42" s="39">
        <f t="shared" si="41"/>
        <v>0</v>
      </c>
      <c r="ER42" s="39">
        <f t="shared" si="41"/>
        <v>0</v>
      </c>
      <c r="ES42" s="39">
        <f t="shared" si="41"/>
        <v>0</v>
      </c>
      <c r="ET42" s="39">
        <f t="shared" si="41"/>
        <v>0</v>
      </c>
      <c r="EU42" s="39">
        <f t="shared" si="41"/>
        <v>0</v>
      </c>
      <c r="EV42" s="39">
        <f t="shared" si="41"/>
        <v>0</v>
      </c>
      <c r="EW42" s="39">
        <f t="shared" si="41"/>
        <v>0</v>
      </c>
      <c r="EX42" s="39">
        <f t="shared" si="41"/>
        <v>0</v>
      </c>
      <c r="EY42" s="39">
        <f t="shared" si="41"/>
        <v>2.2660798495273591</v>
      </c>
      <c r="EZ42" s="39">
        <f t="shared" si="41"/>
        <v>1.2497710266465532</v>
      </c>
      <c r="FA42" s="39">
        <f t="shared" si="41"/>
        <v>2.2660798495273591</v>
      </c>
      <c r="FB42" s="39">
        <f t="shared" si="41"/>
        <v>0</v>
      </c>
      <c r="FC42" s="39">
        <f t="shared" si="41"/>
        <v>0</v>
      </c>
      <c r="FD42" s="39">
        <f t="shared" si="41"/>
        <v>0</v>
      </c>
      <c r="FE42" s="39">
        <f t="shared" si="41"/>
        <v>0.74161661520615019</v>
      </c>
      <c r="FF42" s="39">
        <f t="shared" si="41"/>
        <v>0</v>
      </c>
      <c r="FG42" s="39">
        <f t="shared" si="41"/>
        <v>0</v>
      </c>
      <c r="FH42" s="39">
        <f t="shared" si="41"/>
        <v>0</v>
      </c>
      <c r="FI42" s="39">
        <f t="shared" si="41"/>
        <v>0</v>
      </c>
      <c r="FJ42" s="39">
        <f t="shared" si="41"/>
        <v>0</v>
      </c>
      <c r="FK42" s="39">
        <f t="shared" si="41"/>
        <v>2.2660798495273591</v>
      </c>
      <c r="FL42" s="39">
        <f t="shared" si="41"/>
        <v>0</v>
      </c>
      <c r="FM42" s="39">
        <f t="shared" si="41"/>
        <v>1.757925438086956</v>
      </c>
      <c r="FN42" s="39">
        <f t="shared" si="41"/>
        <v>0</v>
      </c>
      <c r="FO42" s="39">
        <f t="shared" si="41"/>
        <v>0</v>
      </c>
      <c r="FP42" s="39">
        <f t="shared" si="41"/>
        <v>2.2660798495273591</v>
      </c>
      <c r="FQ42" s="39">
        <f t="shared" si="41"/>
        <v>0</v>
      </c>
      <c r="FR42" s="39">
        <f t="shared" si="41"/>
        <v>0</v>
      </c>
      <c r="FS42" s="39">
        <f t="shared" si="41"/>
        <v>0</v>
      </c>
      <c r="FT42" s="39">
        <f t="shared" si="41"/>
        <v>0</v>
      </c>
      <c r="FU42" s="39">
        <f t="shared" si="41"/>
        <v>0</v>
      </c>
      <c r="FV42" s="39">
        <f t="shared" si="41"/>
        <v>0</v>
      </c>
      <c r="FW42" s="39">
        <f t="shared" si="41"/>
        <v>0</v>
      </c>
      <c r="FX42" s="39">
        <f t="shared" si="41"/>
        <v>0</v>
      </c>
      <c r="FY42" s="39">
        <f t="shared" si="41"/>
        <v>0</v>
      </c>
      <c r="FZ42" s="39">
        <f t="shared" si="41"/>
        <v>0</v>
      </c>
      <c r="GA42" s="39">
        <f t="shared" si="41"/>
        <v>0</v>
      </c>
      <c r="GB42" s="39">
        <f t="shared" si="41"/>
        <v>0</v>
      </c>
      <c r="GC42" s="39">
        <f t="shared" si="41"/>
        <v>0</v>
      </c>
      <c r="GD42" s="39">
        <f t="shared" si="41"/>
        <v>0</v>
      </c>
      <c r="GE42" s="39">
        <f t="shared" si="41"/>
        <v>2.2660798495273591</v>
      </c>
      <c r="GF42" s="39">
        <f t="shared" si="41"/>
        <v>0</v>
      </c>
      <c r="GG42" s="39">
        <f t="shared" si="41"/>
        <v>0</v>
      </c>
      <c r="GH42" s="39">
        <f t="shared" si="41"/>
        <v>2.2660798495273591</v>
      </c>
      <c r="GI42" s="39">
        <f t="shared" si="41"/>
        <v>0</v>
      </c>
      <c r="GJ42" s="39">
        <f t="shared" si="41"/>
        <v>0</v>
      </c>
      <c r="GK42" s="39">
        <f t="shared" si="41"/>
        <v>0</v>
      </c>
      <c r="GL42" s="39">
        <f t="shared" si="41"/>
        <v>0</v>
      </c>
      <c r="GM42" s="39">
        <f t="shared" ref="GM42:IG42" si="42">(($B$31+1)*GM10)/(GM10+$B$31*((1-$B$32)+$B$32*($B42/$B$33)))*GM$27</f>
        <v>0</v>
      </c>
      <c r="GN42" s="39">
        <f t="shared" si="42"/>
        <v>0</v>
      </c>
      <c r="GO42" s="39">
        <f t="shared" si="42"/>
        <v>0</v>
      </c>
      <c r="GP42" s="39">
        <f t="shared" si="42"/>
        <v>0</v>
      </c>
      <c r="GQ42" s="39">
        <f t="shared" si="42"/>
        <v>0</v>
      </c>
      <c r="GR42" s="39">
        <f t="shared" si="42"/>
        <v>0</v>
      </c>
      <c r="GS42" s="39">
        <f t="shared" si="42"/>
        <v>0</v>
      </c>
      <c r="GT42" s="39">
        <f t="shared" si="42"/>
        <v>0</v>
      </c>
      <c r="GU42" s="39">
        <f t="shared" si="42"/>
        <v>0</v>
      </c>
      <c r="GV42" s="39">
        <f t="shared" si="42"/>
        <v>0</v>
      </c>
      <c r="GW42" s="39">
        <f t="shared" si="42"/>
        <v>0</v>
      </c>
      <c r="GX42" s="39">
        <f t="shared" si="42"/>
        <v>0</v>
      </c>
      <c r="GY42" s="39">
        <f t="shared" si="42"/>
        <v>0</v>
      </c>
      <c r="GZ42" s="39">
        <f t="shared" si="42"/>
        <v>0</v>
      </c>
      <c r="HA42" s="39">
        <f t="shared" si="42"/>
        <v>0</v>
      </c>
      <c r="HB42" s="39">
        <f t="shared" si="42"/>
        <v>0</v>
      </c>
      <c r="HC42" s="39">
        <f t="shared" si="42"/>
        <v>2.2660798495273591</v>
      </c>
      <c r="HD42" s="39">
        <f t="shared" si="42"/>
        <v>2.2660798495273591</v>
      </c>
      <c r="HE42" s="39">
        <f t="shared" si="42"/>
        <v>0</v>
      </c>
      <c r="HF42" s="39">
        <f t="shared" si="42"/>
        <v>0</v>
      </c>
      <c r="HG42" s="39">
        <f t="shared" si="42"/>
        <v>0</v>
      </c>
      <c r="HH42" s="39">
        <f t="shared" si="42"/>
        <v>0</v>
      </c>
      <c r="HI42" s="39">
        <f t="shared" si="42"/>
        <v>0</v>
      </c>
      <c r="HJ42" s="39">
        <f t="shared" si="42"/>
        <v>0</v>
      </c>
      <c r="HK42" s="39">
        <f t="shared" si="42"/>
        <v>0</v>
      </c>
      <c r="HL42" s="39">
        <f t="shared" si="42"/>
        <v>0</v>
      </c>
      <c r="HM42" s="39">
        <f t="shared" si="42"/>
        <v>0</v>
      </c>
      <c r="HN42" s="39">
        <f t="shared" si="42"/>
        <v>0</v>
      </c>
      <c r="HO42" s="39">
        <f t="shared" si="42"/>
        <v>0</v>
      </c>
      <c r="HP42" s="39">
        <f t="shared" si="42"/>
        <v>0</v>
      </c>
      <c r="HQ42" s="39">
        <f t="shared" si="42"/>
        <v>0</v>
      </c>
      <c r="HR42" s="39">
        <f t="shared" si="42"/>
        <v>0</v>
      </c>
      <c r="HS42" s="39">
        <f t="shared" si="42"/>
        <v>0</v>
      </c>
      <c r="HT42" s="39">
        <f t="shared" si="42"/>
        <v>0</v>
      </c>
      <c r="HU42" s="39">
        <f t="shared" si="42"/>
        <v>2.2660798495273591</v>
      </c>
      <c r="HV42" s="39">
        <f t="shared" si="42"/>
        <v>0</v>
      </c>
      <c r="HW42" s="39">
        <f t="shared" si="42"/>
        <v>0</v>
      </c>
      <c r="HX42" s="39">
        <f t="shared" si="42"/>
        <v>0</v>
      </c>
      <c r="HY42" s="39">
        <f t="shared" si="42"/>
        <v>0</v>
      </c>
      <c r="HZ42" s="39">
        <f t="shared" si="42"/>
        <v>0</v>
      </c>
      <c r="IA42" s="39">
        <f t="shared" si="42"/>
        <v>0</v>
      </c>
      <c r="IB42" s="39">
        <f t="shared" si="42"/>
        <v>0</v>
      </c>
      <c r="IC42" s="39">
        <f t="shared" si="42"/>
        <v>0</v>
      </c>
      <c r="ID42" s="39">
        <f t="shared" si="42"/>
        <v>0</v>
      </c>
      <c r="IE42" s="39">
        <f t="shared" si="42"/>
        <v>0</v>
      </c>
      <c r="IF42" s="39">
        <f t="shared" si="42"/>
        <v>1.4606741628182904</v>
      </c>
      <c r="IG42" s="39">
        <f t="shared" si="42"/>
        <v>0</v>
      </c>
      <c r="IH42" s="43">
        <v>0.30908535386529412</v>
      </c>
      <c r="II42" s="43">
        <v>0.25177460933816365</v>
      </c>
    </row>
    <row r="43" spans="1:243" x14ac:dyDescent="0.3">
      <c r="A43" s="34" t="s">
        <v>42</v>
      </c>
      <c r="B43" s="38">
        <f t="shared" si="14"/>
        <v>16</v>
      </c>
      <c r="C43" s="39">
        <f t="shared" ref="C43:BN43" si="43">(($B$31+1)*C11)/(C11+$B$31*((1-$B$32)+$B$32*($B43/$B$33)))*C$27</f>
        <v>0</v>
      </c>
      <c r="D43" s="39">
        <f t="shared" si="43"/>
        <v>0</v>
      </c>
      <c r="E43" s="39">
        <f t="shared" si="43"/>
        <v>0</v>
      </c>
      <c r="F43" s="39">
        <f t="shared" si="43"/>
        <v>0</v>
      </c>
      <c r="G43" s="39">
        <f t="shared" si="43"/>
        <v>0</v>
      </c>
      <c r="H43" s="39">
        <f t="shared" si="43"/>
        <v>0</v>
      </c>
      <c r="I43" s="39">
        <f t="shared" si="43"/>
        <v>0</v>
      </c>
      <c r="J43" s="39">
        <f t="shared" si="43"/>
        <v>0</v>
      </c>
      <c r="K43" s="39">
        <f t="shared" si="43"/>
        <v>0</v>
      </c>
      <c r="L43" s="39">
        <f t="shared" si="43"/>
        <v>0</v>
      </c>
      <c r="M43" s="39">
        <f t="shared" si="43"/>
        <v>0</v>
      </c>
      <c r="N43" s="39">
        <f t="shared" si="43"/>
        <v>0</v>
      </c>
      <c r="O43" s="39">
        <f t="shared" si="43"/>
        <v>0</v>
      </c>
      <c r="P43" s="39">
        <f t="shared" si="43"/>
        <v>0</v>
      </c>
      <c r="Q43" s="39">
        <f t="shared" si="43"/>
        <v>0</v>
      </c>
      <c r="R43" s="39">
        <f t="shared" si="43"/>
        <v>0</v>
      </c>
      <c r="S43" s="39">
        <f t="shared" si="43"/>
        <v>0</v>
      </c>
      <c r="T43" s="39">
        <f t="shared" si="43"/>
        <v>0</v>
      </c>
      <c r="U43" s="39">
        <f t="shared" si="43"/>
        <v>0</v>
      </c>
      <c r="V43" s="39">
        <f t="shared" si="43"/>
        <v>0</v>
      </c>
      <c r="W43" s="39">
        <f t="shared" si="43"/>
        <v>0</v>
      </c>
      <c r="X43" s="39">
        <f t="shared" si="43"/>
        <v>0</v>
      </c>
      <c r="Y43" s="39">
        <f t="shared" si="43"/>
        <v>0</v>
      </c>
      <c r="Z43" s="39">
        <f t="shared" si="43"/>
        <v>0</v>
      </c>
      <c r="AA43" s="39">
        <f t="shared" si="43"/>
        <v>0</v>
      </c>
      <c r="AB43" s="39">
        <f t="shared" si="43"/>
        <v>0</v>
      </c>
      <c r="AC43" s="39">
        <f t="shared" si="43"/>
        <v>0</v>
      </c>
      <c r="AD43" s="39">
        <f t="shared" si="43"/>
        <v>0</v>
      </c>
      <c r="AE43" s="39">
        <f t="shared" si="43"/>
        <v>0</v>
      </c>
      <c r="AF43" s="39">
        <f t="shared" si="43"/>
        <v>0</v>
      </c>
      <c r="AG43" s="39">
        <f t="shared" si="43"/>
        <v>0</v>
      </c>
      <c r="AH43" s="39">
        <f t="shared" si="43"/>
        <v>0</v>
      </c>
      <c r="AI43" s="39">
        <f t="shared" si="43"/>
        <v>0</v>
      </c>
      <c r="AJ43" s="39">
        <f t="shared" si="43"/>
        <v>1.2593343125830641</v>
      </c>
      <c r="AK43" s="39">
        <f t="shared" si="43"/>
        <v>0</v>
      </c>
      <c r="AL43" s="39">
        <f t="shared" si="43"/>
        <v>0</v>
      </c>
      <c r="AM43" s="39">
        <f t="shared" si="43"/>
        <v>0</v>
      </c>
      <c r="AN43" s="39">
        <f t="shared" si="43"/>
        <v>0</v>
      </c>
      <c r="AO43" s="39">
        <f t="shared" si="43"/>
        <v>0</v>
      </c>
      <c r="AP43" s="39">
        <f t="shared" si="43"/>
        <v>0</v>
      </c>
      <c r="AQ43" s="39">
        <f t="shared" si="43"/>
        <v>0</v>
      </c>
      <c r="AR43" s="39">
        <f t="shared" si="43"/>
        <v>0</v>
      </c>
      <c r="AS43" s="39">
        <f t="shared" si="43"/>
        <v>0</v>
      </c>
      <c r="AT43" s="39">
        <f t="shared" si="43"/>
        <v>0</v>
      </c>
      <c r="AU43" s="39">
        <f t="shared" si="43"/>
        <v>1.9311695007685452</v>
      </c>
      <c r="AV43" s="39">
        <f t="shared" si="43"/>
        <v>0</v>
      </c>
      <c r="AW43" s="39">
        <f t="shared" si="43"/>
        <v>0</v>
      </c>
      <c r="AX43" s="39">
        <f t="shared" si="43"/>
        <v>0</v>
      </c>
      <c r="AY43" s="39">
        <f t="shared" si="43"/>
        <v>0</v>
      </c>
      <c r="AZ43" s="39">
        <f t="shared" si="43"/>
        <v>0</v>
      </c>
      <c r="BA43" s="39">
        <f t="shared" si="43"/>
        <v>0</v>
      </c>
      <c r="BB43" s="39">
        <f t="shared" si="43"/>
        <v>0</v>
      </c>
      <c r="BC43" s="39">
        <f t="shared" si="43"/>
        <v>2.9960030807074745</v>
      </c>
      <c r="BD43" s="39">
        <f t="shared" si="43"/>
        <v>0</v>
      </c>
      <c r="BE43" s="39">
        <f t="shared" si="43"/>
        <v>0</v>
      </c>
      <c r="BF43" s="39">
        <f t="shared" si="43"/>
        <v>0</v>
      </c>
      <c r="BG43" s="39">
        <f t="shared" si="43"/>
        <v>0</v>
      </c>
      <c r="BH43" s="39">
        <f t="shared" si="43"/>
        <v>0</v>
      </c>
      <c r="BI43" s="39">
        <f t="shared" si="43"/>
        <v>2.9960030807074745</v>
      </c>
      <c r="BJ43" s="39">
        <f t="shared" si="43"/>
        <v>0</v>
      </c>
      <c r="BK43" s="39">
        <f t="shared" si="43"/>
        <v>0</v>
      </c>
      <c r="BL43" s="39">
        <f t="shared" si="43"/>
        <v>0</v>
      </c>
      <c r="BM43" s="39">
        <f t="shared" si="43"/>
        <v>0</v>
      </c>
      <c r="BN43" s="39">
        <f t="shared" si="43"/>
        <v>0</v>
      </c>
      <c r="BO43" s="39">
        <f t="shared" ref="BO43:DZ43" si="44">(($B$31+1)*BO11)/(BO11+$B$31*((1-$B$32)+$B$32*($B43/$B$33)))*BO$27</f>
        <v>0</v>
      </c>
      <c r="BP43" s="39">
        <f t="shared" si="44"/>
        <v>0</v>
      </c>
      <c r="BQ43" s="39">
        <f t="shared" si="44"/>
        <v>0</v>
      </c>
      <c r="BR43" s="39">
        <f t="shared" si="44"/>
        <v>0</v>
      </c>
      <c r="BS43" s="39">
        <f t="shared" si="44"/>
        <v>0</v>
      </c>
      <c r="BT43" s="39">
        <f t="shared" si="44"/>
        <v>0</v>
      </c>
      <c r="BU43" s="39">
        <f t="shared" si="44"/>
        <v>0</v>
      </c>
      <c r="BV43" s="39">
        <f t="shared" si="44"/>
        <v>0</v>
      </c>
      <c r="BW43" s="39">
        <f t="shared" si="44"/>
        <v>0</v>
      </c>
      <c r="BX43" s="39">
        <f t="shared" si="44"/>
        <v>0</v>
      </c>
      <c r="BY43" s="39">
        <f t="shared" si="44"/>
        <v>0</v>
      </c>
      <c r="BZ43" s="39">
        <f t="shared" si="44"/>
        <v>0</v>
      </c>
      <c r="CA43" s="39">
        <f t="shared" si="44"/>
        <v>0</v>
      </c>
      <c r="CB43" s="39">
        <f t="shared" si="44"/>
        <v>0</v>
      </c>
      <c r="CC43" s="39">
        <f t="shared" si="44"/>
        <v>0</v>
      </c>
      <c r="CD43" s="39">
        <f t="shared" si="44"/>
        <v>0</v>
      </c>
      <c r="CE43" s="39">
        <f t="shared" si="44"/>
        <v>0</v>
      </c>
      <c r="CF43" s="39">
        <f t="shared" si="44"/>
        <v>0</v>
      </c>
      <c r="CG43" s="39">
        <f t="shared" si="44"/>
        <v>0</v>
      </c>
      <c r="CH43" s="39">
        <f t="shared" si="44"/>
        <v>0</v>
      </c>
      <c r="CI43" s="39">
        <f t="shared" si="44"/>
        <v>0</v>
      </c>
      <c r="CJ43" s="39">
        <f t="shared" si="44"/>
        <v>0</v>
      </c>
      <c r="CK43" s="39">
        <f t="shared" si="44"/>
        <v>0</v>
      </c>
      <c r="CL43" s="39">
        <f t="shared" si="44"/>
        <v>0</v>
      </c>
      <c r="CM43" s="39">
        <f t="shared" si="44"/>
        <v>0</v>
      </c>
      <c r="CN43" s="39">
        <f t="shared" si="44"/>
        <v>0</v>
      </c>
      <c r="CO43" s="39">
        <f t="shared" si="44"/>
        <v>0</v>
      </c>
      <c r="CP43" s="39">
        <f t="shared" si="44"/>
        <v>0</v>
      </c>
      <c r="CQ43" s="39">
        <f t="shared" si="44"/>
        <v>0</v>
      </c>
      <c r="CR43" s="39">
        <f t="shared" si="44"/>
        <v>0</v>
      </c>
      <c r="CS43" s="39">
        <f t="shared" si="44"/>
        <v>0</v>
      </c>
      <c r="CT43" s="39">
        <f t="shared" si="44"/>
        <v>0</v>
      </c>
      <c r="CU43" s="39">
        <f t="shared" si="44"/>
        <v>0</v>
      </c>
      <c r="CV43" s="39">
        <f t="shared" si="44"/>
        <v>0</v>
      </c>
      <c r="CW43" s="39">
        <f t="shared" si="44"/>
        <v>0</v>
      </c>
      <c r="CX43" s="39">
        <f t="shared" si="44"/>
        <v>0</v>
      </c>
      <c r="CY43" s="39">
        <f t="shared" si="44"/>
        <v>0</v>
      </c>
      <c r="CZ43" s="39">
        <f t="shared" si="44"/>
        <v>0</v>
      </c>
      <c r="DA43" s="39">
        <f t="shared" si="44"/>
        <v>0</v>
      </c>
      <c r="DB43" s="39">
        <f t="shared" si="44"/>
        <v>0</v>
      </c>
      <c r="DC43" s="39">
        <f t="shared" si="44"/>
        <v>0</v>
      </c>
      <c r="DD43" s="39">
        <f t="shared" si="44"/>
        <v>0</v>
      </c>
      <c r="DE43" s="39">
        <f t="shared" si="44"/>
        <v>0</v>
      </c>
      <c r="DF43" s="39">
        <f t="shared" si="44"/>
        <v>0</v>
      </c>
      <c r="DG43" s="39">
        <f t="shared" si="44"/>
        <v>0</v>
      </c>
      <c r="DH43" s="39">
        <f t="shared" si="44"/>
        <v>0</v>
      </c>
      <c r="DI43" s="39">
        <f t="shared" si="44"/>
        <v>0</v>
      </c>
      <c r="DJ43" s="39">
        <f t="shared" si="44"/>
        <v>0</v>
      </c>
      <c r="DK43" s="39">
        <f t="shared" si="44"/>
        <v>2.9960030807074745</v>
      </c>
      <c r="DL43" s="39">
        <f t="shared" si="44"/>
        <v>0</v>
      </c>
      <c r="DM43" s="39">
        <f t="shared" si="44"/>
        <v>0</v>
      </c>
      <c r="DN43" s="39">
        <f t="shared" si="44"/>
        <v>0</v>
      </c>
      <c r="DO43" s="39">
        <f t="shared" si="44"/>
        <v>0</v>
      </c>
      <c r="DP43" s="39">
        <f t="shared" si="44"/>
        <v>0</v>
      </c>
      <c r="DQ43" s="39">
        <f t="shared" si="44"/>
        <v>0</v>
      </c>
      <c r="DR43" s="39">
        <f t="shared" si="44"/>
        <v>0</v>
      </c>
      <c r="DS43" s="39">
        <f t="shared" si="44"/>
        <v>0</v>
      </c>
      <c r="DT43" s="39">
        <f t="shared" si="44"/>
        <v>0</v>
      </c>
      <c r="DU43" s="39">
        <f t="shared" si="44"/>
        <v>0</v>
      </c>
      <c r="DV43" s="39">
        <f t="shared" si="44"/>
        <v>2.3241678925219933</v>
      </c>
      <c r="DW43" s="39">
        <f t="shared" si="44"/>
        <v>0</v>
      </c>
      <c r="DX43" s="39">
        <f t="shared" si="44"/>
        <v>0</v>
      </c>
      <c r="DY43" s="39">
        <f t="shared" si="44"/>
        <v>0</v>
      </c>
      <c r="DZ43" s="39">
        <f t="shared" si="44"/>
        <v>0</v>
      </c>
      <c r="EA43" s="39">
        <f t="shared" ref="EA43:GL43" si="45">(($B$31+1)*EA11)/(EA11+$B$31*((1-$B$32)+$B$32*($B43/$B$33)))*EA$27</f>
        <v>0</v>
      </c>
      <c r="EB43" s="39">
        <f t="shared" si="45"/>
        <v>0</v>
      </c>
      <c r="EC43" s="39">
        <f t="shared" si="45"/>
        <v>0</v>
      </c>
      <c r="ED43" s="39">
        <f t="shared" si="45"/>
        <v>0</v>
      </c>
      <c r="EE43" s="39">
        <f t="shared" si="45"/>
        <v>2.9960030807074745</v>
      </c>
      <c r="EF43" s="39">
        <f t="shared" si="45"/>
        <v>0</v>
      </c>
      <c r="EG43" s="39">
        <f t="shared" si="45"/>
        <v>0</v>
      </c>
      <c r="EH43" s="39">
        <f t="shared" si="45"/>
        <v>0</v>
      </c>
      <c r="EI43" s="39">
        <f t="shared" si="45"/>
        <v>0</v>
      </c>
      <c r="EJ43" s="39">
        <f t="shared" si="45"/>
        <v>0</v>
      </c>
      <c r="EK43" s="39">
        <f t="shared" si="45"/>
        <v>0</v>
      </c>
      <c r="EL43" s="39">
        <f t="shared" si="45"/>
        <v>1.0155590561357812</v>
      </c>
      <c r="EM43" s="39">
        <f t="shared" si="45"/>
        <v>0</v>
      </c>
      <c r="EN43" s="39">
        <f t="shared" si="45"/>
        <v>0</v>
      </c>
      <c r="EO43" s="39">
        <f t="shared" si="45"/>
        <v>0</v>
      </c>
      <c r="EP43" s="39">
        <f t="shared" si="45"/>
        <v>0</v>
      </c>
      <c r="EQ43" s="39">
        <f t="shared" si="45"/>
        <v>0</v>
      </c>
      <c r="ER43" s="39">
        <f t="shared" si="45"/>
        <v>2.9960030807074745</v>
      </c>
      <c r="ES43" s="39">
        <f t="shared" si="45"/>
        <v>0</v>
      </c>
      <c r="ET43" s="39">
        <f t="shared" si="45"/>
        <v>0</v>
      </c>
      <c r="EU43" s="39">
        <f t="shared" si="45"/>
        <v>0</v>
      </c>
      <c r="EV43" s="39">
        <f t="shared" si="45"/>
        <v>0</v>
      </c>
      <c r="EW43" s="39">
        <f t="shared" si="45"/>
        <v>0</v>
      </c>
      <c r="EX43" s="39">
        <f t="shared" si="45"/>
        <v>0</v>
      </c>
      <c r="EY43" s="39">
        <f t="shared" si="45"/>
        <v>0</v>
      </c>
      <c r="EZ43" s="39">
        <f t="shared" si="45"/>
        <v>0</v>
      </c>
      <c r="FA43" s="39">
        <f t="shared" si="45"/>
        <v>0</v>
      </c>
      <c r="FB43" s="39">
        <f t="shared" si="45"/>
        <v>0</v>
      </c>
      <c r="FC43" s="39">
        <f t="shared" si="45"/>
        <v>0</v>
      </c>
      <c r="FD43" s="39">
        <f t="shared" si="45"/>
        <v>0</v>
      </c>
      <c r="FE43" s="39">
        <f t="shared" si="45"/>
        <v>0.9804975161510302</v>
      </c>
      <c r="FF43" s="39">
        <f t="shared" si="45"/>
        <v>0</v>
      </c>
      <c r="FG43" s="39">
        <f t="shared" si="45"/>
        <v>0</v>
      </c>
      <c r="FH43" s="39">
        <f t="shared" si="45"/>
        <v>0</v>
      </c>
      <c r="FI43" s="39">
        <f t="shared" si="45"/>
        <v>0</v>
      </c>
      <c r="FJ43" s="39">
        <f t="shared" si="45"/>
        <v>0</v>
      </c>
      <c r="FK43" s="39">
        <f t="shared" si="45"/>
        <v>0</v>
      </c>
      <c r="FL43" s="39">
        <f t="shared" si="45"/>
        <v>0</v>
      </c>
      <c r="FM43" s="39">
        <f t="shared" si="45"/>
        <v>0</v>
      </c>
      <c r="FN43" s="39">
        <f t="shared" si="45"/>
        <v>0</v>
      </c>
      <c r="FO43" s="39">
        <f t="shared" si="45"/>
        <v>0</v>
      </c>
      <c r="FP43" s="39">
        <f t="shared" si="45"/>
        <v>0</v>
      </c>
      <c r="FQ43" s="39">
        <f t="shared" si="45"/>
        <v>0</v>
      </c>
      <c r="FR43" s="39">
        <f t="shared" si="45"/>
        <v>0</v>
      </c>
      <c r="FS43" s="39">
        <f t="shared" si="45"/>
        <v>0</v>
      </c>
      <c r="FT43" s="39">
        <f t="shared" si="45"/>
        <v>0</v>
      </c>
      <c r="FU43" s="39">
        <f t="shared" si="45"/>
        <v>0</v>
      </c>
      <c r="FV43" s="39">
        <f t="shared" si="45"/>
        <v>0</v>
      </c>
      <c r="FW43" s="39">
        <f t="shared" si="45"/>
        <v>0</v>
      </c>
      <c r="FX43" s="39">
        <f t="shared" si="45"/>
        <v>0</v>
      </c>
      <c r="FY43" s="39">
        <f t="shared" si="45"/>
        <v>0</v>
      </c>
      <c r="FZ43" s="39">
        <f t="shared" si="45"/>
        <v>0</v>
      </c>
      <c r="GA43" s="39">
        <f t="shared" si="45"/>
        <v>0</v>
      </c>
      <c r="GB43" s="39">
        <f t="shared" si="45"/>
        <v>0</v>
      </c>
      <c r="GC43" s="39">
        <f t="shared" si="45"/>
        <v>0</v>
      </c>
      <c r="GD43" s="39">
        <f t="shared" si="45"/>
        <v>0</v>
      </c>
      <c r="GE43" s="39">
        <f t="shared" si="45"/>
        <v>0</v>
      </c>
      <c r="GF43" s="39">
        <f t="shared" si="45"/>
        <v>0</v>
      </c>
      <c r="GG43" s="39">
        <f t="shared" si="45"/>
        <v>0</v>
      </c>
      <c r="GH43" s="39">
        <f t="shared" si="45"/>
        <v>0</v>
      </c>
      <c r="GI43" s="39">
        <f t="shared" si="45"/>
        <v>2.9960030807074745</v>
      </c>
      <c r="GJ43" s="39">
        <f t="shared" si="45"/>
        <v>0</v>
      </c>
      <c r="GK43" s="39">
        <f t="shared" si="45"/>
        <v>0</v>
      </c>
      <c r="GL43" s="39">
        <f t="shared" si="45"/>
        <v>0</v>
      </c>
      <c r="GM43" s="39">
        <f t="shared" ref="GM43:IG43" si="46">(($B$31+1)*GM11)/(GM11+$B$31*((1-$B$32)+$B$32*($B43/$B$33)))*GM$27</f>
        <v>2.9960030807074745</v>
      </c>
      <c r="GN43" s="39">
        <f t="shared" si="46"/>
        <v>0</v>
      </c>
      <c r="GO43" s="39">
        <f t="shared" si="46"/>
        <v>0</v>
      </c>
      <c r="GP43" s="39">
        <f t="shared" si="46"/>
        <v>0</v>
      </c>
      <c r="GQ43" s="39">
        <f t="shared" si="46"/>
        <v>0</v>
      </c>
      <c r="GR43" s="39">
        <f t="shared" si="46"/>
        <v>0</v>
      </c>
      <c r="GS43" s="39">
        <f t="shared" si="46"/>
        <v>0</v>
      </c>
      <c r="GT43" s="39">
        <f t="shared" si="46"/>
        <v>0</v>
      </c>
      <c r="GU43" s="39">
        <f t="shared" si="46"/>
        <v>0</v>
      </c>
      <c r="GV43" s="39">
        <f t="shared" si="46"/>
        <v>0</v>
      </c>
      <c r="GW43" s="39">
        <f t="shared" si="46"/>
        <v>0</v>
      </c>
      <c r="GX43" s="39">
        <f t="shared" si="46"/>
        <v>2.9960030807074745</v>
      </c>
      <c r="GY43" s="39">
        <f t="shared" si="46"/>
        <v>0</v>
      </c>
      <c r="GZ43" s="39">
        <f t="shared" si="46"/>
        <v>0</v>
      </c>
      <c r="HA43" s="39">
        <f t="shared" si="46"/>
        <v>0</v>
      </c>
      <c r="HB43" s="39">
        <f t="shared" si="46"/>
        <v>0</v>
      </c>
      <c r="HC43" s="39">
        <f t="shared" si="46"/>
        <v>0</v>
      </c>
      <c r="HD43" s="39">
        <f t="shared" si="46"/>
        <v>0</v>
      </c>
      <c r="HE43" s="39">
        <f t="shared" si="46"/>
        <v>2.9960030807074745</v>
      </c>
      <c r="HF43" s="39">
        <f t="shared" si="46"/>
        <v>0</v>
      </c>
      <c r="HG43" s="39">
        <f t="shared" si="46"/>
        <v>0</v>
      </c>
      <c r="HH43" s="39">
        <f t="shared" si="46"/>
        <v>0</v>
      </c>
      <c r="HI43" s="39">
        <f t="shared" si="46"/>
        <v>0</v>
      </c>
      <c r="HJ43" s="39">
        <f t="shared" si="46"/>
        <v>0</v>
      </c>
      <c r="HK43" s="39">
        <f t="shared" si="46"/>
        <v>0</v>
      </c>
      <c r="HL43" s="39">
        <f t="shared" si="46"/>
        <v>0</v>
      </c>
      <c r="HM43" s="39">
        <f t="shared" si="46"/>
        <v>0</v>
      </c>
      <c r="HN43" s="39">
        <f t="shared" si="46"/>
        <v>0</v>
      </c>
      <c r="HO43" s="39">
        <f t="shared" si="46"/>
        <v>0</v>
      </c>
      <c r="HP43" s="39">
        <f t="shared" si="46"/>
        <v>0</v>
      </c>
      <c r="HQ43" s="39">
        <f t="shared" si="46"/>
        <v>0</v>
      </c>
      <c r="HR43" s="39">
        <f t="shared" si="46"/>
        <v>0</v>
      </c>
      <c r="HS43" s="39">
        <f t="shared" si="46"/>
        <v>0</v>
      </c>
      <c r="HT43" s="39">
        <f t="shared" si="46"/>
        <v>0</v>
      </c>
      <c r="HU43" s="39">
        <f t="shared" si="46"/>
        <v>0</v>
      </c>
      <c r="HV43" s="39">
        <f t="shared" si="46"/>
        <v>0</v>
      </c>
      <c r="HW43" s="39">
        <f t="shared" si="46"/>
        <v>0</v>
      </c>
      <c r="HX43" s="39">
        <f t="shared" si="46"/>
        <v>0</v>
      </c>
      <c r="HY43" s="39">
        <f t="shared" si="46"/>
        <v>0</v>
      </c>
      <c r="HZ43" s="39">
        <f t="shared" si="46"/>
        <v>0</v>
      </c>
      <c r="IA43" s="39">
        <f t="shared" si="46"/>
        <v>0</v>
      </c>
      <c r="IB43" s="39">
        <f t="shared" si="46"/>
        <v>2.9960030807074745</v>
      </c>
      <c r="IC43" s="39">
        <f t="shared" si="46"/>
        <v>0</v>
      </c>
      <c r="ID43" s="39">
        <f t="shared" si="46"/>
        <v>0</v>
      </c>
      <c r="IE43" s="39">
        <f t="shared" si="46"/>
        <v>0</v>
      </c>
      <c r="IF43" s="39">
        <f t="shared" si="46"/>
        <v>0</v>
      </c>
      <c r="IG43" s="39">
        <f t="shared" si="46"/>
        <v>0</v>
      </c>
      <c r="IH43" s="43">
        <v>0.24186739792546313</v>
      </c>
      <c r="II43" s="43">
        <v>0.2425412991378518</v>
      </c>
    </row>
    <row r="44" spans="1:243" x14ac:dyDescent="0.3">
      <c r="A44" s="34" t="s">
        <v>45</v>
      </c>
      <c r="B44" s="38">
        <f t="shared" si="14"/>
        <v>17</v>
      </c>
      <c r="C44" s="39">
        <f t="shared" ref="C44:BN44" si="47">(($B$31+1)*C12)/(C12+$B$31*((1-$B$32)+$B$32*($B44/$B$33)))*C$27</f>
        <v>0</v>
      </c>
      <c r="D44" s="39">
        <f t="shared" si="47"/>
        <v>2.9025107859903616</v>
      </c>
      <c r="E44" s="39">
        <f t="shared" si="47"/>
        <v>0</v>
      </c>
      <c r="F44" s="39">
        <f t="shared" si="47"/>
        <v>0</v>
      </c>
      <c r="G44" s="39">
        <f t="shared" si="47"/>
        <v>0</v>
      </c>
      <c r="H44" s="39">
        <f t="shared" si="47"/>
        <v>0</v>
      </c>
      <c r="I44" s="39">
        <f t="shared" si="47"/>
        <v>0</v>
      </c>
      <c r="J44" s="39">
        <f t="shared" si="47"/>
        <v>0</v>
      </c>
      <c r="K44" s="39">
        <f t="shared" si="47"/>
        <v>0</v>
      </c>
      <c r="L44" s="39">
        <f t="shared" si="47"/>
        <v>2.9025107859903616</v>
      </c>
      <c r="M44" s="39">
        <f t="shared" si="47"/>
        <v>0</v>
      </c>
      <c r="N44" s="39">
        <f t="shared" si="47"/>
        <v>0</v>
      </c>
      <c r="O44" s="39">
        <f t="shared" si="47"/>
        <v>1.0752873552462237</v>
      </c>
      <c r="P44" s="39">
        <f t="shared" si="47"/>
        <v>0</v>
      </c>
      <c r="Q44" s="39">
        <f t="shared" si="47"/>
        <v>0</v>
      </c>
      <c r="R44" s="39">
        <f t="shared" si="47"/>
        <v>0</v>
      </c>
      <c r="S44" s="39">
        <f t="shared" si="47"/>
        <v>0</v>
      </c>
      <c r="T44" s="39">
        <f t="shared" si="47"/>
        <v>0</v>
      </c>
      <c r="U44" s="39">
        <f t="shared" si="47"/>
        <v>0</v>
      </c>
      <c r="V44" s="39">
        <f t="shared" si="47"/>
        <v>0</v>
      </c>
      <c r="W44" s="39">
        <f t="shared" si="47"/>
        <v>0</v>
      </c>
      <c r="X44" s="39">
        <f t="shared" si="47"/>
        <v>0</v>
      </c>
      <c r="Y44" s="39">
        <f t="shared" si="47"/>
        <v>0</v>
      </c>
      <c r="Z44" s="39">
        <f t="shared" si="47"/>
        <v>0</v>
      </c>
      <c r="AA44" s="39">
        <f t="shared" si="47"/>
        <v>0</v>
      </c>
      <c r="AB44" s="39">
        <f t="shared" si="47"/>
        <v>0</v>
      </c>
      <c r="AC44" s="39">
        <f t="shared" si="47"/>
        <v>0</v>
      </c>
      <c r="AD44" s="39">
        <f t="shared" si="47"/>
        <v>0</v>
      </c>
      <c r="AE44" s="39">
        <f t="shared" si="47"/>
        <v>0</v>
      </c>
      <c r="AF44" s="39">
        <f t="shared" si="47"/>
        <v>0</v>
      </c>
      <c r="AG44" s="39">
        <f t="shared" si="47"/>
        <v>0</v>
      </c>
      <c r="AH44" s="39">
        <f t="shared" si="47"/>
        <v>0</v>
      </c>
      <c r="AI44" s="39">
        <f t="shared" si="47"/>
        <v>0</v>
      </c>
      <c r="AJ44" s="39">
        <f t="shared" si="47"/>
        <v>0</v>
      </c>
      <c r="AK44" s="39">
        <f t="shared" si="47"/>
        <v>0</v>
      </c>
      <c r="AL44" s="39">
        <f t="shared" si="47"/>
        <v>0</v>
      </c>
      <c r="AM44" s="39">
        <f t="shared" si="47"/>
        <v>0</v>
      </c>
      <c r="AN44" s="39">
        <f t="shared" si="47"/>
        <v>0</v>
      </c>
      <c r="AO44" s="39">
        <f t="shared" si="47"/>
        <v>2.9025107859903616</v>
      </c>
      <c r="AP44" s="39">
        <f t="shared" si="47"/>
        <v>0</v>
      </c>
      <c r="AQ44" s="39">
        <f t="shared" si="47"/>
        <v>0</v>
      </c>
      <c r="AR44" s="39">
        <f t="shared" si="47"/>
        <v>0</v>
      </c>
      <c r="AS44" s="39">
        <f t="shared" si="47"/>
        <v>0</v>
      </c>
      <c r="AT44" s="39">
        <f t="shared" si="47"/>
        <v>0</v>
      </c>
      <c r="AU44" s="39">
        <f t="shared" si="47"/>
        <v>0</v>
      </c>
      <c r="AV44" s="39">
        <f t="shared" si="47"/>
        <v>0</v>
      </c>
      <c r="AW44" s="39">
        <f t="shared" si="47"/>
        <v>0</v>
      </c>
      <c r="AX44" s="39">
        <f t="shared" si="47"/>
        <v>0</v>
      </c>
      <c r="AY44" s="39">
        <f t="shared" si="47"/>
        <v>0</v>
      </c>
      <c r="AZ44" s="39">
        <f t="shared" si="47"/>
        <v>0</v>
      </c>
      <c r="BA44" s="39">
        <f t="shared" si="47"/>
        <v>0</v>
      </c>
      <c r="BB44" s="39">
        <f t="shared" si="47"/>
        <v>0</v>
      </c>
      <c r="BC44" s="39">
        <f t="shared" si="47"/>
        <v>0</v>
      </c>
      <c r="BD44" s="39">
        <f t="shared" si="47"/>
        <v>0</v>
      </c>
      <c r="BE44" s="39">
        <f t="shared" si="47"/>
        <v>0</v>
      </c>
      <c r="BF44" s="39">
        <f t="shared" si="47"/>
        <v>0</v>
      </c>
      <c r="BG44" s="39">
        <f t="shared" si="47"/>
        <v>0</v>
      </c>
      <c r="BH44" s="39">
        <f t="shared" si="47"/>
        <v>0</v>
      </c>
      <c r="BI44" s="39">
        <f t="shared" si="47"/>
        <v>0</v>
      </c>
      <c r="BJ44" s="39">
        <f t="shared" si="47"/>
        <v>0</v>
      </c>
      <c r="BK44" s="39">
        <f t="shared" si="47"/>
        <v>0</v>
      </c>
      <c r="BL44" s="39">
        <f t="shared" si="47"/>
        <v>0</v>
      </c>
      <c r="BM44" s="39">
        <f t="shared" si="47"/>
        <v>0</v>
      </c>
      <c r="BN44" s="39">
        <f t="shared" si="47"/>
        <v>0</v>
      </c>
      <c r="BO44" s="39">
        <f t="shared" ref="BO44:DZ44" si="48">(($B$31+1)*BO12)/(BO12+$B$31*((1-$B$32)+$B$32*($B44/$B$33)))*BO$27</f>
        <v>0</v>
      </c>
      <c r="BP44" s="39">
        <f t="shared" si="48"/>
        <v>0</v>
      </c>
      <c r="BQ44" s="39">
        <f t="shared" si="48"/>
        <v>0</v>
      </c>
      <c r="BR44" s="39">
        <f t="shared" si="48"/>
        <v>0</v>
      </c>
      <c r="BS44" s="39">
        <f t="shared" si="48"/>
        <v>0</v>
      </c>
      <c r="BT44" s="39">
        <f t="shared" si="48"/>
        <v>1.8709060553544912</v>
      </c>
      <c r="BU44" s="39">
        <f t="shared" si="48"/>
        <v>0</v>
      </c>
      <c r="BV44" s="39">
        <f t="shared" si="48"/>
        <v>0</v>
      </c>
      <c r="BW44" s="39">
        <f t="shared" si="48"/>
        <v>0</v>
      </c>
      <c r="BX44" s="39">
        <f t="shared" si="48"/>
        <v>0</v>
      </c>
      <c r="BY44" s="39">
        <f t="shared" si="48"/>
        <v>0</v>
      </c>
      <c r="BZ44" s="39">
        <f t="shared" si="48"/>
        <v>2.2516406675071221</v>
      </c>
      <c r="CA44" s="39">
        <f t="shared" si="48"/>
        <v>0</v>
      </c>
      <c r="CB44" s="39">
        <f t="shared" si="48"/>
        <v>0</v>
      </c>
      <c r="CC44" s="39">
        <f t="shared" si="48"/>
        <v>0</v>
      </c>
      <c r="CD44" s="39">
        <f t="shared" si="48"/>
        <v>0</v>
      </c>
      <c r="CE44" s="39">
        <f t="shared" si="48"/>
        <v>0</v>
      </c>
      <c r="CF44" s="39">
        <f t="shared" si="48"/>
        <v>0</v>
      </c>
      <c r="CG44" s="39">
        <f t="shared" si="48"/>
        <v>0</v>
      </c>
      <c r="CH44" s="39">
        <f t="shared" si="48"/>
        <v>0</v>
      </c>
      <c r="CI44" s="39">
        <f t="shared" si="48"/>
        <v>0</v>
      </c>
      <c r="CJ44" s="39">
        <f t="shared" si="48"/>
        <v>0</v>
      </c>
      <c r="CK44" s="39">
        <f t="shared" si="48"/>
        <v>0</v>
      </c>
      <c r="CL44" s="39">
        <f t="shared" si="48"/>
        <v>0</v>
      </c>
      <c r="CM44" s="39">
        <f t="shared" si="48"/>
        <v>1.8709060553544912</v>
      </c>
      <c r="CN44" s="39">
        <f t="shared" si="48"/>
        <v>1.8709060553544912</v>
      </c>
      <c r="CO44" s="39">
        <f t="shared" si="48"/>
        <v>0</v>
      </c>
      <c r="CP44" s="39">
        <f t="shared" si="48"/>
        <v>0</v>
      </c>
      <c r="CQ44" s="39">
        <f t="shared" si="48"/>
        <v>0</v>
      </c>
      <c r="CR44" s="39">
        <f t="shared" si="48"/>
        <v>0</v>
      </c>
      <c r="CS44" s="39">
        <f t="shared" si="48"/>
        <v>0</v>
      </c>
      <c r="CT44" s="39">
        <f t="shared" si="48"/>
        <v>2.9025107859903616</v>
      </c>
      <c r="CU44" s="39">
        <f t="shared" si="48"/>
        <v>0</v>
      </c>
      <c r="CV44" s="39">
        <f t="shared" si="48"/>
        <v>0</v>
      </c>
      <c r="CW44" s="39">
        <f t="shared" si="48"/>
        <v>0</v>
      </c>
      <c r="CX44" s="39">
        <f t="shared" si="48"/>
        <v>0</v>
      </c>
      <c r="CY44" s="39">
        <f t="shared" si="48"/>
        <v>0</v>
      </c>
      <c r="CZ44" s="39">
        <f t="shared" si="48"/>
        <v>0</v>
      </c>
      <c r="DA44" s="39">
        <f t="shared" si="48"/>
        <v>0</v>
      </c>
      <c r="DB44" s="39">
        <f t="shared" si="48"/>
        <v>0</v>
      </c>
      <c r="DC44" s="39">
        <f t="shared" si="48"/>
        <v>0</v>
      </c>
      <c r="DD44" s="39">
        <f t="shared" si="48"/>
        <v>0</v>
      </c>
      <c r="DE44" s="39">
        <f t="shared" si="48"/>
        <v>0</v>
      </c>
      <c r="DF44" s="39">
        <f t="shared" si="48"/>
        <v>0</v>
      </c>
      <c r="DG44" s="39">
        <f t="shared" si="48"/>
        <v>2.9025107859903616</v>
      </c>
      <c r="DH44" s="39">
        <f t="shared" si="48"/>
        <v>0</v>
      </c>
      <c r="DI44" s="39">
        <f t="shared" si="48"/>
        <v>0</v>
      </c>
      <c r="DJ44" s="39">
        <f t="shared" si="48"/>
        <v>0</v>
      </c>
      <c r="DK44" s="39">
        <f t="shared" si="48"/>
        <v>0</v>
      </c>
      <c r="DL44" s="39">
        <f t="shared" si="48"/>
        <v>0</v>
      </c>
      <c r="DM44" s="39">
        <f t="shared" si="48"/>
        <v>0</v>
      </c>
      <c r="DN44" s="39">
        <f t="shared" si="48"/>
        <v>0</v>
      </c>
      <c r="DO44" s="39">
        <f t="shared" si="48"/>
        <v>0</v>
      </c>
      <c r="DP44" s="39">
        <f t="shared" si="48"/>
        <v>0</v>
      </c>
      <c r="DQ44" s="39">
        <f t="shared" si="48"/>
        <v>0</v>
      </c>
      <c r="DR44" s="39">
        <f t="shared" si="48"/>
        <v>0</v>
      </c>
      <c r="DS44" s="39">
        <f t="shared" si="48"/>
        <v>0</v>
      </c>
      <c r="DT44" s="39">
        <f t="shared" si="48"/>
        <v>0</v>
      </c>
      <c r="DU44" s="39">
        <f t="shared" si="48"/>
        <v>0</v>
      </c>
      <c r="DV44" s="39">
        <f t="shared" si="48"/>
        <v>0</v>
      </c>
      <c r="DW44" s="39">
        <f t="shared" si="48"/>
        <v>0</v>
      </c>
      <c r="DX44" s="39">
        <f t="shared" si="48"/>
        <v>0</v>
      </c>
      <c r="DY44" s="39">
        <f t="shared" si="48"/>
        <v>0</v>
      </c>
      <c r="DZ44" s="39">
        <f t="shared" si="48"/>
        <v>0</v>
      </c>
      <c r="EA44" s="39">
        <f t="shared" ref="EA44:GL44" si="49">(($B$31+1)*EA12)/(EA12+$B$31*((1-$B$32)+$B$32*($B44/$B$33)))*EA$27</f>
        <v>0</v>
      </c>
      <c r="EB44" s="39">
        <f t="shared" si="49"/>
        <v>0</v>
      </c>
      <c r="EC44" s="39">
        <f t="shared" si="49"/>
        <v>0</v>
      </c>
      <c r="ED44" s="39">
        <f t="shared" si="49"/>
        <v>0</v>
      </c>
      <c r="EE44" s="39">
        <f t="shared" si="49"/>
        <v>0</v>
      </c>
      <c r="EF44" s="39">
        <f t="shared" si="49"/>
        <v>0</v>
      </c>
      <c r="EG44" s="39">
        <f t="shared" si="49"/>
        <v>0</v>
      </c>
      <c r="EH44" s="39">
        <f t="shared" si="49"/>
        <v>0</v>
      </c>
      <c r="EI44" s="39">
        <f t="shared" si="49"/>
        <v>0</v>
      </c>
      <c r="EJ44" s="39">
        <f t="shared" si="49"/>
        <v>2.9025107859903616</v>
      </c>
      <c r="EK44" s="39">
        <f t="shared" si="49"/>
        <v>0</v>
      </c>
      <c r="EL44" s="39">
        <f t="shared" si="49"/>
        <v>0</v>
      </c>
      <c r="EM44" s="39">
        <f t="shared" si="49"/>
        <v>0</v>
      </c>
      <c r="EN44" s="39">
        <f t="shared" si="49"/>
        <v>0</v>
      </c>
      <c r="EO44" s="39">
        <f t="shared" si="49"/>
        <v>0</v>
      </c>
      <c r="EP44" s="39">
        <f t="shared" si="49"/>
        <v>0</v>
      </c>
      <c r="EQ44" s="39">
        <f t="shared" si="49"/>
        <v>0</v>
      </c>
      <c r="ER44" s="39">
        <f t="shared" si="49"/>
        <v>0</v>
      </c>
      <c r="ES44" s="39">
        <f t="shared" si="49"/>
        <v>0</v>
      </c>
      <c r="ET44" s="39">
        <f t="shared" si="49"/>
        <v>0</v>
      </c>
      <c r="EU44" s="39">
        <f t="shared" si="49"/>
        <v>0</v>
      </c>
      <c r="EV44" s="39">
        <f t="shared" si="49"/>
        <v>0</v>
      </c>
      <c r="EW44" s="39">
        <f t="shared" si="49"/>
        <v>2.9025107859903616</v>
      </c>
      <c r="EX44" s="39">
        <f t="shared" si="49"/>
        <v>0</v>
      </c>
      <c r="EY44" s="39">
        <f t="shared" si="49"/>
        <v>0</v>
      </c>
      <c r="EZ44" s="39">
        <f t="shared" si="49"/>
        <v>0</v>
      </c>
      <c r="FA44" s="39">
        <f t="shared" si="49"/>
        <v>0</v>
      </c>
      <c r="FB44" s="39">
        <f t="shared" si="49"/>
        <v>0</v>
      </c>
      <c r="FC44" s="39">
        <f t="shared" si="49"/>
        <v>0</v>
      </c>
      <c r="FD44" s="39">
        <f t="shared" si="49"/>
        <v>0</v>
      </c>
      <c r="FE44" s="39">
        <f t="shared" si="49"/>
        <v>0.94990043054064344</v>
      </c>
      <c r="FF44" s="39">
        <f t="shared" si="49"/>
        <v>0</v>
      </c>
      <c r="FG44" s="39">
        <f t="shared" si="49"/>
        <v>0</v>
      </c>
      <c r="FH44" s="39">
        <f t="shared" si="49"/>
        <v>0</v>
      </c>
      <c r="FI44" s="39">
        <f t="shared" si="49"/>
        <v>0</v>
      </c>
      <c r="FJ44" s="39">
        <f t="shared" si="49"/>
        <v>0</v>
      </c>
      <c r="FK44" s="39">
        <f t="shared" si="49"/>
        <v>0</v>
      </c>
      <c r="FL44" s="39">
        <f t="shared" si="49"/>
        <v>0</v>
      </c>
      <c r="FM44" s="39">
        <f t="shared" si="49"/>
        <v>0</v>
      </c>
      <c r="FN44" s="39">
        <f t="shared" si="49"/>
        <v>0</v>
      </c>
      <c r="FO44" s="39">
        <f t="shared" si="49"/>
        <v>0</v>
      </c>
      <c r="FP44" s="39">
        <f t="shared" si="49"/>
        <v>0</v>
      </c>
      <c r="FQ44" s="39">
        <f t="shared" si="49"/>
        <v>0</v>
      </c>
      <c r="FR44" s="39">
        <f t="shared" si="49"/>
        <v>0</v>
      </c>
      <c r="FS44" s="39">
        <f t="shared" si="49"/>
        <v>0</v>
      </c>
      <c r="FT44" s="39">
        <f t="shared" si="49"/>
        <v>0</v>
      </c>
      <c r="FU44" s="39">
        <f t="shared" si="49"/>
        <v>0</v>
      </c>
      <c r="FV44" s="39">
        <f t="shared" si="49"/>
        <v>1.8709060553544912</v>
      </c>
      <c r="FW44" s="39">
        <f t="shared" si="49"/>
        <v>0</v>
      </c>
      <c r="FX44" s="39">
        <f t="shared" si="49"/>
        <v>0</v>
      </c>
      <c r="FY44" s="39">
        <f t="shared" si="49"/>
        <v>0</v>
      </c>
      <c r="FZ44" s="39">
        <f t="shared" si="49"/>
        <v>0</v>
      </c>
      <c r="GA44" s="39">
        <f t="shared" si="49"/>
        <v>0</v>
      </c>
      <c r="GB44" s="39">
        <f t="shared" si="49"/>
        <v>0</v>
      </c>
      <c r="GC44" s="39">
        <f t="shared" si="49"/>
        <v>0</v>
      </c>
      <c r="GD44" s="39">
        <f t="shared" si="49"/>
        <v>0</v>
      </c>
      <c r="GE44" s="39">
        <f t="shared" si="49"/>
        <v>0</v>
      </c>
      <c r="GF44" s="39">
        <f t="shared" si="49"/>
        <v>0</v>
      </c>
      <c r="GG44" s="39">
        <f t="shared" si="49"/>
        <v>2.9025107859903616</v>
      </c>
      <c r="GH44" s="39">
        <f t="shared" si="49"/>
        <v>0</v>
      </c>
      <c r="GI44" s="39">
        <f t="shared" si="49"/>
        <v>0</v>
      </c>
      <c r="GJ44" s="39">
        <f t="shared" si="49"/>
        <v>0</v>
      </c>
      <c r="GK44" s="39">
        <f t="shared" si="49"/>
        <v>0</v>
      </c>
      <c r="GL44" s="39">
        <f t="shared" si="49"/>
        <v>0</v>
      </c>
      <c r="GM44" s="39">
        <f t="shared" ref="GM44:IG44" si="50">(($B$31+1)*GM12)/(GM12+$B$31*((1-$B$32)+$B$32*($B44/$B$33)))*GM$27</f>
        <v>0</v>
      </c>
      <c r="GN44" s="39">
        <f t="shared" si="50"/>
        <v>0</v>
      </c>
      <c r="GO44" s="39">
        <f t="shared" si="50"/>
        <v>0</v>
      </c>
      <c r="GP44" s="39">
        <f t="shared" si="50"/>
        <v>2.9025107859903616</v>
      </c>
      <c r="GQ44" s="39">
        <f t="shared" si="50"/>
        <v>0</v>
      </c>
      <c r="GR44" s="39">
        <f t="shared" si="50"/>
        <v>0</v>
      </c>
      <c r="GS44" s="39">
        <f t="shared" si="50"/>
        <v>0</v>
      </c>
      <c r="GT44" s="39">
        <f t="shared" si="50"/>
        <v>0</v>
      </c>
      <c r="GU44" s="39">
        <f t="shared" si="50"/>
        <v>0</v>
      </c>
      <c r="GV44" s="39">
        <f t="shared" si="50"/>
        <v>0</v>
      </c>
      <c r="GW44" s="39">
        <f t="shared" si="50"/>
        <v>0</v>
      </c>
      <c r="GX44" s="39">
        <f t="shared" si="50"/>
        <v>0</v>
      </c>
      <c r="GY44" s="39">
        <f t="shared" si="50"/>
        <v>0</v>
      </c>
      <c r="GZ44" s="39">
        <f t="shared" si="50"/>
        <v>0</v>
      </c>
      <c r="HA44" s="39">
        <f t="shared" si="50"/>
        <v>0</v>
      </c>
      <c r="HB44" s="39">
        <f t="shared" si="50"/>
        <v>0</v>
      </c>
      <c r="HC44" s="39">
        <f t="shared" si="50"/>
        <v>0</v>
      </c>
      <c r="HD44" s="39">
        <f t="shared" si="50"/>
        <v>0</v>
      </c>
      <c r="HE44" s="39">
        <f t="shared" si="50"/>
        <v>0</v>
      </c>
      <c r="HF44" s="39">
        <f t="shared" si="50"/>
        <v>0</v>
      </c>
      <c r="HG44" s="39">
        <f t="shared" si="50"/>
        <v>0</v>
      </c>
      <c r="HH44" s="39">
        <f t="shared" si="50"/>
        <v>0</v>
      </c>
      <c r="HI44" s="39">
        <f t="shared" si="50"/>
        <v>0</v>
      </c>
      <c r="HJ44" s="39">
        <f t="shared" si="50"/>
        <v>0</v>
      </c>
      <c r="HK44" s="39">
        <f t="shared" si="50"/>
        <v>0</v>
      </c>
      <c r="HL44" s="39">
        <f t="shared" si="50"/>
        <v>0</v>
      </c>
      <c r="HM44" s="39">
        <f t="shared" si="50"/>
        <v>0</v>
      </c>
      <c r="HN44" s="39">
        <f t="shared" si="50"/>
        <v>0</v>
      </c>
      <c r="HO44" s="39">
        <f t="shared" si="50"/>
        <v>0</v>
      </c>
      <c r="HP44" s="39">
        <f t="shared" si="50"/>
        <v>0</v>
      </c>
      <c r="HQ44" s="39">
        <f t="shared" si="50"/>
        <v>0</v>
      </c>
      <c r="HR44" s="39">
        <f t="shared" si="50"/>
        <v>0</v>
      </c>
      <c r="HS44" s="39">
        <f t="shared" si="50"/>
        <v>0</v>
      </c>
      <c r="HT44" s="39">
        <f t="shared" si="50"/>
        <v>0</v>
      </c>
      <c r="HU44" s="39">
        <f t="shared" si="50"/>
        <v>0</v>
      </c>
      <c r="HV44" s="39">
        <f t="shared" si="50"/>
        <v>0</v>
      </c>
      <c r="HW44" s="39">
        <f t="shared" si="50"/>
        <v>0</v>
      </c>
      <c r="HX44" s="39">
        <f t="shared" si="50"/>
        <v>0</v>
      </c>
      <c r="HY44" s="39">
        <f t="shared" si="50"/>
        <v>0</v>
      </c>
      <c r="HZ44" s="39">
        <f t="shared" si="50"/>
        <v>0</v>
      </c>
      <c r="IA44" s="39">
        <f t="shared" si="50"/>
        <v>0</v>
      </c>
      <c r="IB44" s="39">
        <f t="shared" si="50"/>
        <v>0</v>
      </c>
      <c r="IC44" s="39">
        <f t="shared" si="50"/>
        <v>0</v>
      </c>
      <c r="ID44" s="39">
        <f t="shared" si="50"/>
        <v>2.9025107859903616</v>
      </c>
      <c r="IE44" s="39">
        <f t="shared" si="50"/>
        <v>0</v>
      </c>
      <c r="IF44" s="39">
        <f t="shared" si="50"/>
        <v>0</v>
      </c>
      <c r="IG44" s="39">
        <f t="shared" si="50"/>
        <v>0</v>
      </c>
      <c r="IH44" s="43">
        <v>0.27124542470736412</v>
      </c>
      <c r="II44" s="43">
        <v>0.26620235220521665</v>
      </c>
    </row>
    <row r="45" spans="1:243" x14ac:dyDescent="0.3">
      <c r="A45" s="34" t="s">
        <v>46</v>
      </c>
      <c r="B45" s="38">
        <f t="shared" si="14"/>
        <v>14</v>
      </c>
      <c r="C45" s="39">
        <f t="shared" ref="C45:BN45" si="51">(($B$31+1)*C13)/(C13+$B$31*((1-$B$32)+$B$32*($B45/$B$33)))*C$27</f>
        <v>0</v>
      </c>
      <c r="D45" s="39">
        <f t="shared" si="51"/>
        <v>0</v>
      </c>
      <c r="E45" s="39">
        <f t="shared" si="51"/>
        <v>0</v>
      </c>
      <c r="F45" s="39">
        <f t="shared" si="51"/>
        <v>0</v>
      </c>
      <c r="G45" s="39">
        <f t="shared" si="51"/>
        <v>0</v>
      </c>
      <c r="H45" s="39">
        <f t="shared" si="51"/>
        <v>0</v>
      </c>
      <c r="I45" s="39">
        <f t="shared" si="51"/>
        <v>0</v>
      </c>
      <c r="J45" s="39">
        <f t="shared" si="51"/>
        <v>0</v>
      </c>
      <c r="K45" s="39">
        <f t="shared" si="51"/>
        <v>0</v>
      </c>
      <c r="L45" s="39">
        <f t="shared" si="51"/>
        <v>0</v>
      </c>
      <c r="M45" s="39">
        <f t="shared" si="51"/>
        <v>0</v>
      </c>
      <c r="N45" s="39">
        <f t="shared" si="51"/>
        <v>0</v>
      </c>
      <c r="O45" s="39">
        <f t="shared" si="51"/>
        <v>0</v>
      </c>
      <c r="P45" s="39">
        <f t="shared" si="51"/>
        <v>0</v>
      </c>
      <c r="Q45" s="39">
        <f t="shared" si="51"/>
        <v>3.2023006324306809</v>
      </c>
      <c r="R45" s="39">
        <f t="shared" si="51"/>
        <v>0</v>
      </c>
      <c r="S45" s="39">
        <f t="shared" si="51"/>
        <v>3.2023006324306809</v>
      </c>
      <c r="T45" s="39">
        <f t="shared" si="51"/>
        <v>0</v>
      </c>
      <c r="U45" s="39">
        <f t="shared" si="51"/>
        <v>0</v>
      </c>
      <c r="V45" s="39">
        <f t="shared" si="51"/>
        <v>0</v>
      </c>
      <c r="W45" s="39">
        <f t="shared" si="51"/>
        <v>0</v>
      </c>
      <c r="X45" s="39">
        <f t="shared" si="51"/>
        <v>0</v>
      </c>
      <c r="Y45" s="39">
        <f t="shared" si="51"/>
        <v>0</v>
      </c>
      <c r="Z45" s="39">
        <f t="shared" si="51"/>
        <v>0</v>
      </c>
      <c r="AA45" s="39">
        <f t="shared" si="51"/>
        <v>3.2023006324306809</v>
      </c>
      <c r="AB45" s="39">
        <f t="shared" si="51"/>
        <v>0</v>
      </c>
      <c r="AC45" s="39">
        <f t="shared" si="51"/>
        <v>0</v>
      </c>
      <c r="AD45" s="39">
        <f t="shared" si="51"/>
        <v>0</v>
      </c>
      <c r="AE45" s="39">
        <f t="shared" si="51"/>
        <v>0</v>
      </c>
      <c r="AF45" s="39">
        <f t="shared" si="51"/>
        <v>0</v>
      </c>
      <c r="AG45" s="39">
        <f t="shared" si="51"/>
        <v>0</v>
      </c>
      <c r="AH45" s="39">
        <f t="shared" si="51"/>
        <v>0</v>
      </c>
      <c r="AI45" s="39">
        <f t="shared" si="51"/>
        <v>0</v>
      </c>
      <c r="AJ45" s="39">
        <f t="shared" si="51"/>
        <v>0</v>
      </c>
      <c r="AK45" s="39">
        <f t="shared" si="51"/>
        <v>0</v>
      </c>
      <c r="AL45" s="39">
        <f t="shared" si="51"/>
        <v>0</v>
      </c>
      <c r="AM45" s="39">
        <f t="shared" si="51"/>
        <v>0</v>
      </c>
      <c r="AN45" s="39">
        <f t="shared" si="51"/>
        <v>0</v>
      </c>
      <c r="AO45" s="39">
        <f t="shared" si="51"/>
        <v>0</v>
      </c>
      <c r="AP45" s="39">
        <f t="shared" si="51"/>
        <v>0</v>
      </c>
      <c r="AQ45" s="39">
        <f t="shared" si="51"/>
        <v>0</v>
      </c>
      <c r="AR45" s="39">
        <f t="shared" si="51"/>
        <v>0</v>
      </c>
      <c r="AS45" s="39">
        <f t="shared" si="51"/>
        <v>0</v>
      </c>
      <c r="AT45" s="39">
        <f t="shared" si="51"/>
        <v>0</v>
      </c>
      <c r="AU45" s="39">
        <f t="shared" si="51"/>
        <v>0</v>
      </c>
      <c r="AV45" s="39">
        <f t="shared" si="51"/>
        <v>0</v>
      </c>
      <c r="AW45" s="39">
        <f t="shared" si="51"/>
        <v>0</v>
      </c>
      <c r="AX45" s="39">
        <f t="shared" si="51"/>
        <v>0</v>
      </c>
      <c r="AY45" s="39">
        <f t="shared" si="51"/>
        <v>0</v>
      </c>
      <c r="AZ45" s="39">
        <f t="shared" si="51"/>
        <v>0</v>
      </c>
      <c r="BA45" s="39">
        <f t="shared" si="51"/>
        <v>0</v>
      </c>
      <c r="BB45" s="39">
        <f t="shared" si="51"/>
        <v>3.2023006324306809</v>
      </c>
      <c r="BC45" s="39">
        <f t="shared" si="51"/>
        <v>0</v>
      </c>
      <c r="BD45" s="39">
        <f t="shared" si="51"/>
        <v>0</v>
      </c>
      <c r="BE45" s="39">
        <f t="shared" si="51"/>
        <v>0</v>
      </c>
      <c r="BF45" s="39">
        <f t="shared" si="51"/>
        <v>0</v>
      </c>
      <c r="BG45" s="39">
        <f t="shared" si="51"/>
        <v>0</v>
      </c>
      <c r="BH45" s="39">
        <f t="shared" si="51"/>
        <v>0</v>
      </c>
      <c r="BI45" s="39">
        <f t="shared" si="51"/>
        <v>0</v>
      </c>
      <c r="BJ45" s="39">
        <f t="shared" si="51"/>
        <v>0</v>
      </c>
      <c r="BK45" s="39">
        <f t="shared" si="51"/>
        <v>0</v>
      </c>
      <c r="BL45" s="39">
        <f t="shared" si="51"/>
        <v>0</v>
      </c>
      <c r="BM45" s="39">
        <f t="shared" si="51"/>
        <v>0</v>
      </c>
      <c r="BN45" s="39">
        <f t="shared" si="51"/>
        <v>0</v>
      </c>
      <c r="BO45" s="39">
        <f t="shared" ref="BO45:DZ45" si="52">(($B$31+1)*BO13)/(BO13+$B$31*((1-$B$32)+$B$32*($B45/$B$33)))*BO$27</f>
        <v>0</v>
      </c>
      <c r="BP45" s="39">
        <f t="shared" si="52"/>
        <v>0</v>
      </c>
      <c r="BQ45" s="39">
        <f t="shared" si="52"/>
        <v>0</v>
      </c>
      <c r="BR45" s="39">
        <f t="shared" si="52"/>
        <v>0</v>
      </c>
      <c r="BS45" s="39">
        <f t="shared" si="52"/>
        <v>0</v>
      </c>
      <c r="BT45" s="39">
        <f t="shared" si="52"/>
        <v>0</v>
      </c>
      <c r="BU45" s="39">
        <f t="shared" si="52"/>
        <v>0</v>
      </c>
      <c r="BV45" s="39">
        <f t="shared" si="52"/>
        <v>0</v>
      </c>
      <c r="BW45" s="39">
        <f t="shared" si="52"/>
        <v>0</v>
      </c>
      <c r="BX45" s="39">
        <f t="shared" si="52"/>
        <v>0</v>
      </c>
      <c r="BY45" s="39">
        <f t="shared" si="52"/>
        <v>0</v>
      </c>
      <c r="BZ45" s="39">
        <f t="shared" si="52"/>
        <v>0</v>
      </c>
      <c r="CA45" s="39">
        <f t="shared" si="52"/>
        <v>0</v>
      </c>
      <c r="CB45" s="39">
        <f t="shared" si="52"/>
        <v>0</v>
      </c>
      <c r="CC45" s="39">
        <f t="shared" si="52"/>
        <v>0</v>
      </c>
      <c r="CD45" s="39">
        <f t="shared" si="52"/>
        <v>0</v>
      </c>
      <c r="CE45" s="39">
        <f t="shared" si="52"/>
        <v>0</v>
      </c>
      <c r="CF45" s="39">
        <f t="shared" si="52"/>
        <v>0</v>
      </c>
      <c r="CG45" s="39">
        <f t="shared" si="52"/>
        <v>0</v>
      </c>
      <c r="CH45" s="39">
        <f t="shared" si="52"/>
        <v>0</v>
      </c>
      <c r="CI45" s="39">
        <f t="shared" si="52"/>
        <v>0</v>
      </c>
      <c r="CJ45" s="39">
        <f t="shared" si="52"/>
        <v>0</v>
      </c>
      <c r="CK45" s="39">
        <f t="shared" si="52"/>
        <v>0</v>
      </c>
      <c r="CL45" s="39">
        <f t="shared" si="52"/>
        <v>0</v>
      </c>
      <c r="CM45" s="39">
        <f t="shared" si="52"/>
        <v>0</v>
      </c>
      <c r="CN45" s="39">
        <f t="shared" si="52"/>
        <v>2.0641451784427485</v>
      </c>
      <c r="CO45" s="39">
        <f t="shared" si="52"/>
        <v>0</v>
      </c>
      <c r="CP45" s="39">
        <f t="shared" si="52"/>
        <v>0</v>
      </c>
      <c r="CQ45" s="39">
        <f t="shared" si="52"/>
        <v>0</v>
      </c>
      <c r="CR45" s="39">
        <f t="shared" si="52"/>
        <v>0</v>
      </c>
      <c r="CS45" s="39">
        <f t="shared" si="52"/>
        <v>0</v>
      </c>
      <c r="CT45" s="39">
        <f t="shared" si="52"/>
        <v>0</v>
      </c>
      <c r="CU45" s="39">
        <f t="shared" si="52"/>
        <v>0</v>
      </c>
      <c r="CV45" s="39">
        <f t="shared" si="52"/>
        <v>0</v>
      </c>
      <c r="CW45" s="39">
        <f t="shared" si="52"/>
        <v>2.4842044923200644</v>
      </c>
      <c r="CX45" s="39">
        <f t="shared" si="52"/>
        <v>0</v>
      </c>
      <c r="CY45" s="39">
        <f t="shared" si="52"/>
        <v>0</v>
      </c>
      <c r="CZ45" s="39">
        <f t="shared" si="52"/>
        <v>0</v>
      </c>
      <c r="DA45" s="39">
        <f t="shared" si="52"/>
        <v>0</v>
      </c>
      <c r="DB45" s="39">
        <f t="shared" si="52"/>
        <v>0</v>
      </c>
      <c r="DC45" s="39">
        <f t="shared" si="52"/>
        <v>0</v>
      </c>
      <c r="DD45" s="39">
        <f t="shared" si="52"/>
        <v>0</v>
      </c>
      <c r="DE45" s="39">
        <f t="shared" si="52"/>
        <v>0</v>
      </c>
      <c r="DF45" s="39">
        <f t="shared" si="52"/>
        <v>0</v>
      </c>
      <c r="DG45" s="39">
        <f t="shared" si="52"/>
        <v>0</v>
      </c>
      <c r="DH45" s="39">
        <f t="shared" si="52"/>
        <v>0</v>
      </c>
      <c r="DI45" s="39">
        <f t="shared" si="52"/>
        <v>0</v>
      </c>
      <c r="DJ45" s="39">
        <f t="shared" si="52"/>
        <v>0</v>
      </c>
      <c r="DK45" s="39">
        <f t="shared" si="52"/>
        <v>0</v>
      </c>
      <c r="DL45" s="39">
        <f t="shared" si="52"/>
        <v>0</v>
      </c>
      <c r="DM45" s="39">
        <f t="shared" si="52"/>
        <v>0</v>
      </c>
      <c r="DN45" s="39">
        <f t="shared" si="52"/>
        <v>0</v>
      </c>
      <c r="DO45" s="39">
        <f t="shared" si="52"/>
        <v>0</v>
      </c>
      <c r="DP45" s="39">
        <f t="shared" si="52"/>
        <v>0</v>
      </c>
      <c r="DQ45" s="39">
        <f t="shared" si="52"/>
        <v>0</v>
      </c>
      <c r="DR45" s="39">
        <f t="shared" si="52"/>
        <v>0</v>
      </c>
      <c r="DS45" s="39">
        <f t="shared" si="52"/>
        <v>0</v>
      </c>
      <c r="DT45" s="39">
        <f t="shared" si="52"/>
        <v>0</v>
      </c>
      <c r="DU45" s="39">
        <f t="shared" si="52"/>
        <v>0</v>
      </c>
      <c r="DV45" s="39">
        <f t="shared" si="52"/>
        <v>0</v>
      </c>
      <c r="DW45" s="39">
        <f t="shared" si="52"/>
        <v>0</v>
      </c>
      <c r="DX45" s="39">
        <f t="shared" si="52"/>
        <v>0</v>
      </c>
      <c r="DY45" s="39">
        <f t="shared" si="52"/>
        <v>0</v>
      </c>
      <c r="DZ45" s="39">
        <f t="shared" si="52"/>
        <v>0</v>
      </c>
      <c r="EA45" s="39">
        <f t="shared" ref="EA45:GL45" si="53">(($B$31+1)*EA13)/(EA13+$B$31*((1-$B$32)+$B$32*($B45/$B$33)))*EA$27</f>
        <v>0</v>
      </c>
      <c r="EB45" s="39">
        <f t="shared" si="53"/>
        <v>0</v>
      </c>
      <c r="EC45" s="39">
        <f t="shared" si="53"/>
        <v>0</v>
      </c>
      <c r="ED45" s="39">
        <f t="shared" si="53"/>
        <v>0</v>
      </c>
      <c r="EE45" s="39">
        <f t="shared" si="53"/>
        <v>0</v>
      </c>
      <c r="EF45" s="39">
        <f t="shared" si="53"/>
        <v>0</v>
      </c>
      <c r="EG45" s="39">
        <f t="shared" si="53"/>
        <v>0</v>
      </c>
      <c r="EH45" s="39">
        <f t="shared" si="53"/>
        <v>0</v>
      </c>
      <c r="EI45" s="39">
        <f t="shared" si="53"/>
        <v>0</v>
      </c>
      <c r="EJ45" s="39">
        <f t="shared" si="53"/>
        <v>0</v>
      </c>
      <c r="EK45" s="39">
        <f t="shared" si="53"/>
        <v>0</v>
      </c>
      <c r="EL45" s="39">
        <f t="shared" si="53"/>
        <v>0</v>
      </c>
      <c r="EM45" s="39">
        <f t="shared" si="53"/>
        <v>0</v>
      </c>
      <c r="EN45" s="39">
        <f t="shared" si="53"/>
        <v>0</v>
      </c>
      <c r="EO45" s="39">
        <f t="shared" si="53"/>
        <v>0</v>
      </c>
      <c r="EP45" s="39">
        <f t="shared" si="53"/>
        <v>0</v>
      </c>
      <c r="EQ45" s="39">
        <f t="shared" si="53"/>
        <v>0</v>
      </c>
      <c r="ER45" s="39">
        <f t="shared" si="53"/>
        <v>0</v>
      </c>
      <c r="ES45" s="39">
        <f t="shared" si="53"/>
        <v>0</v>
      </c>
      <c r="ET45" s="39">
        <f t="shared" si="53"/>
        <v>0</v>
      </c>
      <c r="EU45" s="39">
        <f t="shared" si="53"/>
        <v>0</v>
      </c>
      <c r="EV45" s="39">
        <f t="shared" si="53"/>
        <v>3.2023006324306809</v>
      </c>
      <c r="EW45" s="39">
        <f t="shared" si="53"/>
        <v>0</v>
      </c>
      <c r="EX45" s="39">
        <f t="shared" si="53"/>
        <v>0</v>
      </c>
      <c r="EY45" s="39">
        <f t="shared" si="53"/>
        <v>0</v>
      </c>
      <c r="EZ45" s="39">
        <f t="shared" si="53"/>
        <v>1.7661083522094481</v>
      </c>
      <c r="FA45" s="39">
        <f t="shared" si="53"/>
        <v>0</v>
      </c>
      <c r="FB45" s="39">
        <f t="shared" si="53"/>
        <v>0</v>
      </c>
      <c r="FC45" s="39">
        <f t="shared" si="53"/>
        <v>0</v>
      </c>
      <c r="FD45" s="39">
        <f t="shared" si="53"/>
        <v>0</v>
      </c>
      <c r="FE45" s="39">
        <f t="shared" si="53"/>
        <v>0</v>
      </c>
      <c r="FF45" s="39">
        <f t="shared" si="53"/>
        <v>0</v>
      </c>
      <c r="FG45" s="39">
        <f t="shared" si="53"/>
        <v>0</v>
      </c>
      <c r="FH45" s="39">
        <f t="shared" si="53"/>
        <v>0</v>
      </c>
      <c r="FI45" s="39">
        <f t="shared" si="53"/>
        <v>0</v>
      </c>
      <c r="FJ45" s="39">
        <f t="shared" si="53"/>
        <v>0</v>
      </c>
      <c r="FK45" s="39">
        <f t="shared" si="53"/>
        <v>0</v>
      </c>
      <c r="FL45" s="39">
        <f t="shared" si="53"/>
        <v>0</v>
      </c>
      <c r="FM45" s="39">
        <f t="shared" si="53"/>
        <v>0</v>
      </c>
      <c r="FN45" s="39">
        <f t="shared" si="53"/>
        <v>0</v>
      </c>
      <c r="FO45" s="39">
        <f t="shared" si="53"/>
        <v>0</v>
      </c>
      <c r="FP45" s="39">
        <f t="shared" si="53"/>
        <v>0</v>
      </c>
      <c r="FQ45" s="39">
        <f t="shared" si="53"/>
        <v>0</v>
      </c>
      <c r="FR45" s="39">
        <f t="shared" si="53"/>
        <v>0</v>
      </c>
      <c r="FS45" s="39">
        <f t="shared" si="53"/>
        <v>0</v>
      </c>
      <c r="FT45" s="39">
        <f t="shared" si="53"/>
        <v>3.2023006324306809</v>
      </c>
      <c r="FU45" s="39">
        <f t="shared" si="53"/>
        <v>0</v>
      </c>
      <c r="FV45" s="39">
        <f t="shared" si="53"/>
        <v>0</v>
      </c>
      <c r="FW45" s="39">
        <f t="shared" si="53"/>
        <v>0</v>
      </c>
      <c r="FX45" s="39">
        <f t="shared" si="53"/>
        <v>0</v>
      </c>
      <c r="FY45" s="39">
        <f t="shared" si="53"/>
        <v>0</v>
      </c>
      <c r="FZ45" s="39">
        <f t="shared" si="53"/>
        <v>0</v>
      </c>
      <c r="GA45" s="39">
        <f t="shared" si="53"/>
        <v>0</v>
      </c>
      <c r="GB45" s="39">
        <f t="shared" si="53"/>
        <v>0</v>
      </c>
      <c r="GC45" s="39">
        <f t="shared" si="53"/>
        <v>0</v>
      </c>
      <c r="GD45" s="39">
        <f t="shared" si="53"/>
        <v>0</v>
      </c>
      <c r="GE45" s="39">
        <f t="shared" si="53"/>
        <v>0</v>
      </c>
      <c r="GF45" s="39">
        <f t="shared" si="53"/>
        <v>0</v>
      </c>
      <c r="GG45" s="39">
        <f t="shared" si="53"/>
        <v>0</v>
      </c>
      <c r="GH45" s="39">
        <f t="shared" si="53"/>
        <v>0</v>
      </c>
      <c r="GI45" s="39">
        <f t="shared" si="53"/>
        <v>0</v>
      </c>
      <c r="GJ45" s="39">
        <f t="shared" si="53"/>
        <v>0</v>
      </c>
      <c r="GK45" s="39">
        <f t="shared" si="53"/>
        <v>0</v>
      </c>
      <c r="GL45" s="39">
        <f t="shared" si="53"/>
        <v>0</v>
      </c>
      <c r="GM45" s="39">
        <f t="shared" ref="GM45:IG45" si="54">(($B$31+1)*GM13)/(GM13+$B$31*((1-$B$32)+$B$32*($B45/$B$33)))*GM$27</f>
        <v>0</v>
      </c>
      <c r="GN45" s="39">
        <f t="shared" si="54"/>
        <v>0</v>
      </c>
      <c r="GO45" s="39">
        <f t="shared" si="54"/>
        <v>0</v>
      </c>
      <c r="GP45" s="39">
        <f t="shared" si="54"/>
        <v>0</v>
      </c>
      <c r="GQ45" s="39">
        <f t="shared" si="54"/>
        <v>0</v>
      </c>
      <c r="GR45" s="39">
        <f t="shared" si="54"/>
        <v>0</v>
      </c>
      <c r="GS45" s="39">
        <f t="shared" si="54"/>
        <v>0</v>
      </c>
      <c r="GT45" s="39">
        <f t="shared" si="54"/>
        <v>0</v>
      </c>
      <c r="GU45" s="39">
        <f t="shared" si="54"/>
        <v>0</v>
      </c>
      <c r="GV45" s="39">
        <f t="shared" si="54"/>
        <v>0</v>
      </c>
      <c r="GW45" s="39">
        <f t="shared" si="54"/>
        <v>3.2023006324306809</v>
      </c>
      <c r="GX45" s="39">
        <f t="shared" si="54"/>
        <v>0</v>
      </c>
      <c r="GY45" s="39">
        <f t="shared" si="54"/>
        <v>0</v>
      </c>
      <c r="GZ45" s="39">
        <f t="shared" si="54"/>
        <v>0</v>
      </c>
      <c r="HA45" s="39">
        <f t="shared" si="54"/>
        <v>0</v>
      </c>
      <c r="HB45" s="39">
        <f t="shared" si="54"/>
        <v>0</v>
      </c>
      <c r="HC45" s="39">
        <f t="shared" si="54"/>
        <v>0</v>
      </c>
      <c r="HD45" s="39">
        <f t="shared" si="54"/>
        <v>0</v>
      </c>
      <c r="HE45" s="39">
        <f t="shared" si="54"/>
        <v>0</v>
      </c>
      <c r="HF45" s="39">
        <f t="shared" si="54"/>
        <v>0</v>
      </c>
      <c r="HG45" s="39">
        <f t="shared" si="54"/>
        <v>0</v>
      </c>
      <c r="HH45" s="39">
        <f t="shared" si="54"/>
        <v>0</v>
      </c>
      <c r="HI45" s="39">
        <f t="shared" si="54"/>
        <v>0</v>
      </c>
      <c r="HJ45" s="39">
        <f t="shared" si="54"/>
        <v>0</v>
      </c>
      <c r="HK45" s="39">
        <f t="shared" si="54"/>
        <v>3.2023006324306809</v>
      </c>
      <c r="HL45" s="39">
        <f t="shared" si="54"/>
        <v>0</v>
      </c>
      <c r="HM45" s="39">
        <f t="shared" si="54"/>
        <v>0</v>
      </c>
      <c r="HN45" s="39">
        <f t="shared" si="54"/>
        <v>0</v>
      </c>
      <c r="HO45" s="39">
        <f t="shared" si="54"/>
        <v>3.2023006324306809</v>
      </c>
      <c r="HP45" s="39">
        <f t="shared" si="54"/>
        <v>0</v>
      </c>
      <c r="HQ45" s="39">
        <f t="shared" si="54"/>
        <v>0</v>
      </c>
      <c r="HR45" s="39">
        <f t="shared" si="54"/>
        <v>0</v>
      </c>
      <c r="HS45" s="39">
        <f t="shared" si="54"/>
        <v>3.2023006324306809</v>
      </c>
      <c r="HT45" s="39">
        <f t="shared" si="54"/>
        <v>3.2023006324306809</v>
      </c>
      <c r="HU45" s="39">
        <f t="shared" si="54"/>
        <v>0</v>
      </c>
      <c r="HV45" s="39">
        <f t="shared" si="54"/>
        <v>0</v>
      </c>
      <c r="HW45" s="39">
        <f t="shared" si="54"/>
        <v>0</v>
      </c>
      <c r="HX45" s="39">
        <f t="shared" si="54"/>
        <v>0</v>
      </c>
      <c r="HY45" s="39">
        <f t="shared" si="54"/>
        <v>0</v>
      </c>
      <c r="HZ45" s="39">
        <f t="shared" si="54"/>
        <v>0</v>
      </c>
      <c r="IA45" s="39">
        <f t="shared" si="54"/>
        <v>0</v>
      </c>
      <c r="IB45" s="39">
        <f t="shared" si="54"/>
        <v>0</v>
      </c>
      <c r="IC45" s="39">
        <f t="shared" si="54"/>
        <v>0</v>
      </c>
      <c r="ID45" s="39">
        <f t="shared" si="54"/>
        <v>0</v>
      </c>
      <c r="IE45" s="39">
        <f t="shared" si="54"/>
        <v>0</v>
      </c>
      <c r="IF45" s="39">
        <f t="shared" si="54"/>
        <v>0</v>
      </c>
      <c r="IG45" s="39">
        <f t="shared" si="54"/>
        <v>0</v>
      </c>
      <c r="IH45" s="43">
        <v>0.22705786383219742</v>
      </c>
      <c r="II45" s="43">
        <v>0.23652828726330835</v>
      </c>
    </row>
    <row r="46" spans="1:243" x14ac:dyDescent="0.3">
      <c r="A46" s="34" t="s">
        <v>47</v>
      </c>
      <c r="B46" s="38">
        <f t="shared" si="14"/>
        <v>17</v>
      </c>
      <c r="C46" s="39">
        <f t="shared" ref="C46:BN46" si="55">(($B$31+1)*C14)/(C14+$B$31*((1-$B$32)+$B$32*($B46/$B$33)))*C$27</f>
        <v>0</v>
      </c>
      <c r="D46" s="39">
        <f t="shared" si="55"/>
        <v>0</v>
      </c>
      <c r="E46" s="39">
        <f t="shared" si="55"/>
        <v>0</v>
      </c>
      <c r="F46" s="39">
        <f t="shared" si="55"/>
        <v>0</v>
      </c>
      <c r="G46" s="39">
        <f t="shared" si="55"/>
        <v>0</v>
      </c>
      <c r="H46" s="39">
        <f t="shared" si="55"/>
        <v>0</v>
      </c>
      <c r="I46" s="39">
        <f t="shared" si="55"/>
        <v>0</v>
      </c>
      <c r="J46" s="39">
        <f t="shared" si="55"/>
        <v>0</v>
      </c>
      <c r="K46" s="39">
        <f t="shared" si="55"/>
        <v>0</v>
      </c>
      <c r="L46" s="39">
        <f t="shared" si="55"/>
        <v>0</v>
      </c>
      <c r="M46" s="39">
        <f t="shared" si="55"/>
        <v>0</v>
      </c>
      <c r="N46" s="39">
        <f t="shared" si="55"/>
        <v>0</v>
      </c>
      <c r="O46" s="39">
        <f t="shared" si="55"/>
        <v>0</v>
      </c>
      <c r="P46" s="39">
        <f t="shared" si="55"/>
        <v>0</v>
      </c>
      <c r="Q46" s="39">
        <f t="shared" si="55"/>
        <v>0</v>
      </c>
      <c r="R46" s="39">
        <f t="shared" si="55"/>
        <v>0</v>
      </c>
      <c r="S46" s="39">
        <f t="shared" si="55"/>
        <v>0</v>
      </c>
      <c r="T46" s="39">
        <f t="shared" si="55"/>
        <v>0</v>
      </c>
      <c r="U46" s="39">
        <f t="shared" si="55"/>
        <v>0</v>
      </c>
      <c r="V46" s="39">
        <f t="shared" si="55"/>
        <v>0</v>
      </c>
      <c r="W46" s="39">
        <f t="shared" si="55"/>
        <v>0</v>
      </c>
      <c r="X46" s="39">
        <f t="shared" si="55"/>
        <v>2.9025107859903616</v>
      </c>
      <c r="Y46" s="39">
        <f t="shared" si="55"/>
        <v>0</v>
      </c>
      <c r="Z46" s="39">
        <f t="shared" si="55"/>
        <v>0</v>
      </c>
      <c r="AA46" s="39">
        <f t="shared" si="55"/>
        <v>0</v>
      </c>
      <c r="AB46" s="39">
        <f t="shared" si="55"/>
        <v>0</v>
      </c>
      <c r="AC46" s="39">
        <f t="shared" si="55"/>
        <v>0</v>
      </c>
      <c r="AD46" s="39">
        <f t="shared" si="55"/>
        <v>0</v>
      </c>
      <c r="AE46" s="39">
        <f t="shared" si="55"/>
        <v>0</v>
      </c>
      <c r="AF46" s="39">
        <f t="shared" si="55"/>
        <v>0</v>
      </c>
      <c r="AG46" s="39">
        <f t="shared" si="55"/>
        <v>0</v>
      </c>
      <c r="AH46" s="39">
        <f t="shared" si="55"/>
        <v>0</v>
      </c>
      <c r="AI46" s="39">
        <f t="shared" si="55"/>
        <v>0</v>
      </c>
      <c r="AJ46" s="39">
        <f t="shared" si="55"/>
        <v>0</v>
      </c>
      <c r="AK46" s="39">
        <f t="shared" si="55"/>
        <v>0</v>
      </c>
      <c r="AL46" s="39">
        <f t="shared" si="55"/>
        <v>0</v>
      </c>
      <c r="AM46" s="39">
        <f t="shared" si="55"/>
        <v>0</v>
      </c>
      <c r="AN46" s="39">
        <f t="shared" si="55"/>
        <v>0</v>
      </c>
      <c r="AO46" s="39">
        <f t="shared" si="55"/>
        <v>0</v>
      </c>
      <c r="AP46" s="39">
        <f t="shared" si="55"/>
        <v>0</v>
      </c>
      <c r="AQ46" s="39">
        <f t="shared" si="55"/>
        <v>0</v>
      </c>
      <c r="AR46" s="39">
        <f t="shared" si="55"/>
        <v>0</v>
      </c>
      <c r="AS46" s="39">
        <f t="shared" si="55"/>
        <v>2.9025107859903616</v>
      </c>
      <c r="AT46" s="39">
        <f t="shared" si="55"/>
        <v>0</v>
      </c>
      <c r="AU46" s="39">
        <f t="shared" si="55"/>
        <v>0</v>
      </c>
      <c r="AV46" s="39">
        <f t="shared" si="55"/>
        <v>0</v>
      </c>
      <c r="AW46" s="39">
        <f t="shared" si="55"/>
        <v>0</v>
      </c>
      <c r="AX46" s="39">
        <f t="shared" si="55"/>
        <v>0</v>
      </c>
      <c r="AY46" s="39">
        <f t="shared" si="55"/>
        <v>0</v>
      </c>
      <c r="AZ46" s="39">
        <f t="shared" si="55"/>
        <v>0</v>
      </c>
      <c r="BA46" s="39">
        <f t="shared" si="55"/>
        <v>0</v>
      </c>
      <c r="BB46" s="39">
        <f t="shared" si="55"/>
        <v>0</v>
      </c>
      <c r="BC46" s="39">
        <f t="shared" si="55"/>
        <v>0</v>
      </c>
      <c r="BD46" s="39">
        <f t="shared" si="55"/>
        <v>0</v>
      </c>
      <c r="BE46" s="39">
        <f t="shared" si="55"/>
        <v>0</v>
      </c>
      <c r="BF46" s="39">
        <f t="shared" si="55"/>
        <v>0</v>
      </c>
      <c r="BG46" s="39">
        <f t="shared" si="55"/>
        <v>0</v>
      </c>
      <c r="BH46" s="39">
        <f t="shared" si="55"/>
        <v>0</v>
      </c>
      <c r="BI46" s="39">
        <f t="shared" si="55"/>
        <v>0</v>
      </c>
      <c r="BJ46" s="39">
        <f t="shared" si="55"/>
        <v>0</v>
      </c>
      <c r="BK46" s="39">
        <f t="shared" si="55"/>
        <v>0</v>
      </c>
      <c r="BL46" s="39">
        <f t="shared" si="55"/>
        <v>2.9025107859903616</v>
      </c>
      <c r="BM46" s="39">
        <f t="shared" si="55"/>
        <v>0</v>
      </c>
      <c r="BN46" s="39">
        <f t="shared" si="55"/>
        <v>0</v>
      </c>
      <c r="BO46" s="39">
        <f t="shared" ref="BO46:DZ46" si="56">(($B$31+1)*BO14)/(BO14+$B$31*((1-$B$32)+$B$32*($B46/$B$33)))*BO$27</f>
        <v>0</v>
      </c>
      <c r="BP46" s="39">
        <f t="shared" si="56"/>
        <v>0</v>
      </c>
      <c r="BQ46" s="39">
        <f t="shared" si="56"/>
        <v>0</v>
      </c>
      <c r="BR46" s="39">
        <f t="shared" si="56"/>
        <v>0</v>
      </c>
      <c r="BS46" s="39">
        <f t="shared" si="56"/>
        <v>0</v>
      </c>
      <c r="BT46" s="39">
        <f t="shared" si="56"/>
        <v>0</v>
      </c>
      <c r="BU46" s="39">
        <f t="shared" si="56"/>
        <v>0</v>
      </c>
      <c r="BV46" s="39">
        <f t="shared" si="56"/>
        <v>0</v>
      </c>
      <c r="BW46" s="39">
        <f t="shared" si="56"/>
        <v>0</v>
      </c>
      <c r="BX46" s="39">
        <f t="shared" si="56"/>
        <v>0</v>
      </c>
      <c r="BY46" s="39">
        <f t="shared" si="56"/>
        <v>0</v>
      </c>
      <c r="BZ46" s="39">
        <f t="shared" si="56"/>
        <v>0</v>
      </c>
      <c r="CA46" s="39">
        <f t="shared" si="56"/>
        <v>0</v>
      </c>
      <c r="CB46" s="39">
        <f t="shared" si="56"/>
        <v>0</v>
      </c>
      <c r="CC46" s="39">
        <f t="shared" si="56"/>
        <v>0</v>
      </c>
      <c r="CD46" s="39">
        <f t="shared" si="56"/>
        <v>0</v>
      </c>
      <c r="CE46" s="39">
        <f t="shared" si="56"/>
        <v>0</v>
      </c>
      <c r="CF46" s="39">
        <f t="shared" si="56"/>
        <v>0</v>
      </c>
      <c r="CG46" s="39">
        <f t="shared" si="56"/>
        <v>0</v>
      </c>
      <c r="CH46" s="39">
        <f t="shared" si="56"/>
        <v>0</v>
      </c>
      <c r="CI46" s="39">
        <f t="shared" si="56"/>
        <v>0</v>
      </c>
      <c r="CJ46" s="39">
        <f t="shared" si="56"/>
        <v>0</v>
      </c>
      <c r="CK46" s="39">
        <f t="shared" si="56"/>
        <v>0</v>
      </c>
      <c r="CL46" s="39">
        <f t="shared" si="56"/>
        <v>0</v>
      </c>
      <c r="CM46" s="39">
        <f t="shared" si="56"/>
        <v>0</v>
      </c>
      <c r="CN46" s="39">
        <f t="shared" si="56"/>
        <v>0</v>
      </c>
      <c r="CO46" s="39">
        <f t="shared" si="56"/>
        <v>0</v>
      </c>
      <c r="CP46" s="39">
        <f t="shared" si="56"/>
        <v>0</v>
      </c>
      <c r="CQ46" s="39">
        <f t="shared" si="56"/>
        <v>0</v>
      </c>
      <c r="CR46" s="39">
        <f t="shared" si="56"/>
        <v>0</v>
      </c>
      <c r="CS46" s="39">
        <f t="shared" si="56"/>
        <v>0</v>
      </c>
      <c r="CT46" s="39">
        <f t="shared" si="56"/>
        <v>0</v>
      </c>
      <c r="CU46" s="39">
        <f t="shared" si="56"/>
        <v>0</v>
      </c>
      <c r="CV46" s="39">
        <f t="shared" si="56"/>
        <v>0</v>
      </c>
      <c r="CW46" s="39">
        <f t="shared" si="56"/>
        <v>0</v>
      </c>
      <c r="CX46" s="39">
        <f t="shared" si="56"/>
        <v>2.9025107859903616</v>
      </c>
      <c r="CY46" s="39">
        <f t="shared" si="56"/>
        <v>0</v>
      </c>
      <c r="CZ46" s="39">
        <f t="shared" si="56"/>
        <v>0</v>
      </c>
      <c r="DA46" s="39">
        <f t="shared" si="56"/>
        <v>0</v>
      </c>
      <c r="DB46" s="39">
        <f t="shared" si="56"/>
        <v>0</v>
      </c>
      <c r="DC46" s="39">
        <f t="shared" si="56"/>
        <v>0</v>
      </c>
      <c r="DD46" s="39">
        <f t="shared" si="56"/>
        <v>0</v>
      </c>
      <c r="DE46" s="39">
        <f t="shared" si="56"/>
        <v>2.9025107859903616</v>
      </c>
      <c r="DF46" s="39">
        <f t="shared" si="56"/>
        <v>0</v>
      </c>
      <c r="DG46" s="39">
        <f t="shared" si="56"/>
        <v>0</v>
      </c>
      <c r="DH46" s="39">
        <f t="shared" si="56"/>
        <v>0</v>
      </c>
      <c r="DI46" s="39">
        <f t="shared" si="56"/>
        <v>0</v>
      </c>
      <c r="DJ46" s="39">
        <f t="shared" si="56"/>
        <v>2.9025107859903616</v>
      </c>
      <c r="DK46" s="39">
        <f t="shared" si="56"/>
        <v>0</v>
      </c>
      <c r="DL46" s="39">
        <f t="shared" si="56"/>
        <v>0</v>
      </c>
      <c r="DM46" s="39">
        <f t="shared" si="56"/>
        <v>0</v>
      </c>
      <c r="DN46" s="39">
        <f t="shared" si="56"/>
        <v>0</v>
      </c>
      <c r="DO46" s="39">
        <f t="shared" si="56"/>
        <v>0</v>
      </c>
      <c r="DP46" s="39">
        <f t="shared" si="56"/>
        <v>0</v>
      </c>
      <c r="DQ46" s="39">
        <f t="shared" si="56"/>
        <v>1.8709060553544912</v>
      </c>
      <c r="DR46" s="39">
        <f t="shared" si="56"/>
        <v>0</v>
      </c>
      <c r="DS46" s="39">
        <f t="shared" si="56"/>
        <v>0</v>
      </c>
      <c r="DT46" s="39">
        <f t="shared" si="56"/>
        <v>0</v>
      </c>
      <c r="DU46" s="39">
        <f t="shared" si="56"/>
        <v>0</v>
      </c>
      <c r="DV46" s="39">
        <f t="shared" si="56"/>
        <v>0</v>
      </c>
      <c r="DW46" s="39">
        <f t="shared" si="56"/>
        <v>0</v>
      </c>
      <c r="DX46" s="39">
        <f t="shared" si="56"/>
        <v>0</v>
      </c>
      <c r="DY46" s="39">
        <f t="shared" si="56"/>
        <v>0</v>
      </c>
      <c r="DZ46" s="39">
        <f t="shared" si="56"/>
        <v>0</v>
      </c>
      <c r="EA46" s="39">
        <f t="shared" ref="EA46:GL46" si="57">(($B$31+1)*EA14)/(EA14+$B$31*((1-$B$32)+$B$32*($B46/$B$33)))*EA$27</f>
        <v>0</v>
      </c>
      <c r="EB46" s="39">
        <f t="shared" si="57"/>
        <v>2.9025107859903616</v>
      </c>
      <c r="EC46" s="39">
        <f t="shared" si="57"/>
        <v>0</v>
      </c>
      <c r="ED46" s="39">
        <f t="shared" si="57"/>
        <v>0</v>
      </c>
      <c r="EE46" s="39">
        <f t="shared" si="57"/>
        <v>0</v>
      </c>
      <c r="EF46" s="39">
        <f t="shared" si="57"/>
        <v>0</v>
      </c>
      <c r="EG46" s="39">
        <f t="shared" si="57"/>
        <v>0</v>
      </c>
      <c r="EH46" s="39">
        <f t="shared" si="57"/>
        <v>0</v>
      </c>
      <c r="EI46" s="39">
        <f t="shared" si="57"/>
        <v>0</v>
      </c>
      <c r="EJ46" s="39">
        <f t="shared" si="57"/>
        <v>0</v>
      </c>
      <c r="EK46" s="39">
        <f t="shared" si="57"/>
        <v>0</v>
      </c>
      <c r="EL46" s="39">
        <f t="shared" si="57"/>
        <v>0.9914226147584092</v>
      </c>
      <c r="EM46" s="39">
        <f t="shared" si="57"/>
        <v>0</v>
      </c>
      <c r="EN46" s="39">
        <f t="shared" si="57"/>
        <v>0</v>
      </c>
      <c r="EO46" s="39">
        <f t="shared" si="57"/>
        <v>0</v>
      </c>
      <c r="EP46" s="39">
        <f t="shared" si="57"/>
        <v>0</v>
      </c>
      <c r="EQ46" s="39">
        <f t="shared" si="57"/>
        <v>0</v>
      </c>
      <c r="ER46" s="39">
        <f t="shared" si="57"/>
        <v>0</v>
      </c>
      <c r="ES46" s="39">
        <f t="shared" si="57"/>
        <v>0</v>
      </c>
      <c r="ET46" s="39">
        <f t="shared" si="57"/>
        <v>0</v>
      </c>
      <c r="EU46" s="39">
        <f t="shared" si="57"/>
        <v>0</v>
      </c>
      <c r="EV46" s="39">
        <f t="shared" si="57"/>
        <v>0</v>
      </c>
      <c r="EW46" s="39">
        <f t="shared" si="57"/>
        <v>0</v>
      </c>
      <c r="EX46" s="39">
        <f t="shared" si="57"/>
        <v>0</v>
      </c>
      <c r="EY46" s="39">
        <f t="shared" si="57"/>
        <v>0</v>
      </c>
      <c r="EZ46" s="39">
        <f t="shared" si="57"/>
        <v>1.6007705490238828</v>
      </c>
      <c r="FA46" s="39">
        <f t="shared" si="57"/>
        <v>0</v>
      </c>
      <c r="FB46" s="39">
        <f t="shared" si="57"/>
        <v>0</v>
      </c>
      <c r="FC46" s="39">
        <f t="shared" si="57"/>
        <v>0</v>
      </c>
      <c r="FD46" s="39">
        <f t="shared" si="57"/>
        <v>0</v>
      </c>
      <c r="FE46" s="39">
        <f t="shared" si="57"/>
        <v>0</v>
      </c>
      <c r="FF46" s="39">
        <f t="shared" si="57"/>
        <v>0</v>
      </c>
      <c r="FG46" s="39">
        <f t="shared" si="57"/>
        <v>0</v>
      </c>
      <c r="FH46" s="39">
        <f t="shared" si="57"/>
        <v>0</v>
      </c>
      <c r="FI46" s="39">
        <f t="shared" si="57"/>
        <v>0</v>
      </c>
      <c r="FJ46" s="39">
        <f t="shared" si="57"/>
        <v>0</v>
      </c>
      <c r="FK46" s="39">
        <f t="shared" si="57"/>
        <v>0</v>
      </c>
      <c r="FL46" s="39">
        <f t="shared" si="57"/>
        <v>0</v>
      </c>
      <c r="FM46" s="39">
        <f t="shared" si="57"/>
        <v>0</v>
      </c>
      <c r="FN46" s="39">
        <f t="shared" si="57"/>
        <v>0</v>
      </c>
      <c r="FO46" s="39">
        <f t="shared" si="57"/>
        <v>0</v>
      </c>
      <c r="FP46" s="39">
        <f t="shared" si="57"/>
        <v>0</v>
      </c>
      <c r="FQ46" s="39">
        <f t="shared" si="57"/>
        <v>0</v>
      </c>
      <c r="FR46" s="39">
        <f t="shared" si="57"/>
        <v>0</v>
      </c>
      <c r="FS46" s="39">
        <f t="shared" si="57"/>
        <v>0</v>
      </c>
      <c r="FT46" s="39">
        <f t="shared" si="57"/>
        <v>0</v>
      </c>
      <c r="FU46" s="39">
        <f t="shared" si="57"/>
        <v>0</v>
      </c>
      <c r="FV46" s="39">
        <f t="shared" si="57"/>
        <v>0</v>
      </c>
      <c r="FW46" s="39">
        <f t="shared" si="57"/>
        <v>0</v>
      </c>
      <c r="FX46" s="39">
        <f t="shared" si="57"/>
        <v>0</v>
      </c>
      <c r="FY46" s="39">
        <f t="shared" si="57"/>
        <v>0</v>
      </c>
      <c r="FZ46" s="39">
        <f t="shared" si="57"/>
        <v>0</v>
      </c>
      <c r="GA46" s="39">
        <f t="shared" si="57"/>
        <v>0</v>
      </c>
      <c r="GB46" s="39">
        <f t="shared" si="57"/>
        <v>0</v>
      </c>
      <c r="GC46" s="39">
        <f t="shared" si="57"/>
        <v>0</v>
      </c>
      <c r="GD46" s="39">
        <f t="shared" si="57"/>
        <v>0</v>
      </c>
      <c r="GE46" s="39">
        <f t="shared" si="57"/>
        <v>0</v>
      </c>
      <c r="GF46" s="39">
        <f t="shared" si="57"/>
        <v>0</v>
      </c>
      <c r="GG46" s="39">
        <f t="shared" si="57"/>
        <v>0</v>
      </c>
      <c r="GH46" s="39">
        <f t="shared" si="57"/>
        <v>0</v>
      </c>
      <c r="GI46" s="39">
        <f t="shared" si="57"/>
        <v>0</v>
      </c>
      <c r="GJ46" s="39">
        <f t="shared" si="57"/>
        <v>0</v>
      </c>
      <c r="GK46" s="39">
        <f t="shared" si="57"/>
        <v>0</v>
      </c>
      <c r="GL46" s="39">
        <f t="shared" si="57"/>
        <v>0</v>
      </c>
      <c r="GM46" s="39">
        <f t="shared" ref="GM46:IG46" si="58">(($B$31+1)*GM14)/(GM14+$B$31*((1-$B$32)+$B$32*($B46/$B$33)))*GM$27</f>
        <v>0</v>
      </c>
      <c r="GN46" s="39">
        <f t="shared" si="58"/>
        <v>0</v>
      </c>
      <c r="GO46" s="39">
        <f t="shared" si="58"/>
        <v>0</v>
      </c>
      <c r="GP46" s="39">
        <f t="shared" si="58"/>
        <v>0</v>
      </c>
      <c r="GQ46" s="39">
        <f t="shared" si="58"/>
        <v>0</v>
      </c>
      <c r="GR46" s="39">
        <f t="shared" si="58"/>
        <v>2.9025107859903616</v>
      </c>
      <c r="GS46" s="39">
        <f t="shared" si="58"/>
        <v>2.2516406675071221</v>
      </c>
      <c r="GT46" s="39">
        <f t="shared" si="58"/>
        <v>2.2516406675071221</v>
      </c>
      <c r="GU46" s="39">
        <f t="shared" si="58"/>
        <v>0</v>
      </c>
      <c r="GV46" s="39">
        <f t="shared" si="58"/>
        <v>0</v>
      </c>
      <c r="GW46" s="39">
        <f t="shared" si="58"/>
        <v>0</v>
      </c>
      <c r="GX46" s="39">
        <f t="shared" si="58"/>
        <v>0</v>
      </c>
      <c r="GY46" s="39">
        <f t="shared" si="58"/>
        <v>0</v>
      </c>
      <c r="GZ46" s="39">
        <f t="shared" si="58"/>
        <v>0</v>
      </c>
      <c r="HA46" s="39">
        <f t="shared" si="58"/>
        <v>0</v>
      </c>
      <c r="HB46" s="39">
        <f t="shared" si="58"/>
        <v>2.9025107859903616</v>
      </c>
      <c r="HC46" s="39">
        <f t="shared" si="58"/>
        <v>0</v>
      </c>
      <c r="HD46" s="39">
        <f t="shared" si="58"/>
        <v>0</v>
      </c>
      <c r="HE46" s="39">
        <f t="shared" si="58"/>
        <v>0</v>
      </c>
      <c r="HF46" s="39">
        <f t="shared" si="58"/>
        <v>0</v>
      </c>
      <c r="HG46" s="39">
        <f t="shared" si="58"/>
        <v>0</v>
      </c>
      <c r="HH46" s="39">
        <f t="shared" si="58"/>
        <v>0</v>
      </c>
      <c r="HI46" s="39">
        <f t="shared" si="58"/>
        <v>0</v>
      </c>
      <c r="HJ46" s="39">
        <f t="shared" si="58"/>
        <v>0</v>
      </c>
      <c r="HK46" s="39">
        <f t="shared" si="58"/>
        <v>0</v>
      </c>
      <c r="HL46" s="39">
        <f t="shared" si="58"/>
        <v>0</v>
      </c>
      <c r="HM46" s="39">
        <f t="shared" si="58"/>
        <v>0</v>
      </c>
      <c r="HN46" s="39">
        <f t="shared" si="58"/>
        <v>0</v>
      </c>
      <c r="HO46" s="39">
        <f t="shared" si="58"/>
        <v>0</v>
      </c>
      <c r="HP46" s="39">
        <f t="shared" si="58"/>
        <v>0</v>
      </c>
      <c r="HQ46" s="39">
        <f t="shared" si="58"/>
        <v>0</v>
      </c>
      <c r="HR46" s="39">
        <f t="shared" si="58"/>
        <v>0</v>
      </c>
      <c r="HS46" s="39">
        <f t="shared" si="58"/>
        <v>0</v>
      </c>
      <c r="HT46" s="39">
        <f t="shared" si="58"/>
        <v>0</v>
      </c>
      <c r="HU46" s="39">
        <f t="shared" si="58"/>
        <v>0</v>
      </c>
      <c r="HV46" s="39">
        <f t="shared" si="58"/>
        <v>0</v>
      </c>
      <c r="HW46" s="39">
        <f t="shared" si="58"/>
        <v>0</v>
      </c>
      <c r="HX46" s="39">
        <f t="shared" si="58"/>
        <v>0</v>
      </c>
      <c r="HY46" s="39">
        <f t="shared" si="58"/>
        <v>0</v>
      </c>
      <c r="HZ46" s="39">
        <f t="shared" si="58"/>
        <v>0</v>
      </c>
      <c r="IA46" s="39">
        <f t="shared" si="58"/>
        <v>0</v>
      </c>
      <c r="IB46" s="39">
        <f t="shared" si="58"/>
        <v>0</v>
      </c>
      <c r="IC46" s="39">
        <f t="shared" si="58"/>
        <v>2.9025107859903616</v>
      </c>
      <c r="ID46" s="39">
        <f t="shared" si="58"/>
        <v>0</v>
      </c>
      <c r="IE46" s="39">
        <f t="shared" si="58"/>
        <v>2.2516406675071221</v>
      </c>
      <c r="IF46" s="39">
        <f t="shared" si="58"/>
        <v>0</v>
      </c>
      <c r="IG46" s="39">
        <f t="shared" si="58"/>
        <v>0</v>
      </c>
      <c r="IH46" s="43">
        <v>0.25815132176107025</v>
      </c>
      <c r="II46" s="43">
        <v>0.2538804104985512</v>
      </c>
    </row>
    <row r="47" spans="1:243" x14ac:dyDescent="0.3">
      <c r="A47" s="34" t="s">
        <v>48</v>
      </c>
      <c r="B47" s="38">
        <f t="shared" si="14"/>
        <v>25</v>
      </c>
      <c r="C47" s="39">
        <f t="shared" ref="C47:BN47" si="59">(($B$31+1)*C15)/(C15+$B$31*((1-$B$32)+$B$32*($B47/$B$33)))*C$27</f>
        <v>0</v>
      </c>
      <c r="D47" s="39">
        <f t="shared" si="59"/>
        <v>0</v>
      </c>
      <c r="E47" s="39">
        <f t="shared" si="59"/>
        <v>0</v>
      </c>
      <c r="F47" s="39">
        <f t="shared" si="59"/>
        <v>0</v>
      </c>
      <c r="G47" s="39">
        <f t="shared" si="59"/>
        <v>0</v>
      </c>
      <c r="H47" s="39">
        <f t="shared" si="59"/>
        <v>0</v>
      </c>
      <c r="I47" s="39">
        <f t="shared" si="59"/>
        <v>0</v>
      </c>
      <c r="J47" s="39">
        <f t="shared" si="59"/>
        <v>0</v>
      </c>
      <c r="K47" s="39">
        <f t="shared" si="59"/>
        <v>0</v>
      </c>
      <c r="L47" s="39">
        <f t="shared" si="59"/>
        <v>0</v>
      </c>
      <c r="M47" s="39">
        <f t="shared" si="59"/>
        <v>0</v>
      </c>
      <c r="N47" s="39">
        <f t="shared" si="59"/>
        <v>0</v>
      </c>
      <c r="O47" s="39">
        <f t="shared" si="59"/>
        <v>0.86047399029351601</v>
      </c>
      <c r="P47" s="39">
        <f t="shared" si="59"/>
        <v>0</v>
      </c>
      <c r="Q47" s="39">
        <f t="shared" si="59"/>
        <v>0</v>
      </c>
      <c r="R47" s="39">
        <f t="shared" si="59"/>
        <v>0</v>
      </c>
      <c r="S47" s="39">
        <f t="shared" si="59"/>
        <v>0</v>
      </c>
      <c r="T47" s="39">
        <f t="shared" si="59"/>
        <v>0</v>
      </c>
      <c r="U47" s="39">
        <f t="shared" si="59"/>
        <v>0</v>
      </c>
      <c r="V47" s="39">
        <f t="shared" si="59"/>
        <v>0</v>
      </c>
      <c r="W47" s="39">
        <f t="shared" si="59"/>
        <v>0</v>
      </c>
      <c r="X47" s="39">
        <f t="shared" si="59"/>
        <v>0</v>
      </c>
      <c r="Y47" s="39">
        <f t="shared" si="59"/>
        <v>0</v>
      </c>
      <c r="Z47" s="39">
        <f t="shared" si="59"/>
        <v>2.32266754157004</v>
      </c>
      <c r="AA47" s="39">
        <f t="shared" si="59"/>
        <v>0</v>
      </c>
      <c r="AB47" s="39">
        <f t="shared" si="59"/>
        <v>0</v>
      </c>
      <c r="AC47" s="39">
        <f t="shared" si="59"/>
        <v>0</v>
      </c>
      <c r="AD47" s="39">
        <f t="shared" si="59"/>
        <v>0</v>
      </c>
      <c r="AE47" s="39">
        <f t="shared" si="59"/>
        <v>0</v>
      </c>
      <c r="AF47" s="39">
        <f t="shared" si="59"/>
        <v>0</v>
      </c>
      <c r="AG47" s="39">
        <f t="shared" si="59"/>
        <v>2.32266754157004</v>
      </c>
      <c r="AH47" s="39">
        <f t="shared" si="59"/>
        <v>0</v>
      </c>
      <c r="AI47" s="39">
        <f t="shared" si="59"/>
        <v>0</v>
      </c>
      <c r="AJ47" s="39">
        <f t="shared" si="59"/>
        <v>0</v>
      </c>
      <c r="AK47" s="39">
        <f t="shared" si="59"/>
        <v>0</v>
      </c>
      <c r="AL47" s="39">
        <f t="shared" si="59"/>
        <v>0</v>
      </c>
      <c r="AM47" s="39">
        <f t="shared" si="59"/>
        <v>0</v>
      </c>
      <c r="AN47" s="39">
        <f t="shared" si="59"/>
        <v>0</v>
      </c>
      <c r="AO47" s="39">
        <f t="shared" si="59"/>
        <v>0</v>
      </c>
      <c r="AP47" s="39">
        <f t="shared" si="59"/>
        <v>2.32266754157004</v>
      </c>
      <c r="AQ47" s="39">
        <f t="shared" si="59"/>
        <v>0</v>
      </c>
      <c r="AR47" s="39">
        <f t="shared" si="59"/>
        <v>0</v>
      </c>
      <c r="AS47" s="39">
        <f t="shared" si="59"/>
        <v>0</v>
      </c>
      <c r="AT47" s="39">
        <f t="shared" si="59"/>
        <v>0</v>
      </c>
      <c r="AU47" s="39">
        <f t="shared" si="59"/>
        <v>0</v>
      </c>
      <c r="AV47" s="39">
        <f t="shared" si="59"/>
        <v>0</v>
      </c>
      <c r="AW47" s="39">
        <f t="shared" si="59"/>
        <v>0</v>
      </c>
      <c r="AX47" s="39">
        <f t="shared" si="59"/>
        <v>2.32266754157004</v>
      </c>
      <c r="AY47" s="39">
        <f t="shared" si="59"/>
        <v>2.32266754157004</v>
      </c>
      <c r="AZ47" s="39">
        <f t="shared" si="59"/>
        <v>0</v>
      </c>
      <c r="BA47" s="39">
        <f t="shared" si="59"/>
        <v>2.32266754157004</v>
      </c>
      <c r="BB47" s="39">
        <f t="shared" si="59"/>
        <v>0</v>
      </c>
      <c r="BC47" s="39">
        <f t="shared" si="59"/>
        <v>0</v>
      </c>
      <c r="BD47" s="39">
        <f t="shared" si="59"/>
        <v>2.32266754157004</v>
      </c>
      <c r="BE47" s="39">
        <f t="shared" si="59"/>
        <v>0</v>
      </c>
      <c r="BF47" s="39">
        <f t="shared" si="59"/>
        <v>0</v>
      </c>
      <c r="BG47" s="39">
        <f t="shared" si="59"/>
        <v>0</v>
      </c>
      <c r="BH47" s="39">
        <f t="shared" si="59"/>
        <v>0</v>
      </c>
      <c r="BI47" s="39">
        <f t="shared" si="59"/>
        <v>0</v>
      </c>
      <c r="BJ47" s="39">
        <f t="shared" si="59"/>
        <v>0</v>
      </c>
      <c r="BK47" s="39">
        <f t="shared" si="59"/>
        <v>0</v>
      </c>
      <c r="BL47" s="39">
        <f t="shared" si="59"/>
        <v>0</v>
      </c>
      <c r="BM47" s="39">
        <f t="shared" si="59"/>
        <v>0</v>
      </c>
      <c r="BN47" s="39">
        <f t="shared" si="59"/>
        <v>0</v>
      </c>
      <c r="BO47" s="39">
        <f t="shared" ref="BO47:DZ47" si="60">(($B$31+1)*BO15)/(BO15+$B$31*((1-$B$32)+$B$32*($B47/$B$33)))*BO$27</f>
        <v>0</v>
      </c>
      <c r="BP47" s="39">
        <f t="shared" si="60"/>
        <v>0</v>
      </c>
      <c r="BQ47" s="39">
        <f t="shared" si="60"/>
        <v>0</v>
      </c>
      <c r="BR47" s="39">
        <f t="shared" si="60"/>
        <v>0</v>
      </c>
      <c r="BS47" s="39">
        <f t="shared" si="60"/>
        <v>0</v>
      </c>
      <c r="BT47" s="39">
        <f t="shared" si="60"/>
        <v>0</v>
      </c>
      <c r="BU47" s="39">
        <f t="shared" si="60"/>
        <v>0</v>
      </c>
      <c r="BV47" s="39">
        <f t="shared" si="60"/>
        <v>2.32266754157004</v>
      </c>
      <c r="BW47" s="39">
        <f t="shared" si="60"/>
        <v>0</v>
      </c>
      <c r="BX47" s="39">
        <f t="shared" si="60"/>
        <v>0</v>
      </c>
      <c r="BY47" s="39">
        <f t="shared" si="60"/>
        <v>0</v>
      </c>
      <c r="BZ47" s="39">
        <f t="shared" si="60"/>
        <v>0</v>
      </c>
      <c r="CA47" s="39">
        <f t="shared" si="60"/>
        <v>0</v>
      </c>
      <c r="CB47" s="39">
        <f t="shared" si="60"/>
        <v>0</v>
      </c>
      <c r="CC47" s="39">
        <f t="shared" si="60"/>
        <v>0</v>
      </c>
      <c r="CD47" s="39">
        <f t="shared" si="60"/>
        <v>0</v>
      </c>
      <c r="CE47" s="39">
        <f t="shared" si="60"/>
        <v>0</v>
      </c>
      <c r="CF47" s="39">
        <f t="shared" si="60"/>
        <v>0</v>
      </c>
      <c r="CG47" s="39">
        <f t="shared" si="60"/>
        <v>0</v>
      </c>
      <c r="CH47" s="39">
        <f t="shared" si="60"/>
        <v>0</v>
      </c>
      <c r="CI47" s="39">
        <f t="shared" si="60"/>
        <v>0</v>
      </c>
      <c r="CJ47" s="39">
        <f t="shared" si="60"/>
        <v>0</v>
      </c>
      <c r="CK47" s="39">
        <f t="shared" si="60"/>
        <v>0</v>
      </c>
      <c r="CL47" s="39">
        <f t="shared" si="60"/>
        <v>0</v>
      </c>
      <c r="CM47" s="39">
        <f t="shared" si="60"/>
        <v>1.4971495675651718</v>
      </c>
      <c r="CN47" s="39">
        <f t="shared" si="60"/>
        <v>1.4971495675651718</v>
      </c>
      <c r="CO47" s="39">
        <f t="shared" si="60"/>
        <v>0</v>
      </c>
      <c r="CP47" s="39">
        <f t="shared" si="60"/>
        <v>0</v>
      </c>
      <c r="CQ47" s="39">
        <f t="shared" si="60"/>
        <v>0</v>
      </c>
      <c r="CR47" s="39">
        <f t="shared" si="60"/>
        <v>0</v>
      </c>
      <c r="CS47" s="39">
        <f t="shared" si="60"/>
        <v>0</v>
      </c>
      <c r="CT47" s="39">
        <f t="shared" si="60"/>
        <v>0</v>
      </c>
      <c r="CU47" s="39">
        <f t="shared" si="60"/>
        <v>0</v>
      </c>
      <c r="CV47" s="39">
        <f t="shared" si="60"/>
        <v>0</v>
      </c>
      <c r="CW47" s="39">
        <f t="shared" si="60"/>
        <v>0</v>
      </c>
      <c r="CX47" s="39">
        <f t="shared" si="60"/>
        <v>0</v>
      </c>
      <c r="CY47" s="39">
        <f t="shared" si="60"/>
        <v>0</v>
      </c>
      <c r="CZ47" s="39">
        <f t="shared" si="60"/>
        <v>0</v>
      </c>
      <c r="DA47" s="39">
        <f t="shared" si="60"/>
        <v>0</v>
      </c>
      <c r="DB47" s="39">
        <f t="shared" si="60"/>
        <v>0</v>
      </c>
      <c r="DC47" s="39">
        <f t="shared" si="60"/>
        <v>0</v>
      </c>
      <c r="DD47" s="39">
        <f t="shared" si="60"/>
        <v>0</v>
      </c>
      <c r="DE47" s="39">
        <f t="shared" si="60"/>
        <v>0</v>
      </c>
      <c r="DF47" s="39">
        <f t="shared" si="60"/>
        <v>0</v>
      </c>
      <c r="DG47" s="39">
        <f t="shared" si="60"/>
        <v>0</v>
      </c>
      <c r="DH47" s="39">
        <f t="shared" si="60"/>
        <v>0</v>
      </c>
      <c r="DI47" s="39">
        <f t="shared" si="60"/>
        <v>0</v>
      </c>
      <c r="DJ47" s="39">
        <f t="shared" si="60"/>
        <v>0</v>
      </c>
      <c r="DK47" s="39">
        <f t="shared" si="60"/>
        <v>0</v>
      </c>
      <c r="DL47" s="39">
        <f t="shared" si="60"/>
        <v>0</v>
      </c>
      <c r="DM47" s="39">
        <f t="shared" si="60"/>
        <v>0</v>
      </c>
      <c r="DN47" s="39">
        <f t="shared" si="60"/>
        <v>0</v>
      </c>
      <c r="DO47" s="39">
        <f t="shared" si="60"/>
        <v>0</v>
      </c>
      <c r="DP47" s="39">
        <f t="shared" si="60"/>
        <v>0</v>
      </c>
      <c r="DQ47" s="39">
        <f t="shared" si="60"/>
        <v>1.4971495675651718</v>
      </c>
      <c r="DR47" s="39">
        <f t="shared" si="60"/>
        <v>0</v>
      </c>
      <c r="DS47" s="39">
        <f t="shared" si="60"/>
        <v>0</v>
      </c>
      <c r="DT47" s="39">
        <f t="shared" si="60"/>
        <v>0</v>
      </c>
      <c r="DU47" s="39">
        <f t="shared" si="60"/>
        <v>0</v>
      </c>
      <c r="DV47" s="39">
        <f t="shared" si="60"/>
        <v>0</v>
      </c>
      <c r="DW47" s="39">
        <f t="shared" si="60"/>
        <v>0</v>
      </c>
      <c r="DX47" s="39">
        <f t="shared" si="60"/>
        <v>0</v>
      </c>
      <c r="DY47" s="39">
        <f t="shared" si="60"/>
        <v>0</v>
      </c>
      <c r="DZ47" s="39">
        <f t="shared" si="60"/>
        <v>0</v>
      </c>
      <c r="EA47" s="39">
        <f t="shared" ref="EA47:GL47" si="61">(($B$31+1)*EA15)/(EA15+$B$31*((1-$B$32)+$B$32*($B47/$B$33)))*EA$27</f>
        <v>0</v>
      </c>
      <c r="EB47" s="39">
        <f t="shared" si="61"/>
        <v>0</v>
      </c>
      <c r="EC47" s="39">
        <f t="shared" si="61"/>
        <v>0</v>
      </c>
      <c r="ED47" s="39">
        <f t="shared" si="61"/>
        <v>0</v>
      </c>
      <c r="EE47" s="39">
        <f t="shared" si="61"/>
        <v>0</v>
      </c>
      <c r="EF47" s="39">
        <f t="shared" si="61"/>
        <v>0</v>
      </c>
      <c r="EG47" s="39">
        <f t="shared" si="61"/>
        <v>0</v>
      </c>
      <c r="EH47" s="39">
        <f t="shared" si="61"/>
        <v>0</v>
      </c>
      <c r="EI47" s="39">
        <f t="shared" si="61"/>
        <v>0</v>
      </c>
      <c r="EJ47" s="39">
        <f t="shared" si="61"/>
        <v>0</v>
      </c>
      <c r="EK47" s="39">
        <f t="shared" si="61"/>
        <v>0</v>
      </c>
      <c r="EL47" s="39">
        <f t="shared" si="61"/>
        <v>0.5208438519077</v>
      </c>
      <c r="EM47" s="39">
        <f t="shared" si="61"/>
        <v>0</v>
      </c>
      <c r="EN47" s="39">
        <f t="shared" si="61"/>
        <v>0</v>
      </c>
      <c r="EO47" s="39">
        <f t="shared" si="61"/>
        <v>0</v>
      </c>
      <c r="EP47" s="39">
        <f t="shared" si="61"/>
        <v>0</v>
      </c>
      <c r="EQ47" s="39">
        <f t="shared" si="61"/>
        <v>0</v>
      </c>
      <c r="ER47" s="39">
        <f t="shared" si="61"/>
        <v>0</v>
      </c>
      <c r="ES47" s="39">
        <f t="shared" si="61"/>
        <v>0</v>
      </c>
      <c r="ET47" s="39">
        <f t="shared" si="61"/>
        <v>0</v>
      </c>
      <c r="EU47" s="39">
        <f t="shared" si="61"/>
        <v>0</v>
      </c>
      <c r="EV47" s="39">
        <f t="shared" si="61"/>
        <v>0</v>
      </c>
      <c r="EW47" s="39">
        <f t="shared" si="61"/>
        <v>0</v>
      </c>
      <c r="EX47" s="39">
        <f t="shared" si="61"/>
        <v>0</v>
      </c>
      <c r="EY47" s="39">
        <f t="shared" si="61"/>
        <v>0</v>
      </c>
      <c r="EZ47" s="39">
        <f t="shared" si="61"/>
        <v>0</v>
      </c>
      <c r="FA47" s="39">
        <f t="shared" si="61"/>
        <v>0</v>
      </c>
      <c r="FB47" s="39">
        <f t="shared" si="61"/>
        <v>0</v>
      </c>
      <c r="FC47" s="39">
        <f t="shared" si="61"/>
        <v>2.32266754157004</v>
      </c>
      <c r="FD47" s="39">
        <f t="shared" si="61"/>
        <v>0</v>
      </c>
      <c r="FE47" s="39">
        <f t="shared" si="61"/>
        <v>0</v>
      </c>
      <c r="FF47" s="39">
        <f t="shared" si="61"/>
        <v>0</v>
      </c>
      <c r="FG47" s="39">
        <f t="shared" si="61"/>
        <v>0</v>
      </c>
      <c r="FH47" s="39">
        <f t="shared" si="61"/>
        <v>0</v>
      </c>
      <c r="FI47" s="39">
        <f t="shared" si="61"/>
        <v>1.8018236896623396</v>
      </c>
      <c r="FJ47" s="39">
        <f t="shared" si="61"/>
        <v>0</v>
      </c>
      <c r="FK47" s="39">
        <f t="shared" si="61"/>
        <v>0</v>
      </c>
      <c r="FL47" s="39">
        <f t="shared" si="61"/>
        <v>0</v>
      </c>
      <c r="FM47" s="39">
        <f t="shared" si="61"/>
        <v>1.8018236896623396</v>
      </c>
      <c r="FN47" s="39">
        <f t="shared" si="61"/>
        <v>0</v>
      </c>
      <c r="FO47" s="39">
        <f t="shared" si="61"/>
        <v>0</v>
      </c>
      <c r="FP47" s="39">
        <f t="shared" si="61"/>
        <v>0</v>
      </c>
      <c r="FQ47" s="39">
        <f t="shared" si="61"/>
        <v>1.4971495675651718</v>
      </c>
      <c r="FR47" s="39">
        <f t="shared" si="61"/>
        <v>0</v>
      </c>
      <c r="FS47" s="39">
        <f t="shared" si="61"/>
        <v>1.8018236896623396</v>
      </c>
      <c r="FT47" s="39">
        <f t="shared" si="61"/>
        <v>0</v>
      </c>
      <c r="FU47" s="39">
        <f t="shared" si="61"/>
        <v>0</v>
      </c>
      <c r="FV47" s="39">
        <f t="shared" si="61"/>
        <v>0</v>
      </c>
      <c r="FW47" s="39">
        <f t="shared" si="61"/>
        <v>1.8018236896623396</v>
      </c>
      <c r="FX47" s="39">
        <f t="shared" si="61"/>
        <v>0</v>
      </c>
      <c r="FY47" s="39">
        <f t="shared" si="61"/>
        <v>0</v>
      </c>
      <c r="FZ47" s="39">
        <f t="shared" si="61"/>
        <v>0</v>
      </c>
      <c r="GA47" s="39">
        <f t="shared" si="61"/>
        <v>0</v>
      </c>
      <c r="GB47" s="39">
        <f t="shared" si="61"/>
        <v>0</v>
      </c>
      <c r="GC47" s="39">
        <f t="shared" si="61"/>
        <v>0</v>
      </c>
      <c r="GD47" s="39">
        <f t="shared" si="61"/>
        <v>0</v>
      </c>
      <c r="GE47" s="39">
        <f t="shared" si="61"/>
        <v>0</v>
      </c>
      <c r="GF47" s="39">
        <f t="shared" si="61"/>
        <v>0</v>
      </c>
      <c r="GG47" s="39">
        <f t="shared" si="61"/>
        <v>0</v>
      </c>
      <c r="GH47" s="39">
        <f t="shared" si="61"/>
        <v>0</v>
      </c>
      <c r="GI47" s="39">
        <f t="shared" si="61"/>
        <v>0</v>
      </c>
      <c r="GJ47" s="39">
        <f t="shared" si="61"/>
        <v>0</v>
      </c>
      <c r="GK47" s="39">
        <f t="shared" si="61"/>
        <v>0</v>
      </c>
      <c r="GL47" s="39">
        <f t="shared" si="61"/>
        <v>0</v>
      </c>
      <c r="GM47" s="39">
        <f t="shared" ref="GM47:IG47" si="62">(($B$31+1)*GM15)/(GM15+$B$31*((1-$B$32)+$B$32*($B47/$B$33)))*GM$27</f>
        <v>0</v>
      </c>
      <c r="GN47" s="39">
        <f t="shared" si="62"/>
        <v>0</v>
      </c>
      <c r="GO47" s="39">
        <f t="shared" si="62"/>
        <v>0</v>
      </c>
      <c r="GP47" s="39">
        <f t="shared" si="62"/>
        <v>0</v>
      </c>
      <c r="GQ47" s="39">
        <f t="shared" si="62"/>
        <v>0</v>
      </c>
      <c r="GR47" s="39">
        <f t="shared" si="62"/>
        <v>0</v>
      </c>
      <c r="GS47" s="39">
        <f t="shared" si="62"/>
        <v>1.8018236896623396</v>
      </c>
      <c r="GT47" s="39">
        <f t="shared" si="62"/>
        <v>1.8018236896623396</v>
      </c>
      <c r="GU47" s="39">
        <f t="shared" si="62"/>
        <v>0</v>
      </c>
      <c r="GV47" s="39">
        <f t="shared" si="62"/>
        <v>0</v>
      </c>
      <c r="GW47" s="39">
        <f t="shared" si="62"/>
        <v>0</v>
      </c>
      <c r="GX47" s="39">
        <f t="shared" si="62"/>
        <v>0</v>
      </c>
      <c r="GY47" s="39">
        <f t="shared" si="62"/>
        <v>0</v>
      </c>
      <c r="GZ47" s="39">
        <f t="shared" si="62"/>
        <v>0</v>
      </c>
      <c r="HA47" s="39">
        <f t="shared" si="62"/>
        <v>2.32266754157004</v>
      </c>
      <c r="HB47" s="39">
        <f t="shared" si="62"/>
        <v>0</v>
      </c>
      <c r="HC47" s="39">
        <f t="shared" si="62"/>
        <v>0</v>
      </c>
      <c r="HD47" s="39">
        <f t="shared" si="62"/>
        <v>0</v>
      </c>
      <c r="HE47" s="39">
        <f t="shared" si="62"/>
        <v>0</v>
      </c>
      <c r="HF47" s="39">
        <f t="shared" si="62"/>
        <v>0</v>
      </c>
      <c r="HG47" s="39">
        <f t="shared" si="62"/>
        <v>0</v>
      </c>
      <c r="HH47" s="39">
        <f t="shared" si="62"/>
        <v>0</v>
      </c>
      <c r="HI47" s="39">
        <f t="shared" si="62"/>
        <v>0</v>
      </c>
      <c r="HJ47" s="39">
        <f t="shared" si="62"/>
        <v>0</v>
      </c>
      <c r="HK47" s="39">
        <f t="shared" si="62"/>
        <v>0</v>
      </c>
      <c r="HL47" s="39">
        <f t="shared" si="62"/>
        <v>0</v>
      </c>
      <c r="HM47" s="39">
        <f t="shared" si="62"/>
        <v>0</v>
      </c>
      <c r="HN47" s="39">
        <f t="shared" si="62"/>
        <v>0</v>
      </c>
      <c r="HO47" s="39">
        <f t="shared" si="62"/>
        <v>0</v>
      </c>
      <c r="HP47" s="39">
        <f t="shared" si="62"/>
        <v>0</v>
      </c>
      <c r="HQ47" s="39">
        <f t="shared" si="62"/>
        <v>0</v>
      </c>
      <c r="HR47" s="39">
        <f t="shared" si="62"/>
        <v>0</v>
      </c>
      <c r="HS47" s="39">
        <f t="shared" si="62"/>
        <v>0</v>
      </c>
      <c r="HT47" s="39">
        <f t="shared" si="62"/>
        <v>0</v>
      </c>
      <c r="HU47" s="39">
        <f t="shared" si="62"/>
        <v>0</v>
      </c>
      <c r="HV47" s="39">
        <f t="shared" si="62"/>
        <v>2.32266754157004</v>
      </c>
      <c r="HW47" s="39">
        <f t="shared" si="62"/>
        <v>2.32266754157004</v>
      </c>
      <c r="HX47" s="39">
        <f t="shared" si="62"/>
        <v>2.32266754157004</v>
      </c>
      <c r="HY47" s="39">
        <f t="shared" si="62"/>
        <v>0</v>
      </c>
      <c r="HZ47" s="39">
        <f t="shared" si="62"/>
        <v>0</v>
      </c>
      <c r="IA47" s="39">
        <f t="shared" si="62"/>
        <v>0</v>
      </c>
      <c r="IB47" s="39">
        <f t="shared" si="62"/>
        <v>0</v>
      </c>
      <c r="IC47" s="39">
        <f t="shared" si="62"/>
        <v>0</v>
      </c>
      <c r="ID47" s="39">
        <f t="shared" si="62"/>
        <v>0</v>
      </c>
      <c r="IE47" s="39">
        <f t="shared" si="62"/>
        <v>0</v>
      </c>
      <c r="IF47" s="39">
        <f t="shared" si="62"/>
        <v>0</v>
      </c>
      <c r="IG47" s="39">
        <f t="shared" si="62"/>
        <v>0</v>
      </c>
      <c r="IH47" s="43">
        <v>0.33478841527709724</v>
      </c>
      <c r="II47" s="43">
        <v>0.28042815588282449</v>
      </c>
    </row>
    <row r="48" spans="1:243" x14ac:dyDescent="0.3">
      <c r="A48" s="34" t="s">
        <v>49</v>
      </c>
      <c r="B48" s="38">
        <f t="shared" si="14"/>
        <v>15</v>
      </c>
      <c r="C48" s="39">
        <f t="shared" ref="C48:BN48" si="63">(($B$31+1)*C16)/(C16+$B$31*((1-$B$32)+$B$32*($B48/$B$33)))*C$27</f>
        <v>0</v>
      </c>
      <c r="D48" s="39">
        <f t="shared" si="63"/>
        <v>0</v>
      </c>
      <c r="E48" s="39">
        <f t="shared" si="63"/>
        <v>0</v>
      </c>
      <c r="F48" s="39">
        <f t="shared" si="63"/>
        <v>0</v>
      </c>
      <c r="G48" s="39">
        <f t="shared" si="63"/>
        <v>0</v>
      </c>
      <c r="H48" s="39">
        <f t="shared" si="63"/>
        <v>0</v>
      </c>
      <c r="I48" s="39">
        <f t="shared" si="63"/>
        <v>0</v>
      </c>
      <c r="J48" s="39">
        <f t="shared" si="63"/>
        <v>0</v>
      </c>
      <c r="K48" s="39">
        <f t="shared" si="63"/>
        <v>0</v>
      </c>
      <c r="L48" s="39">
        <f t="shared" si="63"/>
        <v>0</v>
      </c>
      <c r="M48" s="39">
        <f t="shared" si="63"/>
        <v>0</v>
      </c>
      <c r="N48" s="39">
        <f t="shared" si="63"/>
        <v>0</v>
      </c>
      <c r="O48" s="39">
        <f t="shared" si="63"/>
        <v>1.1468647283639755</v>
      </c>
      <c r="P48" s="39">
        <f t="shared" si="63"/>
        <v>0</v>
      </c>
      <c r="Q48" s="39">
        <f t="shared" si="63"/>
        <v>0</v>
      </c>
      <c r="R48" s="39">
        <f t="shared" si="63"/>
        <v>0</v>
      </c>
      <c r="S48" s="39">
        <f t="shared" si="63"/>
        <v>0</v>
      </c>
      <c r="T48" s="39">
        <f t="shared" si="63"/>
        <v>3.0957187656932001</v>
      </c>
      <c r="U48" s="39">
        <f t="shared" si="63"/>
        <v>0</v>
      </c>
      <c r="V48" s="39">
        <f t="shared" si="63"/>
        <v>3.0957187656932001</v>
      </c>
      <c r="W48" s="39">
        <f t="shared" si="63"/>
        <v>0</v>
      </c>
      <c r="X48" s="39">
        <f t="shared" si="63"/>
        <v>0</v>
      </c>
      <c r="Y48" s="39">
        <f t="shared" si="63"/>
        <v>0</v>
      </c>
      <c r="Z48" s="39">
        <f t="shared" si="63"/>
        <v>0</v>
      </c>
      <c r="AA48" s="39">
        <f t="shared" si="63"/>
        <v>0</v>
      </c>
      <c r="AB48" s="39">
        <f t="shared" si="63"/>
        <v>0</v>
      </c>
      <c r="AC48" s="39">
        <f t="shared" si="63"/>
        <v>0</v>
      </c>
      <c r="AD48" s="39">
        <f t="shared" si="63"/>
        <v>0</v>
      </c>
      <c r="AE48" s="39">
        <f t="shared" si="63"/>
        <v>0</v>
      </c>
      <c r="AF48" s="39">
        <f t="shared" si="63"/>
        <v>0</v>
      </c>
      <c r="AG48" s="39">
        <f t="shared" si="63"/>
        <v>0</v>
      </c>
      <c r="AH48" s="39">
        <f t="shared" si="63"/>
        <v>0</v>
      </c>
      <c r="AI48" s="39">
        <f t="shared" si="63"/>
        <v>0</v>
      </c>
      <c r="AJ48" s="39">
        <f t="shared" si="63"/>
        <v>0</v>
      </c>
      <c r="AK48" s="39">
        <f t="shared" si="63"/>
        <v>0</v>
      </c>
      <c r="AL48" s="39">
        <f t="shared" si="63"/>
        <v>0</v>
      </c>
      <c r="AM48" s="39">
        <f t="shared" si="63"/>
        <v>0</v>
      </c>
      <c r="AN48" s="39">
        <f t="shared" si="63"/>
        <v>2.4015229509720446</v>
      </c>
      <c r="AO48" s="39">
        <f t="shared" si="63"/>
        <v>0</v>
      </c>
      <c r="AP48" s="39">
        <f t="shared" si="63"/>
        <v>0</v>
      </c>
      <c r="AQ48" s="39">
        <f t="shared" si="63"/>
        <v>0</v>
      </c>
      <c r="AR48" s="39">
        <f t="shared" si="63"/>
        <v>0</v>
      </c>
      <c r="AS48" s="39">
        <f t="shared" si="63"/>
        <v>0</v>
      </c>
      <c r="AT48" s="39">
        <f t="shared" si="63"/>
        <v>0</v>
      </c>
      <c r="AU48" s="39">
        <f t="shared" si="63"/>
        <v>0</v>
      </c>
      <c r="AV48" s="39">
        <f t="shared" si="63"/>
        <v>0</v>
      </c>
      <c r="AW48" s="39">
        <f t="shared" si="63"/>
        <v>0</v>
      </c>
      <c r="AX48" s="39">
        <f t="shared" si="63"/>
        <v>0</v>
      </c>
      <c r="AY48" s="39">
        <f t="shared" si="63"/>
        <v>0</v>
      </c>
      <c r="AZ48" s="39">
        <f t="shared" si="63"/>
        <v>0</v>
      </c>
      <c r="BA48" s="39">
        <f t="shared" si="63"/>
        <v>0</v>
      </c>
      <c r="BB48" s="39">
        <f t="shared" si="63"/>
        <v>0</v>
      </c>
      <c r="BC48" s="39">
        <f t="shared" si="63"/>
        <v>0</v>
      </c>
      <c r="BD48" s="39">
        <f t="shared" si="63"/>
        <v>0</v>
      </c>
      <c r="BE48" s="39">
        <f t="shared" si="63"/>
        <v>0</v>
      </c>
      <c r="BF48" s="39">
        <f t="shared" si="63"/>
        <v>0</v>
      </c>
      <c r="BG48" s="39">
        <f t="shared" si="63"/>
        <v>0</v>
      </c>
      <c r="BH48" s="39">
        <f t="shared" si="63"/>
        <v>0</v>
      </c>
      <c r="BI48" s="39">
        <f t="shared" si="63"/>
        <v>0</v>
      </c>
      <c r="BJ48" s="39">
        <f t="shared" si="63"/>
        <v>0</v>
      </c>
      <c r="BK48" s="39">
        <f t="shared" si="63"/>
        <v>0</v>
      </c>
      <c r="BL48" s="39">
        <f t="shared" si="63"/>
        <v>0</v>
      </c>
      <c r="BM48" s="39">
        <f t="shared" si="63"/>
        <v>0</v>
      </c>
      <c r="BN48" s="39">
        <f t="shared" si="63"/>
        <v>0</v>
      </c>
      <c r="BO48" s="39">
        <f t="shared" ref="BO48:DZ48" si="64">(($B$31+1)*BO16)/(BO16+$B$31*((1-$B$32)+$B$32*($B48/$B$33)))*BO$27</f>
        <v>0</v>
      </c>
      <c r="BP48" s="39">
        <f t="shared" si="64"/>
        <v>0</v>
      </c>
      <c r="BQ48" s="39">
        <f t="shared" si="64"/>
        <v>0</v>
      </c>
      <c r="BR48" s="39">
        <f t="shared" si="64"/>
        <v>0</v>
      </c>
      <c r="BS48" s="39">
        <f t="shared" si="64"/>
        <v>3.0957187656932001</v>
      </c>
      <c r="BT48" s="39">
        <f t="shared" si="64"/>
        <v>0</v>
      </c>
      <c r="BU48" s="39">
        <f t="shared" si="64"/>
        <v>0</v>
      </c>
      <c r="BV48" s="39">
        <f t="shared" si="64"/>
        <v>0</v>
      </c>
      <c r="BW48" s="39">
        <f t="shared" si="64"/>
        <v>0</v>
      </c>
      <c r="BX48" s="39">
        <f t="shared" si="64"/>
        <v>0</v>
      </c>
      <c r="BY48" s="39">
        <f t="shared" si="64"/>
        <v>0</v>
      </c>
      <c r="BZ48" s="39">
        <f t="shared" si="64"/>
        <v>0</v>
      </c>
      <c r="CA48" s="39">
        <f t="shared" si="64"/>
        <v>0</v>
      </c>
      <c r="CB48" s="39">
        <f t="shared" si="64"/>
        <v>0</v>
      </c>
      <c r="CC48" s="39">
        <f t="shared" si="64"/>
        <v>0</v>
      </c>
      <c r="CD48" s="39">
        <f t="shared" si="64"/>
        <v>0</v>
      </c>
      <c r="CE48" s="39">
        <f t="shared" si="64"/>
        <v>0</v>
      </c>
      <c r="CF48" s="39">
        <f t="shared" si="64"/>
        <v>0</v>
      </c>
      <c r="CG48" s="39">
        <f t="shared" si="64"/>
        <v>0</v>
      </c>
      <c r="CH48" s="39">
        <f t="shared" si="64"/>
        <v>0</v>
      </c>
      <c r="CI48" s="39">
        <f t="shared" si="64"/>
        <v>0</v>
      </c>
      <c r="CJ48" s="39">
        <f t="shared" si="64"/>
        <v>0</v>
      </c>
      <c r="CK48" s="39">
        <f t="shared" si="64"/>
        <v>0</v>
      </c>
      <c r="CL48" s="39">
        <f t="shared" si="64"/>
        <v>0</v>
      </c>
      <c r="CM48" s="39">
        <f t="shared" si="64"/>
        <v>0</v>
      </c>
      <c r="CN48" s="39">
        <f t="shared" si="64"/>
        <v>0</v>
      </c>
      <c r="CO48" s="39">
        <f t="shared" si="64"/>
        <v>0</v>
      </c>
      <c r="CP48" s="39">
        <f t="shared" si="64"/>
        <v>0</v>
      </c>
      <c r="CQ48" s="39">
        <f t="shared" si="64"/>
        <v>0</v>
      </c>
      <c r="CR48" s="39">
        <f t="shared" si="64"/>
        <v>1.7073271362508888</v>
      </c>
      <c r="CS48" s="39">
        <f t="shared" si="64"/>
        <v>0</v>
      </c>
      <c r="CT48" s="39">
        <f t="shared" si="64"/>
        <v>0</v>
      </c>
      <c r="CU48" s="39">
        <f t="shared" si="64"/>
        <v>0</v>
      </c>
      <c r="CV48" s="39">
        <f t="shared" si="64"/>
        <v>0</v>
      </c>
      <c r="CW48" s="39">
        <f t="shared" si="64"/>
        <v>0</v>
      </c>
      <c r="CX48" s="39">
        <f t="shared" si="64"/>
        <v>0</v>
      </c>
      <c r="CY48" s="39">
        <f t="shared" si="64"/>
        <v>0</v>
      </c>
      <c r="CZ48" s="39">
        <f t="shared" si="64"/>
        <v>0</v>
      </c>
      <c r="DA48" s="39">
        <f t="shared" si="64"/>
        <v>0</v>
      </c>
      <c r="DB48" s="39">
        <f t="shared" si="64"/>
        <v>0</v>
      </c>
      <c r="DC48" s="39">
        <f t="shared" si="64"/>
        <v>0</v>
      </c>
      <c r="DD48" s="39">
        <f t="shared" si="64"/>
        <v>0</v>
      </c>
      <c r="DE48" s="39">
        <f t="shared" si="64"/>
        <v>0</v>
      </c>
      <c r="DF48" s="39">
        <f t="shared" si="64"/>
        <v>0</v>
      </c>
      <c r="DG48" s="39">
        <f t="shared" si="64"/>
        <v>0</v>
      </c>
      <c r="DH48" s="39">
        <f t="shared" si="64"/>
        <v>0</v>
      </c>
      <c r="DI48" s="39">
        <f t="shared" si="64"/>
        <v>0</v>
      </c>
      <c r="DJ48" s="39">
        <f t="shared" si="64"/>
        <v>0</v>
      </c>
      <c r="DK48" s="39">
        <f t="shared" si="64"/>
        <v>0</v>
      </c>
      <c r="DL48" s="39">
        <f t="shared" si="64"/>
        <v>0</v>
      </c>
      <c r="DM48" s="39">
        <f t="shared" si="64"/>
        <v>0</v>
      </c>
      <c r="DN48" s="39">
        <f t="shared" si="64"/>
        <v>0</v>
      </c>
      <c r="DO48" s="39">
        <f t="shared" si="64"/>
        <v>0</v>
      </c>
      <c r="DP48" s="39">
        <f t="shared" si="64"/>
        <v>0</v>
      </c>
      <c r="DQ48" s="39">
        <f t="shared" si="64"/>
        <v>0</v>
      </c>
      <c r="DR48" s="39">
        <f t="shared" si="64"/>
        <v>0</v>
      </c>
      <c r="DS48" s="39">
        <f t="shared" si="64"/>
        <v>0</v>
      </c>
      <c r="DT48" s="39">
        <f t="shared" si="64"/>
        <v>0</v>
      </c>
      <c r="DU48" s="39">
        <f t="shared" si="64"/>
        <v>0</v>
      </c>
      <c r="DV48" s="39">
        <f t="shared" si="64"/>
        <v>0</v>
      </c>
      <c r="DW48" s="39">
        <f t="shared" si="64"/>
        <v>0</v>
      </c>
      <c r="DX48" s="39">
        <f t="shared" si="64"/>
        <v>0</v>
      </c>
      <c r="DY48" s="39">
        <f t="shared" si="64"/>
        <v>0</v>
      </c>
      <c r="DZ48" s="39">
        <f t="shared" si="64"/>
        <v>0</v>
      </c>
      <c r="EA48" s="39">
        <f t="shared" ref="EA48:GL48" si="65">(($B$31+1)*EA16)/(EA16+$B$31*((1-$B$32)+$B$32*($B48/$B$33)))*EA$27</f>
        <v>0</v>
      </c>
      <c r="EB48" s="39">
        <f t="shared" si="65"/>
        <v>0</v>
      </c>
      <c r="EC48" s="39">
        <f t="shared" si="65"/>
        <v>0</v>
      </c>
      <c r="ED48" s="39">
        <f t="shared" si="65"/>
        <v>0</v>
      </c>
      <c r="EE48" s="39">
        <f t="shared" si="65"/>
        <v>0</v>
      </c>
      <c r="EF48" s="39">
        <f t="shared" si="65"/>
        <v>0</v>
      </c>
      <c r="EG48" s="39">
        <f t="shared" si="65"/>
        <v>0</v>
      </c>
      <c r="EH48" s="39">
        <f t="shared" si="65"/>
        <v>0</v>
      </c>
      <c r="EI48" s="39">
        <f t="shared" si="65"/>
        <v>1.7073271362508888</v>
      </c>
      <c r="EJ48" s="39">
        <f t="shared" si="65"/>
        <v>0</v>
      </c>
      <c r="EK48" s="39">
        <f t="shared" si="65"/>
        <v>3.0957187656932001</v>
      </c>
      <c r="EL48" s="39">
        <f t="shared" si="65"/>
        <v>0.69419581472115555</v>
      </c>
      <c r="EM48" s="39">
        <f t="shared" si="65"/>
        <v>0</v>
      </c>
      <c r="EN48" s="39">
        <f t="shared" si="65"/>
        <v>0</v>
      </c>
      <c r="EO48" s="39">
        <f t="shared" si="65"/>
        <v>0</v>
      </c>
      <c r="EP48" s="39">
        <f t="shared" si="65"/>
        <v>0</v>
      </c>
      <c r="EQ48" s="39">
        <f t="shared" si="65"/>
        <v>0</v>
      </c>
      <c r="ER48" s="39">
        <f t="shared" si="65"/>
        <v>0</v>
      </c>
      <c r="ES48" s="39">
        <f t="shared" si="65"/>
        <v>0</v>
      </c>
      <c r="ET48" s="39">
        <f t="shared" si="65"/>
        <v>0</v>
      </c>
      <c r="EU48" s="39">
        <f t="shared" si="65"/>
        <v>0</v>
      </c>
      <c r="EV48" s="39">
        <f t="shared" si="65"/>
        <v>0</v>
      </c>
      <c r="EW48" s="39">
        <f t="shared" si="65"/>
        <v>0</v>
      </c>
      <c r="EX48" s="39">
        <f t="shared" si="65"/>
        <v>0</v>
      </c>
      <c r="EY48" s="39">
        <f t="shared" si="65"/>
        <v>0</v>
      </c>
      <c r="EZ48" s="39">
        <f t="shared" si="65"/>
        <v>0</v>
      </c>
      <c r="FA48" s="39">
        <f t="shared" si="65"/>
        <v>0</v>
      </c>
      <c r="FB48" s="39">
        <f t="shared" si="65"/>
        <v>0</v>
      </c>
      <c r="FC48" s="39">
        <f t="shared" si="65"/>
        <v>0</v>
      </c>
      <c r="FD48" s="39">
        <f t="shared" si="65"/>
        <v>0</v>
      </c>
      <c r="FE48" s="39">
        <f t="shared" si="65"/>
        <v>0</v>
      </c>
      <c r="FF48" s="39">
        <f t="shared" si="65"/>
        <v>0</v>
      </c>
      <c r="FG48" s="39">
        <f t="shared" si="65"/>
        <v>0</v>
      </c>
      <c r="FH48" s="39">
        <f t="shared" si="65"/>
        <v>0</v>
      </c>
      <c r="FI48" s="39">
        <f t="shared" si="65"/>
        <v>0</v>
      </c>
      <c r="FJ48" s="39">
        <f t="shared" si="65"/>
        <v>0</v>
      </c>
      <c r="FK48" s="39">
        <f t="shared" si="65"/>
        <v>0</v>
      </c>
      <c r="FL48" s="39">
        <f t="shared" si="65"/>
        <v>0</v>
      </c>
      <c r="FM48" s="39">
        <f t="shared" si="65"/>
        <v>0</v>
      </c>
      <c r="FN48" s="39">
        <f t="shared" si="65"/>
        <v>0</v>
      </c>
      <c r="FO48" s="39">
        <f t="shared" si="65"/>
        <v>0</v>
      </c>
      <c r="FP48" s="39">
        <f t="shared" si="65"/>
        <v>0</v>
      </c>
      <c r="FQ48" s="39">
        <f t="shared" si="65"/>
        <v>0</v>
      </c>
      <c r="FR48" s="39">
        <f t="shared" si="65"/>
        <v>0</v>
      </c>
      <c r="FS48" s="39">
        <f t="shared" si="65"/>
        <v>0</v>
      </c>
      <c r="FT48" s="39">
        <f t="shared" si="65"/>
        <v>0</v>
      </c>
      <c r="FU48" s="39">
        <f t="shared" si="65"/>
        <v>0</v>
      </c>
      <c r="FV48" s="39">
        <f t="shared" si="65"/>
        <v>1.9954444312025967</v>
      </c>
      <c r="FW48" s="39">
        <f t="shared" si="65"/>
        <v>0</v>
      </c>
      <c r="FX48" s="39">
        <f t="shared" si="65"/>
        <v>0</v>
      </c>
      <c r="FY48" s="39">
        <f t="shared" si="65"/>
        <v>0</v>
      </c>
      <c r="FZ48" s="39">
        <f t="shared" si="65"/>
        <v>0</v>
      </c>
      <c r="GA48" s="39">
        <f t="shared" si="65"/>
        <v>0</v>
      </c>
      <c r="GB48" s="39">
        <f t="shared" si="65"/>
        <v>0</v>
      </c>
      <c r="GC48" s="39">
        <f t="shared" si="65"/>
        <v>0</v>
      </c>
      <c r="GD48" s="39">
        <f t="shared" si="65"/>
        <v>3.0957187656932001</v>
      </c>
      <c r="GE48" s="39">
        <f t="shared" si="65"/>
        <v>0</v>
      </c>
      <c r="GF48" s="39">
        <f t="shared" si="65"/>
        <v>0</v>
      </c>
      <c r="GG48" s="39">
        <f t="shared" si="65"/>
        <v>0</v>
      </c>
      <c r="GH48" s="39">
        <f t="shared" si="65"/>
        <v>0</v>
      </c>
      <c r="GI48" s="39">
        <f t="shared" si="65"/>
        <v>0</v>
      </c>
      <c r="GJ48" s="39">
        <f t="shared" si="65"/>
        <v>0</v>
      </c>
      <c r="GK48" s="39">
        <f t="shared" si="65"/>
        <v>0</v>
      </c>
      <c r="GL48" s="39">
        <f t="shared" si="65"/>
        <v>0</v>
      </c>
      <c r="GM48" s="39">
        <f t="shared" ref="GM48:IG48" si="66">(($B$31+1)*GM16)/(GM16+$B$31*((1-$B$32)+$B$32*($B48/$B$33)))*GM$27</f>
        <v>0</v>
      </c>
      <c r="GN48" s="39">
        <f t="shared" si="66"/>
        <v>0</v>
      </c>
      <c r="GO48" s="39">
        <f t="shared" si="66"/>
        <v>3.0957187656932001</v>
      </c>
      <c r="GP48" s="39">
        <f t="shared" si="66"/>
        <v>0</v>
      </c>
      <c r="GQ48" s="39">
        <f t="shared" si="66"/>
        <v>0</v>
      </c>
      <c r="GR48" s="39">
        <f t="shared" si="66"/>
        <v>0</v>
      </c>
      <c r="GS48" s="39">
        <f t="shared" si="66"/>
        <v>0</v>
      </c>
      <c r="GT48" s="39">
        <f t="shared" si="66"/>
        <v>0</v>
      </c>
      <c r="GU48" s="39">
        <f t="shared" si="66"/>
        <v>0</v>
      </c>
      <c r="GV48" s="39">
        <f t="shared" si="66"/>
        <v>0</v>
      </c>
      <c r="GW48" s="39">
        <f t="shared" si="66"/>
        <v>0</v>
      </c>
      <c r="GX48" s="39">
        <f t="shared" si="66"/>
        <v>0</v>
      </c>
      <c r="GY48" s="39">
        <f t="shared" si="66"/>
        <v>0</v>
      </c>
      <c r="GZ48" s="39">
        <f t="shared" si="66"/>
        <v>0</v>
      </c>
      <c r="HA48" s="39">
        <f t="shared" si="66"/>
        <v>0</v>
      </c>
      <c r="HB48" s="39">
        <f t="shared" si="66"/>
        <v>0</v>
      </c>
      <c r="HC48" s="39">
        <f t="shared" si="66"/>
        <v>0</v>
      </c>
      <c r="HD48" s="39">
        <f t="shared" si="66"/>
        <v>0</v>
      </c>
      <c r="HE48" s="39">
        <f t="shared" si="66"/>
        <v>0</v>
      </c>
      <c r="HF48" s="39">
        <f t="shared" si="66"/>
        <v>0</v>
      </c>
      <c r="HG48" s="39">
        <f t="shared" si="66"/>
        <v>0</v>
      </c>
      <c r="HH48" s="39">
        <f t="shared" si="66"/>
        <v>0</v>
      </c>
      <c r="HI48" s="39">
        <f t="shared" si="66"/>
        <v>3.0957187656932001</v>
      </c>
      <c r="HJ48" s="39">
        <f t="shared" si="66"/>
        <v>0</v>
      </c>
      <c r="HK48" s="39">
        <f t="shared" si="66"/>
        <v>0</v>
      </c>
      <c r="HL48" s="39">
        <f t="shared" si="66"/>
        <v>0</v>
      </c>
      <c r="HM48" s="39">
        <f t="shared" si="66"/>
        <v>0</v>
      </c>
      <c r="HN48" s="39">
        <f t="shared" si="66"/>
        <v>0</v>
      </c>
      <c r="HO48" s="39">
        <f t="shared" si="66"/>
        <v>0</v>
      </c>
      <c r="HP48" s="39">
        <f t="shared" si="66"/>
        <v>0</v>
      </c>
      <c r="HQ48" s="39">
        <f t="shared" si="66"/>
        <v>3.0957187656932001</v>
      </c>
      <c r="HR48" s="39">
        <f t="shared" si="66"/>
        <v>0</v>
      </c>
      <c r="HS48" s="39">
        <f t="shared" si="66"/>
        <v>0</v>
      </c>
      <c r="HT48" s="39">
        <f t="shared" si="66"/>
        <v>0</v>
      </c>
      <c r="HU48" s="39">
        <f t="shared" si="66"/>
        <v>0</v>
      </c>
      <c r="HV48" s="39">
        <f t="shared" si="66"/>
        <v>0</v>
      </c>
      <c r="HW48" s="39">
        <f t="shared" si="66"/>
        <v>0</v>
      </c>
      <c r="HX48" s="39">
        <f t="shared" si="66"/>
        <v>0</v>
      </c>
      <c r="HY48" s="39">
        <f t="shared" si="66"/>
        <v>0</v>
      </c>
      <c r="HZ48" s="39">
        <f t="shared" si="66"/>
        <v>0</v>
      </c>
      <c r="IA48" s="39">
        <f t="shared" si="66"/>
        <v>0</v>
      </c>
      <c r="IB48" s="39">
        <f t="shared" si="66"/>
        <v>0</v>
      </c>
      <c r="IC48" s="39">
        <f t="shared" si="66"/>
        <v>0</v>
      </c>
      <c r="ID48" s="39">
        <f t="shared" si="66"/>
        <v>0</v>
      </c>
      <c r="IE48" s="39">
        <f t="shared" si="66"/>
        <v>0</v>
      </c>
      <c r="IF48" s="39">
        <f t="shared" si="66"/>
        <v>0</v>
      </c>
      <c r="IG48" s="39">
        <f t="shared" si="66"/>
        <v>3.0957187656932001</v>
      </c>
      <c r="IH48" s="43">
        <v>0.25072837479991178</v>
      </c>
      <c r="II48" s="43">
        <v>0.26073159859657813</v>
      </c>
    </row>
    <row r="49" spans="1:243" x14ac:dyDescent="0.3">
      <c r="A49" s="34" t="s">
        <v>50</v>
      </c>
      <c r="B49" s="38">
        <f t="shared" si="14"/>
        <v>9</v>
      </c>
      <c r="C49" s="39">
        <f t="shared" ref="C49:BN49" si="67">(($B$31+1)*C17)/(C17+$B$31*((1-$B$32)+$B$32*($B49/$B$33)))*C$27</f>
        <v>0</v>
      </c>
      <c r="D49" s="39">
        <f t="shared" si="67"/>
        <v>0</v>
      </c>
      <c r="E49" s="39">
        <f t="shared" si="67"/>
        <v>0</v>
      </c>
      <c r="F49" s="39">
        <f t="shared" si="67"/>
        <v>0</v>
      </c>
      <c r="G49" s="39">
        <f t="shared" si="67"/>
        <v>0</v>
      </c>
      <c r="H49" s="39">
        <f t="shared" si="67"/>
        <v>0</v>
      </c>
      <c r="I49" s="39">
        <f t="shared" si="67"/>
        <v>0</v>
      </c>
      <c r="J49" s="39">
        <f t="shared" si="67"/>
        <v>0</v>
      </c>
      <c r="K49" s="39">
        <f t="shared" si="67"/>
        <v>0</v>
      </c>
      <c r="L49" s="39">
        <f t="shared" si="67"/>
        <v>0</v>
      </c>
      <c r="M49" s="39">
        <f t="shared" si="67"/>
        <v>0</v>
      </c>
      <c r="N49" s="39">
        <f t="shared" si="67"/>
        <v>0</v>
      </c>
      <c r="O49" s="39">
        <f t="shared" si="67"/>
        <v>0</v>
      </c>
      <c r="P49" s="39">
        <f t="shared" si="67"/>
        <v>0</v>
      </c>
      <c r="Q49" s="39">
        <f t="shared" si="67"/>
        <v>0</v>
      </c>
      <c r="R49" s="39">
        <f t="shared" si="67"/>
        <v>0</v>
      </c>
      <c r="S49" s="39">
        <f t="shared" si="67"/>
        <v>0</v>
      </c>
      <c r="T49" s="39">
        <f t="shared" si="67"/>
        <v>0</v>
      </c>
      <c r="U49" s="39">
        <f t="shared" si="67"/>
        <v>0</v>
      </c>
      <c r="V49" s="39">
        <f t="shared" si="67"/>
        <v>0</v>
      </c>
      <c r="W49" s="39">
        <f t="shared" si="67"/>
        <v>0</v>
      </c>
      <c r="X49" s="39">
        <f t="shared" si="67"/>
        <v>0</v>
      </c>
      <c r="Y49" s="39">
        <f t="shared" si="67"/>
        <v>0</v>
      </c>
      <c r="Z49" s="39">
        <f t="shared" si="67"/>
        <v>0</v>
      </c>
      <c r="AA49" s="39">
        <f t="shared" si="67"/>
        <v>0</v>
      </c>
      <c r="AB49" s="39">
        <f t="shared" si="67"/>
        <v>2.4933625123344361</v>
      </c>
      <c r="AC49" s="39">
        <f t="shared" si="67"/>
        <v>0</v>
      </c>
      <c r="AD49" s="39">
        <f t="shared" si="67"/>
        <v>0</v>
      </c>
      <c r="AE49" s="39">
        <f t="shared" si="67"/>
        <v>0</v>
      </c>
      <c r="AF49" s="39">
        <f t="shared" si="67"/>
        <v>0</v>
      </c>
      <c r="AG49" s="39">
        <f t="shared" si="67"/>
        <v>0</v>
      </c>
      <c r="AH49" s="39">
        <f t="shared" si="67"/>
        <v>0</v>
      </c>
      <c r="AI49" s="39">
        <f t="shared" si="67"/>
        <v>0</v>
      </c>
      <c r="AJ49" s="39">
        <f t="shared" si="67"/>
        <v>0</v>
      </c>
      <c r="AK49" s="39">
        <f t="shared" si="67"/>
        <v>0</v>
      </c>
      <c r="AL49" s="39">
        <f t="shared" si="67"/>
        <v>0</v>
      </c>
      <c r="AM49" s="39">
        <f t="shared" si="67"/>
        <v>0</v>
      </c>
      <c r="AN49" s="39">
        <f t="shared" si="67"/>
        <v>0</v>
      </c>
      <c r="AO49" s="39">
        <f t="shared" si="67"/>
        <v>0</v>
      </c>
      <c r="AP49" s="39">
        <f t="shared" si="67"/>
        <v>0</v>
      </c>
      <c r="AQ49" s="39">
        <f t="shared" si="67"/>
        <v>0</v>
      </c>
      <c r="AR49" s="39">
        <f t="shared" si="67"/>
        <v>0</v>
      </c>
      <c r="AS49" s="39">
        <f t="shared" si="67"/>
        <v>0</v>
      </c>
      <c r="AT49" s="39">
        <f t="shared" si="67"/>
        <v>0</v>
      </c>
      <c r="AU49" s="39">
        <f t="shared" si="67"/>
        <v>0</v>
      </c>
      <c r="AV49" s="39">
        <f t="shared" si="67"/>
        <v>0</v>
      </c>
      <c r="AW49" s="39">
        <f t="shared" si="67"/>
        <v>0</v>
      </c>
      <c r="AX49" s="39">
        <f t="shared" si="67"/>
        <v>0</v>
      </c>
      <c r="AY49" s="39">
        <f t="shared" si="67"/>
        <v>0</v>
      </c>
      <c r="AZ49" s="39">
        <f t="shared" si="67"/>
        <v>0</v>
      </c>
      <c r="BA49" s="39">
        <f t="shared" si="67"/>
        <v>0</v>
      </c>
      <c r="BB49" s="39">
        <f t="shared" si="67"/>
        <v>0</v>
      </c>
      <c r="BC49" s="39">
        <f t="shared" si="67"/>
        <v>0</v>
      </c>
      <c r="BD49" s="39">
        <f t="shared" si="67"/>
        <v>0</v>
      </c>
      <c r="BE49" s="39">
        <f t="shared" si="67"/>
        <v>0</v>
      </c>
      <c r="BF49" s="39">
        <f t="shared" si="67"/>
        <v>0</v>
      </c>
      <c r="BG49" s="39">
        <f t="shared" si="67"/>
        <v>0</v>
      </c>
      <c r="BH49" s="39">
        <f t="shared" si="67"/>
        <v>0</v>
      </c>
      <c r="BI49" s="39">
        <f t="shared" si="67"/>
        <v>0</v>
      </c>
      <c r="BJ49" s="39">
        <f t="shared" si="67"/>
        <v>0</v>
      </c>
      <c r="BK49" s="39">
        <f t="shared" si="67"/>
        <v>0</v>
      </c>
      <c r="BL49" s="39">
        <f t="shared" si="67"/>
        <v>0</v>
      </c>
      <c r="BM49" s="39">
        <f t="shared" si="67"/>
        <v>0</v>
      </c>
      <c r="BN49" s="39">
        <f t="shared" si="67"/>
        <v>0</v>
      </c>
      <c r="BO49" s="39">
        <f t="shared" ref="BO49:DZ49" si="68">(($B$31+1)*BO17)/(BO17+$B$31*((1-$B$32)+$B$32*($B49/$B$33)))*BO$27</f>
        <v>0</v>
      </c>
      <c r="BP49" s="39">
        <f t="shared" si="68"/>
        <v>0</v>
      </c>
      <c r="BQ49" s="39">
        <f t="shared" si="68"/>
        <v>0</v>
      </c>
      <c r="BR49" s="39">
        <f t="shared" si="68"/>
        <v>0</v>
      </c>
      <c r="BS49" s="39">
        <f t="shared" si="68"/>
        <v>0</v>
      </c>
      <c r="BT49" s="39">
        <f t="shared" si="68"/>
        <v>0</v>
      </c>
      <c r="BU49" s="39">
        <f t="shared" si="68"/>
        <v>0</v>
      </c>
      <c r="BV49" s="39">
        <f t="shared" si="68"/>
        <v>0</v>
      </c>
      <c r="BW49" s="39">
        <f t="shared" si="68"/>
        <v>0</v>
      </c>
      <c r="BX49" s="39">
        <f t="shared" si="68"/>
        <v>0</v>
      </c>
      <c r="BY49" s="39">
        <f t="shared" si="68"/>
        <v>0</v>
      </c>
      <c r="BZ49" s="39">
        <f t="shared" si="68"/>
        <v>0</v>
      </c>
      <c r="CA49" s="39">
        <f t="shared" si="68"/>
        <v>0</v>
      </c>
      <c r="CB49" s="39">
        <f t="shared" si="68"/>
        <v>0</v>
      </c>
      <c r="CC49" s="39">
        <f t="shared" si="68"/>
        <v>3.8681854520287438</v>
      </c>
      <c r="CD49" s="39">
        <f t="shared" si="68"/>
        <v>3.8681854520287438</v>
      </c>
      <c r="CE49" s="39">
        <f t="shared" si="68"/>
        <v>0</v>
      </c>
      <c r="CF49" s="39">
        <f t="shared" si="68"/>
        <v>0</v>
      </c>
      <c r="CG49" s="39">
        <f t="shared" si="68"/>
        <v>0</v>
      </c>
      <c r="CH49" s="39">
        <f t="shared" si="68"/>
        <v>0</v>
      </c>
      <c r="CI49" s="39">
        <f t="shared" si="68"/>
        <v>0</v>
      </c>
      <c r="CJ49" s="39">
        <f t="shared" si="68"/>
        <v>0</v>
      </c>
      <c r="CK49" s="39">
        <f t="shared" si="68"/>
        <v>0</v>
      </c>
      <c r="CL49" s="39">
        <f t="shared" si="68"/>
        <v>0</v>
      </c>
      <c r="CM49" s="39">
        <f t="shared" si="68"/>
        <v>0</v>
      </c>
      <c r="CN49" s="39">
        <f t="shared" si="68"/>
        <v>0</v>
      </c>
      <c r="CO49" s="39">
        <f t="shared" si="68"/>
        <v>0</v>
      </c>
      <c r="CP49" s="39">
        <f t="shared" si="68"/>
        <v>0</v>
      </c>
      <c r="CQ49" s="39">
        <f t="shared" si="68"/>
        <v>0</v>
      </c>
      <c r="CR49" s="39">
        <f t="shared" si="68"/>
        <v>0</v>
      </c>
      <c r="CS49" s="39">
        <f t="shared" si="68"/>
        <v>0</v>
      </c>
      <c r="CT49" s="39">
        <f t="shared" si="68"/>
        <v>0</v>
      </c>
      <c r="CU49" s="39">
        <f t="shared" si="68"/>
        <v>0</v>
      </c>
      <c r="CV49" s="39">
        <f t="shared" si="68"/>
        <v>0</v>
      </c>
      <c r="CW49" s="39">
        <f t="shared" si="68"/>
        <v>0</v>
      </c>
      <c r="CX49" s="39">
        <f t="shared" si="68"/>
        <v>0</v>
      </c>
      <c r="CY49" s="39">
        <f t="shared" si="68"/>
        <v>0</v>
      </c>
      <c r="CZ49" s="39">
        <f t="shared" si="68"/>
        <v>0</v>
      </c>
      <c r="DA49" s="39">
        <f t="shared" si="68"/>
        <v>0</v>
      </c>
      <c r="DB49" s="39">
        <f t="shared" si="68"/>
        <v>0</v>
      </c>
      <c r="DC49" s="39">
        <f t="shared" si="68"/>
        <v>0</v>
      </c>
      <c r="DD49" s="39">
        <f t="shared" si="68"/>
        <v>0</v>
      </c>
      <c r="DE49" s="39">
        <f t="shared" si="68"/>
        <v>0</v>
      </c>
      <c r="DF49" s="39">
        <f t="shared" si="68"/>
        <v>3.8681854520287438</v>
      </c>
      <c r="DG49" s="39">
        <f t="shared" si="68"/>
        <v>0</v>
      </c>
      <c r="DH49" s="39">
        <f t="shared" si="68"/>
        <v>0</v>
      </c>
      <c r="DI49" s="39">
        <f t="shared" si="68"/>
        <v>0</v>
      </c>
      <c r="DJ49" s="39">
        <f t="shared" si="68"/>
        <v>0</v>
      </c>
      <c r="DK49" s="39">
        <f t="shared" si="68"/>
        <v>0</v>
      </c>
      <c r="DL49" s="39">
        <f t="shared" si="68"/>
        <v>0</v>
      </c>
      <c r="DM49" s="39">
        <f t="shared" si="68"/>
        <v>0</v>
      </c>
      <c r="DN49" s="39">
        <f t="shared" si="68"/>
        <v>0</v>
      </c>
      <c r="DO49" s="39">
        <f t="shared" si="68"/>
        <v>0</v>
      </c>
      <c r="DP49" s="39">
        <f t="shared" si="68"/>
        <v>0</v>
      </c>
      <c r="DQ49" s="39">
        <f t="shared" si="68"/>
        <v>2.4933625123344361</v>
      </c>
      <c r="DR49" s="39">
        <f t="shared" si="68"/>
        <v>0</v>
      </c>
      <c r="DS49" s="39">
        <f t="shared" si="68"/>
        <v>3.8681854520287438</v>
      </c>
      <c r="DT49" s="39">
        <f t="shared" si="68"/>
        <v>0</v>
      </c>
      <c r="DU49" s="39">
        <f t="shared" si="68"/>
        <v>0</v>
      </c>
      <c r="DV49" s="39">
        <f t="shared" si="68"/>
        <v>0</v>
      </c>
      <c r="DW49" s="39">
        <f t="shared" si="68"/>
        <v>0</v>
      </c>
      <c r="DX49" s="39">
        <f t="shared" si="68"/>
        <v>0</v>
      </c>
      <c r="DY49" s="39">
        <f t="shared" si="68"/>
        <v>0</v>
      </c>
      <c r="DZ49" s="39">
        <f t="shared" si="68"/>
        <v>0</v>
      </c>
      <c r="EA49" s="39">
        <f t="shared" ref="EA49:GL49" si="69">(($B$31+1)*EA17)/(EA17+$B$31*((1-$B$32)+$B$32*($B49/$B$33)))*EA$27</f>
        <v>3.8681854520287438</v>
      </c>
      <c r="EB49" s="39">
        <f t="shared" si="69"/>
        <v>0</v>
      </c>
      <c r="EC49" s="39">
        <f t="shared" si="69"/>
        <v>0</v>
      </c>
      <c r="ED49" s="39">
        <f t="shared" si="69"/>
        <v>0</v>
      </c>
      <c r="EE49" s="39">
        <f t="shared" si="69"/>
        <v>0</v>
      </c>
      <c r="EF49" s="39">
        <f t="shared" si="69"/>
        <v>0</v>
      </c>
      <c r="EG49" s="39">
        <f t="shared" si="69"/>
        <v>0</v>
      </c>
      <c r="EH49" s="39">
        <f t="shared" si="69"/>
        <v>0</v>
      </c>
      <c r="EI49" s="39">
        <f t="shared" si="69"/>
        <v>0</v>
      </c>
      <c r="EJ49" s="39">
        <f t="shared" si="69"/>
        <v>0</v>
      </c>
      <c r="EK49" s="39">
        <f t="shared" si="69"/>
        <v>0</v>
      </c>
      <c r="EL49" s="39">
        <f t="shared" si="69"/>
        <v>0.86741669854571612</v>
      </c>
      <c r="EM49" s="39">
        <f t="shared" si="69"/>
        <v>0</v>
      </c>
      <c r="EN49" s="39">
        <f t="shared" si="69"/>
        <v>0</v>
      </c>
      <c r="EO49" s="39">
        <f t="shared" si="69"/>
        <v>0</v>
      </c>
      <c r="EP49" s="39">
        <f t="shared" si="69"/>
        <v>0</v>
      </c>
      <c r="EQ49" s="39">
        <f t="shared" si="69"/>
        <v>0</v>
      </c>
      <c r="ER49" s="39">
        <f t="shared" si="69"/>
        <v>0</v>
      </c>
      <c r="ES49" s="39">
        <f t="shared" si="69"/>
        <v>0</v>
      </c>
      <c r="ET49" s="39">
        <f t="shared" si="69"/>
        <v>0</v>
      </c>
      <c r="EU49" s="39">
        <f t="shared" si="69"/>
        <v>0</v>
      </c>
      <c r="EV49" s="39">
        <f t="shared" si="69"/>
        <v>0</v>
      </c>
      <c r="EW49" s="39">
        <f t="shared" si="69"/>
        <v>0</v>
      </c>
      <c r="EX49" s="39">
        <f t="shared" si="69"/>
        <v>0</v>
      </c>
      <c r="EY49" s="39">
        <f t="shared" si="69"/>
        <v>0</v>
      </c>
      <c r="EZ49" s="39">
        <f t="shared" si="69"/>
        <v>0</v>
      </c>
      <c r="FA49" s="39">
        <f t="shared" si="69"/>
        <v>0</v>
      </c>
      <c r="FB49" s="39">
        <f t="shared" si="69"/>
        <v>0</v>
      </c>
      <c r="FC49" s="39">
        <f t="shared" si="69"/>
        <v>0</v>
      </c>
      <c r="FD49" s="39">
        <f t="shared" si="69"/>
        <v>0</v>
      </c>
      <c r="FE49" s="39">
        <f t="shared" si="69"/>
        <v>0</v>
      </c>
      <c r="FF49" s="39">
        <f t="shared" si="69"/>
        <v>0</v>
      </c>
      <c r="FG49" s="39">
        <f t="shared" si="69"/>
        <v>0</v>
      </c>
      <c r="FH49" s="39">
        <f t="shared" si="69"/>
        <v>0</v>
      </c>
      <c r="FI49" s="39">
        <f t="shared" si="69"/>
        <v>0</v>
      </c>
      <c r="FJ49" s="39">
        <f t="shared" si="69"/>
        <v>0</v>
      </c>
      <c r="FK49" s="39">
        <f t="shared" si="69"/>
        <v>0</v>
      </c>
      <c r="FL49" s="39">
        <f t="shared" si="69"/>
        <v>0</v>
      </c>
      <c r="FM49" s="39">
        <f t="shared" si="69"/>
        <v>0</v>
      </c>
      <c r="FN49" s="39">
        <f t="shared" si="69"/>
        <v>0</v>
      </c>
      <c r="FO49" s="39">
        <f t="shared" si="69"/>
        <v>0</v>
      </c>
      <c r="FP49" s="39">
        <f t="shared" si="69"/>
        <v>0</v>
      </c>
      <c r="FQ49" s="39">
        <f t="shared" si="69"/>
        <v>0</v>
      </c>
      <c r="FR49" s="39">
        <f t="shared" si="69"/>
        <v>0</v>
      </c>
      <c r="FS49" s="39">
        <f t="shared" si="69"/>
        <v>0</v>
      </c>
      <c r="FT49" s="39">
        <f t="shared" si="69"/>
        <v>0</v>
      </c>
      <c r="FU49" s="39">
        <f t="shared" si="69"/>
        <v>0</v>
      </c>
      <c r="FV49" s="39">
        <f t="shared" si="69"/>
        <v>0</v>
      </c>
      <c r="FW49" s="39">
        <f t="shared" si="69"/>
        <v>0</v>
      </c>
      <c r="FX49" s="39">
        <f t="shared" si="69"/>
        <v>0</v>
      </c>
      <c r="FY49" s="39">
        <f t="shared" si="69"/>
        <v>0</v>
      </c>
      <c r="FZ49" s="39">
        <f t="shared" si="69"/>
        <v>0</v>
      </c>
      <c r="GA49" s="39">
        <f t="shared" si="69"/>
        <v>0</v>
      </c>
      <c r="GB49" s="39">
        <f t="shared" si="69"/>
        <v>0</v>
      </c>
      <c r="GC49" s="39">
        <f t="shared" si="69"/>
        <v>0</v>
      </c>
      <c r="GD49" s="39">
        <f t="shared" si="69"/>
        <v>0</v>
      </c>
      <c r="GE49" s="39">
        <f t="shared" si="69"/>
        <v>0</v>
      </c>
      <c r="GF49" s="39">
        <f t="shared" si="69"/>
        <v>0</v>
      </c>
      <c r="GG49" s="39">
        <f t="shared" si="69"/>
        <v>0</v>
      </c>
      <c r="GH49" s="39">
        <f t="shared" si="69"/>
        <v>0</v>
      </c>
      <c r="GI49" s="39">
        <f t="shared" si="69"/>
        <v>0</v>
      </c>
      <c r="GJ49" s="39">
        <f t="shared" si="69"/>
        <v>0</v>
      </c>
      <c r="GK49" s="39">
        <f t="shared" si="69"/>
        <v>0</v>
      </c>
      <c r="GL49" s="39">
        <f t="shared" si="69"/>
        <v>0</v>
      </c>
      <c r="GM49" s="39">
        <f t="shared" ref="GM49:IG49" si="70">(($B$31+1)*GM17)/(GM17+$B$31*((1-$B$32)+$B$32*($B49/$B$33)))*GM$27</f>
        <v>0</v>
      </c>
      <c r="GN49" s="39">
        <f t="shared" si="70"/>
        <v>0</v>
      </c>
      <c r="GO49" s="39">
        <f t="shared" si="70"/>
        <v>0</v>
      </c>
      <c r="GP49" s="39">
        <f t="shared" si="70"/>
        <v>0</v>
      </c>
      <c r="GQ49" s="39">
        <f t="shared" si="70"/>
        <v>0</v>
      </c>
      <c r="GR49" s="39">
        <f t="shared" si="70"/>
        <v>0</v>
      </c>
      <c r="GS49" s="39">
        <f t="shared" si="70"/>
        <v>0</v>
      </c>
      <c r="GT49" s="39">
        <f t="shared" si="70"/>
        <v>0</v>
      </c>
      <c r="GU49" s="39">
        <f t="shared" si="70"/>
        <v>0</v>
      </c>
      <c r="GV49" s="39">
        <f t="shared" si="70"/>
        <v>0</v>
      </c>
      <c r="GW49" s="39">
        <f t="shared" si="70"/>
        <v>0</v>
      </c>
      <c r="GX49" s="39">
        <f t="shared" si="70"/>
        <v>0</v>
      </c>
      <c r="GY49" s="39">
        <f t="shared" si="70"/>
        <v>0</v>
      </c>
      <c r="GZ49" s="39">
        <f t="shared" si="70"/>
        <v>0</v>
      </c>
      <c r="HA49" s="39">
        <f t="shared" si="70"/>
        <v>0</v>
      </c>
      <c r="HB49" s="39">
        <f t="shared" si="70"/>
        <v>0</v>
      </c>
      <c r="HC49" s="39">
        <f t="shared" si="70"/>
        <v>0</v>
      </c>
      <c r="HD49" s="39">
        <f t="shared" si="70"/>
        <v>0</v>
      </c>
      <c r="HE49" s="39">
        <f t="shared" si="70"/>
        <v>0</v>
      </c>
      <c r="HF49" s="39">
        <f t="shared" si="70"/>
        <v>0</v>
      </c>
      <c r="HG49" s="39">
        <f t="shared" si="70"/>
        <v>0</v>
      </c>
      <c r="HH49" s="39">
        <f t="shared" si="70"/>
        <v>0</v>
      </c>
      <c r="HI49" s="39">
        <f t="shared" si="70"/>
        <v>0</v>
      </c>
      <c r="HJ49" s="39">
        <f t="shared" si="70"/>
        <v>0</v>
      </c>
      <c r="HK49" s="39">
        <f t="shared" si="70"/>
        <v>0</v>
      </c>
      <c r="HL49" s="39">
        <f t="shared" si="70"/>
        <v>0</v>
      </c>
      <c r="HM49" s="39">
        <f t="shared" si="70"/>
        <v>0</v>
      </c>
      <c r="HN49" s="39">
        <f t="shared" si="70"/>
        <v>0</v>
      </c>
      <c r="HO49" s="39">
        <f t="shared" si="70"/>
        <v>0</v>
      </c>
      <c r="HP49" s="39">
        <f t="shared" si="70"/>
        <v>0</v>
      </c>
      <c r="HQ49" s="39">
        <f t="shared" si="70"/>
        <v>0</v>
      </c>
      <c r="HR49" s="39">
        <f t="shared" si="70"/>
        <v>0</v>
      </c>
      <c r="HS49" s="39">
        <f t="shared" si="70"/>
        <v>0</v>
      </c>
      <c r="HT49" s="39">
        <f t="shared" si="70"/>
        <v>0</v>
      </c>
      <c r="HU49" s="39">
        <f t="shared" si="70"/>
        <v>0</v>
      </c>
      <c r="HV49" s="39">
        <f t="shared" si="70"/>
        <v>0</v>
      </c>
      <c r="HW49" s="39">
        <f t="shared" si="70"/>
        <v>0</v>
      </c>
      <c r="HX49" s="39">
        <f t="shared" si="70"/>
        <v>0</v>
      </c>
      <c r="HY49" s="39">
        <f t="shared" si="70"/>
        <v>0</v>
      </c>
      <c r="HZ49" s="39">
        <f t="shared" si="70"/>
        <v>0</v>
      </c>
      <c r="IA49" s="39">
        <f t="shared" si="70"/>
        <v>0</v>
      </c>
      <c r="IB49" s="39">
        <f t="shared" si="70"/>
        <v>0</v>
      </c>
      <c r="IC49" s="39">
        <f t="shared" si="70"/>
        <v>0</v>
      </c>
      <c r="ID49" s="39">
        <f t="shared" si="70"/>
        <v>0</v>
      </c>
      <c r="IE49" s="39">
        <f t="shared" si="70"/>
        <v>3.0007687534830274</v>
      </c>
      <c r="IF49" s="39">
        <f t="shared" si="70"/>
        <v>0</v>
      </c>
      <c r="IG49" s="39">
        <f t="shared" si="70"/>
        <v>0</v>
      </c>
      <c r="IH49" s="43">
        <v>0.19660883871563933</v>
      </c>
      <c r="II49" s="43">
        <v>0.23755005754452263</v>
      </c>
    </row>
    <row r="50" spans="1:243" x14ac:dyDescent="0.3">
      <c r="A50" s="34" t="s">
        <v>51</v>
      </c>
      <c r="B50" s="38">
        <f t="shared" si="14"/>
        <v>18</v>
      </c>
      <c r="C50" s="39">
        <f t="shared" ref="C50:BN50" si="71">(($B$31+1)*C18)/(C18+$B$31*((1-$B$32)+$B$32*($B50/$B$33)))*C$27</f>
        <v>0</v>
      </c>
      <c r="D50" s="39">
        <f t="shared" si="71"/>
        <v>0</v>
      </c>
      <c r="E50" s="39">
        <f t="shared" si="71"/>
        <v>0</v>
      </c>
      <c r="F50" s="39">
        <f t="shared" si="71"/>
        <v>0</v>
      </c>
      <c r="G50" s="39">
        <f t="shared" si="71"/>
        <v>0</v>
      </c>
      <c r="H50" s="39">
        <f t="shared" si="71"/>
        <v>0</v>
      </c>
      <c r="I50" s="39">
        <f t="shared" si="71"/>
        <v>0</v>
      </c>
      <c r="J50" s="39">
        <f t="shared" si="71"/>
        <v>0</v>
      </c>
      <c r="K50" s="39">
        <f t="shared" si="71"/>
        <v>0</v>
      </c>
      <c r="L50" s="39">
        <f t="shared" si="71"/>
        <v>0</v>
      </c>
      <c r="M50" s="39">
        <f t="shared" si="71"/>
        <v>0</v>
      </c>
      <c r="N50" s="39">
        <f t="shared" si="71"/>
        <v>0</v>
      </c>
      <c r="O50" s="39">
        <f t="shared" si="71"/>
        <v>0</v>
      </c>
      <c r="P50" s="39">
        <f t="shared" si="71"/>
        <v>0</v>
      </c>
      <c r="Q50" s="39">
        <f t="shared" si="71"/>
        <v>0</v>
      </c>
      <c r="R50" s="39">
        <f t="shared" si="71"/>
        <v>2.8146768970057847</v>
      </c>
      <c r="S50" s="39">
        <f t="shared" si="71"/>
        <v>0</v>
      </c>
      <c r="T50" s="39">
        <f t="shared" si="71"/>
        <v>0</v>
      </c>
      <c r="U50" s="39">
        <f t="shared" si="71"/>
        <v>0</v>
      </c>
      <c r="V50" s="39">
        <f t="shared" si="71"/>
        <v>0</v>
      </c>
      <c r="W50" s="39">
        <f t="shared" si="71"/>
        <v>0</v>
      </c>
      <c r="X50" s="39">
        <f t="shared" si="71"/>
        <v>0</v>
      </c>
      <c r="Y50" s="39">
        <f t="shared" si="71"/>
        <v>0</v>
      </c>
      <c r="Z50" s="39">
        <f t="shared" si="71"/>
        <v>0</v>
      </c>
      <c r="AA50" s="39">
        <f t="shared" si="71"/>
        <v>0</v>
      </c>
      <c r="AB50" s="39">
        <f t="shared" si="71"/>
        <v>1.8142899161278081</v>
      </c>
      <c r="AC50" s="39">
        <f t="shared" si="71"/>
        <v>0</v>
      </c>
      <c r="AD50" s="39">
        <f t="shared" si="71"/>
        <v>0</v>
      </c>
      <c r="AE50" s="39">
        <f t="shared" si="71"/>
        <v>2.8146768970057847</v>
      </c>
      <c r="AF50" s="39">
        <f t="shared" si="71"/>
        <v>0</v>
      </c>
      <c r="AG50" s="39">
        <f t="shared" si="71"/>
        <v>0</v>
      </c>
      <c r="AH50" s="39">
        <f t="shared" si="71"/>
        <v>0</v>
      </c>
      <c r="AI50" s="39">
        <f t="shared" si="71"/>
        <v>0</v>
      </c>
      <c r="AJ50" s="39">
        <f t="shared" si="71"/>
        <v>0</v>
      </c>
      <c r="AK50" s="39">
        <f t="shared" si="71"/>
        <v>0</v>
      </c>
      <c r="AL50" s="39">
        <f t="shared" si="71"/>
        <v>0</v>
      </c>
      <c r="AM50" s="39">
        <f t="shared" si="71"/>
        <v>2.1835029856843486</v>
      </c>
      <c r="AN50" s="39">
        <f t="shared" si="71"/>
        <v>2.1835029856843486</v>
      </c>
      <c r="AO50" s="39">
        <f t="shared" si="71"/>
        <v>0</v>
      </c>
      <c r="AP50" s="39">
        <f t="shared" si="71"/>
        <v>0</v>
      </c>
      <c r="AQ50" s="39">
        <f t="shared" si="71"/>
        <v>0</v>
      </c>
      <c r="AR50" s="39">
        <f t="shared" si="71"/>
        <v>0</v>
      </c>
      <c r="AS50" s="39">
        <f t="shared" si="71"/>
        <v>0</v>
      </c>
      <c r="AT50" s="39">
        <f t="shared" si="71"/>
        <v>0</v>
      </c>
      <c r="AU50" s="39">
        <f t="shared" si="71"/>
        <v>0</v>
      </c>
      <c r="AV50" s="39">
        <f t="shared" si="71"/>
        <v>0</v>
      </c>
      <c r="AW50" s="39">
        <f t="shared" si="71"/>
        <v>0</v>
      </c>
      <c r="AX50" s="39">
        <f t="shared" si="71"/>
        <v>0</v>
      </c>
      <c r="AY50" s="39">
        <f t="shared" si="71"/>
        <v>0</v>
      </c>
      <c r="AZ50" s="39">
        <f t="shared" si="71"/>
        <v>0</v>
      </c>
      <c r="BA50" s="39">
        <f t="shared" si="71"/>
        <v>0</v>
      </c>
      <c r="BB50" s="39">
        <f t="shared" si="71"/>
        <v>0</v>
      </c>
      <c r="BC50" s="39">
        <f t="shared" si="71"/>
        <v>0</v>
      </c>
      <c r="BD50" s="39">
        <f t="shared" si="71"/>
        <v>0</v>
      </c>
      <c r="BE50" s="39">
        <f t="shared" si="71"/>
        <v>0</v>
      </c>
      <c r="BF50" s="39">
        <f t="shared" si="71"/>
        <v>0</v>
      </c>
      <c r="BG50" s="39">
        <f t="shared" si="71"/>
        <v>0</v>
      </c>
      <c r="BH50" s="39">
        <f t="shared" si="71"/>
        <v>0</v>
      </c>
      <c r="BI50" s="39">
        <f t="shared" si="71"/>
        <v>0</v>
      </c>
      <c r="BJ50" s="39">
        <f t="shared" si="71"/>
        <v>0</v>
      </c>
      <c r="BK50" s="39">
        <f t="shared" si="71"/>
        <v>0</v>
      </c>
      <c r="BL50" s="39">
        <f t="shared" si="71"/>
        <v>0</v>
      </c>
      <c r="BM50" s="39">
        <f t="shared" si="71"/>
        <v>0</v>
      </c>
      <c r="BN50" s="39">
        <f t="shared" si="71"/>
        <v>0</v>
      </c>
      <c r="BO50" s="39">
        <f t="shared" ref="BO50:DZ50" si="72">(($B$31+1)*BO18)/(BO18+$B$31*((1-$B$32)+$B$32*($B50/$B$33)))*BO$27</f>
        <v>0</v>
      </c>
      <c r="BP50" s="39">
        <f t="shared" si="72"/>
        <v>0</v>
      </c>
      <c r="BQ50" s="39">
        <f t="shared" si="72"/>
        <v>0</v>
      </c>
      <c r="BR50" s="39">
        <f t="shared" si="72"/>
        <v>2.1835029856843486</v>
      </c>
      <c r="BS50" s="39">
        <f t="shared" si="72"/>
        <v>0</v>
      </c>
      <c r="BT50" s="39">
        <f t="shared" si="72"/>
        <v>0</v>
      </c>
      <c r="BU50" s="39">
        <f t="shared" si="72"/>
        <v>0</v>
      </c>
      <c r="BV50" s="39">
        <f t="shared" si="72"/>
        <v>0</v>
      </c>
      <c r="BW50" s="39">
        <f t="shared" si="72"/>
        <v>0</v>
      </c>
      <c r="BX50" s="39">
        <f t="shared" si="72"/>
        <v>0</v>
      </c>
      <c r="BY50" s="39">
        <f t="shared" si="72"/>
        <v>0</v>
      </c>
      <c r="BZ50" s="39">
        <f t="shared" si="72"/>
        <v>0</v>
      </c>
      <c r="CA50" s="39">
        <f t="shared" si="72"/>
        <v>0</v>
      </c>
      <c r="CB50" s="39">
        <f t="shared" si="72"/>
        <v>0</v>
      </c>
      <c r="CC50" s="39">
        <f t="shared" si="72"/>
        <v>0</v>
      </c>
      <c r="CD50" s="39">
        <f t="shared" si="72"/>
        <v>0</v>
      </c>
      <c r="CE50" s="39">
        <f t="shared" si="72"/>
        <v>0</v>
      </c>
      <c r="CF50" s="39">
        <f t="shared" si="72"/>
        <v>0</v>
      </c>
      <c r="CG50" s="39">
        <f t="shared" si="72"/>
        <v>0</v>
      </c>
      <c r="CH50" s="39">
        <f t="shared" si="72"/>
        <v>0</v>
      </c>
      <c r="CI50" s="39">
        <f t="shared" si="72"/>
        <v>0</v>
      </c>
      <c r="CJ50" s="39">
        <f t="shared" si="72"/>
        <v>0</v>
      </c>
      <c r="CK50" s="39">
        <f t="shared" si="72"/>
        <v>0</v>
      </c>
      <c r="CL50" s="39">
        <f t="shared" si="72"/>
        <v>0</v>
      </c>
      <c r="CM50" s="39">
        <f t="shared" si="72"/>
        <v>0</v>
      </c>
      <c r="CN50" s="39">
        <f t="shared" si="72"/>
        <v>0</v>
      </c>
      <c r="CO50" s="39">
        <f t="shared" si="72"/>
        <v>0</v>
      </c>
      <c r="CP50" s="39">
        <f t="shared" si="72"/>
        <v>0</v>
      </c>
      <c r="CQ50" s="39">
        <f t="shared" si="72"/>
        <v>0</v>
      </c>
      <c r="CR50" s="39">
        <f t="shared" si="72"/>
        <v>0</v>
      </c>
      <c r="CS50" s="39">
        <f t="shared" si="72"/>
        <v>0</v>
      </c>
      <c r="CT50" s="39">
        <f t="shared" si="72"/>
        <v>0</v>
      </c>
      <c r="CU50" s="39">
        <f t="shared" si="72"/>
        <v>0</v>
      </c>
      <c r="CV50" s="39">
        <f t="shared" si="72"/>
        <v>0</v>
      </c>
      <c r="CW50" s="39">
        <f t="shared" si="72"/>
        <v>0</v>
      </c>
      <c r="CX50" s="39">
        <f t="shared" si="72"/>
        <v>0</v>
      </c>
      <c r="CY50" s="39">
        <f t="shared" si="72"/>
        <v>0</v>
      </c>
      <c r="CZ50" s="39">
        <f t="shared" si="72"/>
        <v>0</v>
      </c>
      <c r="DA50" s="39">
        <f t="shared" si="72"/>
        <v>0</v>
      </c>
      <c r="DB50" s="39">
        <f t="shared" si="72"/>
        <v>0</v>
      </c>
      <c r="DC50" s="39">
        <f t="shared" si="72"/>
        <v>0</v>
      </c>
      <c r="DD50" s="39">
        <f t="shared" si="72"/>
        <v>0</v>
      </c>
      <c r="DE50" s="39">
        <f t="shared" si="72"/>
        <v>0</v>
      </c>
      <c r="DF50" s="39">
        <f t="shared" si="72"/>
        <v>0</v>
      </c>
      <c r="DG50" s="39">
        <f t="shared" si="72"/>
        <v>0</v>
      </c>
      <c r="DH50" s="39">
        <f t="shared" si="72"/>
        <v>0</v>
      </c>
      <c r="DI50" s="39">
        <f t="shared" si="72"/>
        <v>0</v>
      </c>
      <c r="DJ50" s="39">
        <f t="shared" si="72"/>
        <v>0</v>
      </c>
      <c r="DK50" s="39">
        <f t="shared" si="72"/>
        <v>0</v>
      </c>
      <c r="DL50" s="39">
        <f t="shared" si="72"/>
        <v>0</v>
      </c>
      <c r="DM50" s="39">
        <f t="shared" si="72"/>
        <v>0</v>
      </c>
      <c r="DN50" s="39">
        <f t="shared" si="72"/>
        <v>0</v>
      </c>
      <c r="DO50" s="39">
        <f t="shared" si="72"/>
        <v>0</v>
      </c>
      <c r="DP50" s="39">
        <f t="shared" si="72"/>
        <v>0</v>
      </c>
      <c r="DQ50" s="39">
        <f t="shared" si="72"/>
        <v>0</v>
      </c>
      <c r="DR50" s="39">
        <f t="shared" si="72"/>
        <v>0</v>
      </c>
      <c r="DS50" s="39">
        <f t="shared" si="72"/>
        <v>0</v>
      </c>
      <c r="DT50" s="39">
        <f t="shared" si="72"/>
        <v>0</v>
      </c>
      <c r="DU50" s="39">
        <f t="shared" si="72"/>
        <v>0</v>
      </c>
      <c r="DV50" s="39">
        <f t="shared" si="72"/>
        <v>0</v>
      </c>
      <c r="DW50" s="39">
        <f t="shared" si="72"/>
        <v>0</v>
      </c>
      <c r="DX50" s="39">
        <f t="shared" si="72"/>
        <v>0</v>
      </c>
      <c r="DY50" s="39">
        <f t="shared" si="72"/>
        <v>0</v>
      </c>
      <c r="DZ50" s="39">
        <f t="shared" si="72"/>
        <v>0</v>
      </c>
      <c r="EA50" s="39">
        <f t="shared" ref="EA50:GL50" si="73">(($B$31+1)*EA18)/(EA18+$B$31*((1-$B$32)+$B$32*($B50/$B$33)))*EA$27</f>
        <v>0</v>
      </c>
      <c r="EB50" s="39">
        <f t="shared" si="73"/>
        <v>0</v>
      </c>
      <c r="EC50" s="39">
        <f t="shared" si="73"/>
        <v>0</v>
      </c>
      <c r="ED50" s="39">
        <f t="shared" si="73"/>
        <v>0</v>
      </c>
      <c r="EE50" s="39">
        <f t="shared" si="73"/>
        <v>0</v>
      </c>
      <c r="EF50" s="39">
        <f t="shared" si="73"/>
        <v>0</v>
      </c>
      <c r="EG50" s="39">
        <f t="shared" si="73"/>
        <v>0</v>
      </c>
      <c r="EH50" s="39">
        <f t="shared" si="73"/>
        <v>0</v>
      </c>
      <c r="EI50" s="39">
        <f t="shared" si="73"/>
        <v>1.5523290743629128</v>
      </c>
      <c r="EJ50" s="39">
        <f t="shared" si="73"/>
        <v>0</v>
      </c>
      <c r="EK50" s="39">
        <f t="shared" si="73"/>
        <v>0</v>
      </c>
      <c r="EL50" s="39">
        <f t="shared" si="73"/>
        <v>0.96840682419419732</v>
      </c>
      <c r="EM50" s="39">
        <f t="shared" si="73"/>
        <v>0</v>
      </c>
      <c r="EN50" s="39">
        <f t="shared" si="73"/>
        <v>0</v>
      </c>
      <c r="EO50" s="39">
        <f t="shared" si="73"/>
        <v>0</v>
      </c>
      <c r="EP50" s="39">
        <f t="shared" si="73"/>
        <v>0</v>
      </c>
      <c r="EQ50" s="39">
        <f t="shared" si="73"/>
        <v>2.8146768970057847</v>
      </c>
      <c r="ER50" s="39">
        <f t="shared" si="73"/>
        <v>0</v>
      </c>
      <c r="ES50" s="39">
        <f t="shared" si="73"/>
        <v>0</v>
      </c>
      <c r="ET50" s="39">
        <f t="shared" si="73"/>
        <v>0</v>
      </c>
      <c r="EU50" s="39">
        <f t="shared" si="73"/>
        <v>0</v>
      </c>
      <c r="EV50" s="39">
        <f t="shared" si="73"/>
        <v>0</v>
      </c>
      <c r="EW50" s="39">
        <f t="shared" si="73"/>
        <v>0</v>
      </c>
      <c r="EX50" s="39">
        <f t="shared" si="73"/>
        <v>0</v>
      </c>
      <c r="EY50" s="39">
        <f t="shared" si="73"/>
        <v>0</v>
      </c>
      <c r="EZ50" s="39">
        <f t="shared" si="73"/>
        <v>0</v>
      </c>
      <c r="FA50" s="39">
        <f t="shared" si="73"/>
        <v>0</v>
      </c>
      <c r="FB50" s="39">
        <f t="shared" si="73"/>
        <v>0</v>
      </c>
      <c r="FC50" s="39">
        <f t="shared" si="73"/>
        <v>0</v>
      </c>
      <c r="FD50" s="39">
        <f t="shared" si="73"/>
        <v>0</v>
      </c>
      <c r="FE50" s="39">
        <f t="shared" si="73"/>
        <v>0.92115516304147693</v>
      </c>
      <c r="FF50" s="39">
        <f t="shared" si="73"/>
        <v>0</v>
      </c>
      <c r="FG50" s="39">
        <f t="shared" si="73"/>
        <v>2.8146768970057847</v>
      </c>
      <c r="FH50" s="39">
        <f t="shared" si="73"/>
        <v>0</v>
      </c>
      <c r="FI50" s="39">
        <f t="shared" si="73"/>
        <v>0</v>
      </c>
      <c r="FJ50" s="39">
        <f t="shared" si="73"/>
        <v>2.8146768970057847</v>
      </c>
      <c r="FK50" s="39">
        <f t="shared" si="73"/>
        <v>0</v>
      </c>
      <c r="FL50" s="39">
        <f t="shared" si="73"/>
        <v>0</v>
      </c>
      <c r="FM50" s="39">
        <f t="shared" si="73"/>
        <v>0</v>
      </c>
      <c r="FN50" s="39">
        <f t="shared" si="73"/>
        <v>0</v>
      </c>
      <c r="FO50" s="39">
        <f t="shared" si="73"/>
        <v>0</v>
      </c>
      <c r="FP50" s="39">
        <f t="shared" si="73"/>
        <v>0</v>
      </c>
      <c r="FQ50" s="39">
        <f t="shared" si="73"/>
        <v>0</v>
      </c>
      <c r="FR50" s="39">
        <f t="shared" si="73"/>
        <v>0</v>
      </c>
      <c r="FS50" s="39">
        <f t="shared" si="73"/>
        <v>0</v>
      </c>
      <c r="FT50" s="39">
        <f t="shared" si="73"/>
        <v>0</v>
      </c>
      <c r="FU50" s="39">
        <f t="shared" si="73"/>
        <v>2.8146768970057847</v>
      </c>
      <c r="FV50" s="39">
        <f t="shared" si="73"/>
        <v>0</v>
      </c>
      <c r="FW50" s="39">
        <f t="shared" si="73"/>
        <v>0</v>
      </c>
      <c r="FX50" s="39">
        <f t="shared" si="73"/>
        <v>0</v>
      </c>
      <c r="FY50" s="39">
        <f t="shared" si="73"/>
        <v>2.8146768970057847</v>
      </c>
      <c r="FZ50" s="39">
        <f t="shared" si="73"/>
        <v>2.8146768970057847</v>
      </c>
      <c r="GA50" s="39">
        <f t="shared" si="73"/>
        <v>0</v>
      </c>
      <c r="GB50" s="39">
        <f t="shared" si="73"/>
        <v>0</v>
      </c>
      <c r="GC50" s="39">
        <f t="shared" si="73"/>
        <v>2.8146768970057847</v>
      </c>
      <c r="GD50" s="39">
        <f t="shared" si="73"/>
        <v>0</v>
      </c>
      <c r="GE50" s="39">
        <f t="shared" si="73"/>
        <v>0</v>
      </c>
      <c r="GF50" s="39">
        <f t="shared" si="73"/>
        <v>0</v>
      </c>
      <c r="GG50" s="39">
        <f t="shared" si="73"/>
        <v>0</v>
      </c>
      <c r="GH50" s="39">
        <f t="shared" si="73"/>
        <v>0</v>
      </c>
      <c r="GI50" s="39">
        <f t="shared" si="73"/>
        <v>0</v>
      </c>
      <c r="GJ50" s="39">
        <f t="shared" si="73"/>
        <v>0</v>
      </c>
      <c r="GK50" s="39">
        <f t="shared" si="73"/>
        <v>0</v>
      </c>
      <c r="GL50" s="39">
        <f t="shared" si="73"/>
        <v>0</v>
      </c>
      <c r="GM50" s="39">
        <f t="shared" ref="GM50:IG50" si="74">(($B$31+1)*GM18)/(GM18+$B$31*((1-$B$32)+$B$32*($B50/$B$33)))*GM$27</f>
        <v>0</v>
      </c>
      <c r="GN50" s="39">
        <f t="shared" si="74"/>
        <v>0</v>
      </c>
      <c r="GO50" s="39">
        <f t="shared" si="74"/>
        <v>0</v>
      </c>
      <c r="GP50" s="39">
        <f t="shared" si="74"/>
        <v>0</v>
      </c>
      <c r="GQ50" s="39">
        <f t="shared" si="74"/>
        <v>0</v>
      </c>
      <c r="GR50" s="39">
        <f t="shared" si="74"/>
        <v>0</v>
      </c>
      <c r="GS50" s="39">
        <f t="shared" si="74"/>
        <v>0</v>
      </c>
      <c r="GT50" s="39">
        <f t="shared" si="74"/>
        <v>0</v>
      </c>
      <c r="GU50" s="39">
        <f t="shared" si="74"/>
        <v>0</v>
      </c>
      <c r="GV50" s="39">
        <f t="shared" si="74"/>
        <v>0</v>
      </c>
      <c r="GW50" s="39">
        <f t="shared" si="74"/>
        <v>0</v>
      </c>
      <c r="GX50" s="39">
        <f t="shared" si="74"/>
        <v>0</v>
      </c>
      <c r="GY50" s="39">
        <f t="shared" si="74"/>
        <v>0</v>
      </c>
      <c r="GZ50" s="39">
        <f t="shared" si="74"/>
        <v>0</v>
      </c>
      <c r="HA50" s="39">
        <f t="shared" si="74"/>
        <v>0</v>
      </c>
      <c r="HB50" s="39">
        <f t="shared" si="74"/>
        <v>0</v>
      </c>
      <c r="HC50" s="39">
        <f t="shared" si="74"/>
        <v>0</v>
      </c>
      <c r="HD50" s="39">
        <f t="shared" si="74"/>
        <v>0</v>
      </c>
      <c r="HE50" s="39">
        <f t="shared" si="74"/>
        <v>0</v>
      </c>
      <c r="HF50" s="39">
        <f t="shared" si="74"/>
        <v>0</v>
      </c>
      <c r="HG50" s="39">
        <f t="shared" si="74"/>
        <v>0</v>
      </c>
      <c r="HH50" s="39">
        <f t="shared" si="74"/>
        <v>0</v>
      </c>
      <c r="HI50" s="39">
        <f t="shared" si="74"/>
        <v>0</v>
      </c>
      <c r="HJ50" s="39">
        <f t="shared" si="74"/>
        <v>0</v>
      </c>
      <c r="HK50" s="39">
        <f t="shared" si="74"/>
        <v>0</v>
      </c>
      <c r="HL50" s="39">
        <f t="shared" si="74"/>
        <v>0</v>
      </c>
      <c r="HM50" s="39">
        <f t="shared" si="74"/>
        <v>0</v>
      </c>
      <c r="HN50" s="39">
        <f t="shared" si="74"/>
        <v>0</v>
      </c>
      <c r="HO50" s="39">
        <f t="shared" si="74"/>
        <v>0</v>
      </c>
      <c r="HP50" s="39">
        <f t="shared" si="74"/>
        <v>0</v>
      </c>
      <c r="HQ50" s="39">
        <f t="shared" si="74"/>
        <v>0</v>
      </c>
      <c r="HR50" s="39">
        <f t="shared" si="74"/>
        <v>0</v>
      </c>
      <c r="HS50" s="39">
        <f t="shared" si="74"/>
        <v>0</v>
      </c>
      <c r="HT50" s="39">
        <f t="shared" si="74"/>
        <v>0</v>
      </c>
      <c r="HU50" s="39">
        <f t="shared" si="74"/>
        <v>0</v>
      </c>
      <c r="HV50" s="39">
        <f t="shared" si="74"/>
        <v>0</v>
      </c>
      <c r="HW50" s="39">
        <f t="shared" si="74"/>
        <v>0</v>
      </c>
      <c r="HX50" s="39">
        <f t="shared" si="74"/>
        <v>0</v>
      </c>
      <c r="HY50" s="39">
        <f t="shared" si="74"/>
        <v>0</v>
      </c>
      <c r="HZ50" s="39">
        <f t="shared" si="74"/>
        <v>0</v>
      </c>
      <c r="IA50" s="39">
        <f t="shared" si="74"/>
        <v>2.1835029856843486</v>
      </c>
      <c r="IB50" s="39">
        <f t="shared" si="74"/>
        <v>0</v>
      </c>
      <c r="IC50" s="39">
        <f t="shared" si="74"/>
        <v>0</v>
      </c>
      <c r="ID50" s="39">
        <f t="shared" si="74"/>
        <v>0</v>
      </c>
      <c r="IE50" s="39">
        <f t="shared" si="74"/>
        <v>0</v>
      </c>
      <c r="IF50" s="39">
        <f t="shared" si="74"/>
        <v>0</v>
      </c>
      <c r="IG50" s="39">
        <f t="shared" si="74"/>
        <v>0</v>
      </c>
      <c r="IH50" s="43">
        <v>0.27508058182175243</v>
      </c>
      <c r="II50" s="43">
        <v>0.27432990064417806</v>
      </c>
    </row>
    <row r="51" spans="1:243" x14ac:dyDescent="0.3">
      <c r="A51" s="34" t="s">
        <v>52</v>
      </c>
      <c r="B51" s="38">
        <f t="shared" si="14"/>
        <v>7</v>
      </c>
      <c r="C51" s="39">
        <f t="shared" ref="C51:BN51" si="75">(($B$31+1)*C19)/(C19+$B$31*((1-$B$32)+$B$32*($B51/$B$33)))*C$27</f>
        <v>0</v>
      </c>
      <c r="D51" s="39">
        <f t="shared" si="75"/>
        <v>0</v>
      </c>
      <c r="E51" s="39">
        <f t="shared" si="75"/>
        <v>0</v>
      </c>
      <c r="F51" s="39">
        <f t="shared" si="75"/>
        <v>0</v>
      </c>
      <c r="G51" s="39">
        <f t="shared" si="75"/>
        <v>0</v>
      </c>
      <c r="H51" s="39">
        <f t="shared" si="75"/>
        <v>0</v>
      </c>
      <c r="I51" s="39">
        <f t="shared" si="75"/>
        <v>0</v>
      </c>
      <c r="J51" s="39">
        <f t="shared" si="75"/>
        <v>0</v>
      </c>
      <c r="K51" s="39">
        <f t="shared" si="75"/>
        <v>0</v>
      </c>
      <c r="L51" s="39">
        <f t="shared" si="75"/>
        <v>0</v>
      </c>
      <c r="M51" s="39">
        <f t="shared" si="75"/>
        <v>0</v>
      </c>
      <c r="N51" s="39">
        <f t="shared" si="75"/>
        <v>0</v>
      </c>
      <c r="O51" s="39">
        <f t="shared" si="75"/>
        <v>0</v>
      </c>
      <c r="P51" s="39">
        <f t="shared" si="75"/>
        <v>0</v>
      </c>
      <c r="Q51" s="39">
        <f t="shared" si="75"/>
        <v>0</v>
      </c>
      <c r="R51" s="39">
        <f t="shared" si="75"/>
        <v>0</v>
      </c>
      <c r="S51" s="39">
        <f t="shared" si="75"/>
        <v>0</v>
      </c>
      <c r="T51" s="39">
        <f t="shared" si="75"/>
        <v>0</v>
      </c>
      <c r="U51" s="39">
        <f t="shared" si="75"/>
        <v>0</v>
      </c>
      <c r="V51" s="39">
        <f t="shared" si="75"/>
        <v>0</v>
      </c>
      <c r="W51" s="39">
        <f t="shared" si="75"/>
        <v>0</v>
      </c>
      <c r="X51" s="39">
        <f t="shared" si="75"/>
        <v>0</v>
      </c>
      <c r="Y51" s="39">
        <f t="shared" si="75"/>
        <v>0</v>
      </c>
      <c r="Z51" s="39">
        <f t="shared" si="75"/>
        <v>0</v>
      </c>
      <c r="AA51" s="39">
        <f t="shared" si="75"/>
        <v>0</v>
      </c>
      <c r="AB51" s="39">
        <f t="shared" si="75"/>
        <v>2.7195644722163221</v>
      </c>
      <c r="AC51" s="39">
        <f t="shared" si="75"/>
        <v>0</v>
      </c>
      <c r="AD51" s="39">
        <f t="shared" si="75"/>
        <v>0</v>
      </c>
      <c r="AE51" s="39">
        <f t="shared" si="75"/>
        <v>0</v>
      </c>
      <c r="AF51" s="39">
        <f t="shared" si="75"/>
        <v>0</v>
      </c>
      <c r="AG51" s="39">
        <f t="shared" si="75"/>
        <v>0</v>
      </c>
      <c r="AH51" s="39">
        <f t="shared" si="75"/>
        <v>0</v>
      </c>
      <c r="AI51" s="39">
        <f t="shared" si="75"/>
        <v>0</v>
      </c>
      <c r="AJ51" s="39">
        <f t="shared" si="75"/>
        <v>0</v>
      </c>
      <c r="AK51" s="39">
        <f t="shared" si="75"/>
        <v>0</v>
      </c>
      <c r="AL51" s="39">
        <f t="shared" si="75"/>
        <v>0</v>
      </c>
      <c r="AM51" s="39">
        <f t="shared" si="75"/>
        <v>0</v>
      </c>
      <c r="AN51" s="39">
        <f t="shared" si="75"/>
        <v>0</v>
      </c>
      <c r="AO51" s="39">
        <f t="shared" si="75"/>
        <v>0</v>
      </c>
      <c r="AP51" s="39">
        <f t="shared" si="75"/>
        <v>0</v>
      </c>
      <c r="AQ51" s="39">
        <f t="shared" si="75"/>
        <v>0</v>
      </c>
      <c r="AR51" s="39">
        <f t="shared" si="75"/>
        <v>0</v>
      </c>
      <c r="AS51" s="39">
        <f t="shared" si="75"/>
        <v>0</v>
      </c>
      <c r="AT51" s="39">
        <f t="shared" si="75"/>
        <v>0</v>
      </c>
      <c r="AU51" s="39">
        <f t="shared" si="75"/>
        <v>0</v>
      </c>
      <c r="AV51" s="39">
        <f t="shared" si="75"/>
        <v>0</v>
      </c>
      <c r="AW51" s="39">
        <f t="shared" si="75"/>
        <v>0</v>
      </c>
      <c r="AX51" s="39">
        <f t="shared" si="75"/>
        <v>0</v>
      </c>
      <c r="AY51" s="39">
        <f t="shared" si="75"/>
        <v>0</v>
      </c>
      <c r="AZ51" s="39">
        <f t="shared" si="75"/>
        <v>0</v>
      </c>
      <c r="BA51" s="39">
        <f t="shared" si="75"/>
        <v>0</v>
      </c>
      <c r="BB51" s="39">
        <f t="shared" si="75"/>
        <v>0</v>
      </c>
      <c r="BC51" s="39">
        <f t="shared" si="75"/>
        <v>0</v>
      </c>
      <c r="BD51" s="39">
        <f t="shared" si="75"/>
        <v>0</v>
      </c>
      <c r="BE51" s="39">
        <f t="shared" si="75"/>
        <v>0</v>
      </c>
      <c r="BF51" s="39">
        <f t="shared" si="75"/>
        <v>0</v>
      </c>
      <c r="BG51" s="39">
        <f t="shared" si="75"/>
        <v>0</v>
      </c>
      <c r="BH51" s="39">
        <f t="shared" si="75"/>
        <v>0</v>
      </c>
      <c r="BI51" s="39">
        <f t="shared" si="75"/>
        <v>0</v>
      </c>
      <c r="BJ51" s="39">
        <f t="shared" si="75"/>
        <v>0</v>
      </c>
      <c r="BK51" s="39">
        <f t="shared" si="75"/>
        <v>0</v>
      </c>
      <c r="BL51" s="39">
        <f t="shared" si="75"/>
        <v>0</v>
      </c>
      <c r="BM51" s="39">
        <f t="shared" si="75"/>
        <v>0</v>
      </c>
      <c r="BN51" s="39">
        <f t="shared" si="75"/>
        <v>0</v>
      </c>
      <c r="BO51" s="39">
        <f t="shared" ref="BO51:DZ51" si="76">(($B$31+1)*BO19)/(BO19+$B$31*((1-$B$32)+$B$32*($B51/$B$33)))*BO$27</f>
        <v>0</v>
      </c>
      <c r="BP51" s="39">
        <f t="shared" si="76"/>
        <v>0</v>
      </c>
      <c r="BQ51" s="39">
        <f t="shared" si="76"/>
        <v>0</v>
      </c>
      <c r="BR51" s="39">
        <f t="shared" si="76"/>
        <v>0</v>
      </c>
      <c r="BS51" s="39">
        <f t="shared" si="76"/>
        <v>0</v>
      </c>
      <c r="BT51" s="39">
        <f t="shared" si="76"/>
        <v>0</v>
      </c>
      <c r="BU51" s="39">
        <f t="shared" si="76"/>
        <v>4.2191136167488761</v>
      </c>
      <c r="BV51" s="39">
        <f t="shared" si="76"/>
        <v>0</v>
      </c>
      <c r="BW51" s="39">
        <f t="shared" si="76"/>
        <v>0</v>
      </c>
      <c r="BX51" s="39">
        <f t="shared" si="76"/>
        <v>0</v>
      </c>
      <c r="BY51" s="39">
        <f t="shared" si="76"/>
        <v>0</v>
      </c>
      <c r="BZ51" s="39">
        <f t="shared" si="76"/>
        <v>0</v>
      </c>
      <c r="CA51" s="39">
        <f t="shared" si="76"/>
        <v>0</v>
      </c>
      <c r="CB51" s="39">
        <f t="shared" si="76"/>
        <v>0</v>
      </c>
      <c r="CC51" s="39">
        <f t="shared" si="76"/>
        <v>0</v>
      </c>
      <c r="CD51" s="39">
        <f t="shared" si="76"/>
        <v>0</v>
      </c>
      <c r="CE51" s="39">
        <f t="shared" si="76"/>
        <v>0</v>
      </c>
      <c r="CF51" s="39">
        <f t="shared" si="76"/>
        <v>0</v>
      </c>
      <c r="CG51" s="39">
        <f t="shared" si="76"/>
        <v>0</v>
      </c>
      <c r="CH51" s="39">
        <f t="shared" si="76"/>
        <v>0</v>
      </c>
      <c r="CI51" s="39">
        <f t="shared" si="76"/>
        <v>0</v>
      </c>
      <c r="CJ51" s="39">
        <f t="shared" si="76"/>
        <v>0</v>
      </c>
      <c r="CK51" s="39">
        <f t="shared" si="76"/>
        <v>0</v>
      </c>
      <c r="CL51" s="39">
        <f t="shared" si="76"/>
        <v>0</v>
      </c>
      <c r="CM51" s="39">
        <f t="shared" si="76"/>
        <v>0</v>
      </c>
      <c r="CN51" s="39">
        <f t="shared" si="76"/>
        <v>0</v>
      </c>
      <c r="CO51" s="39">
        <f t="shared" si="76"/>
        <v>0</v>
      </c>
      <c r="CP51" s="39">
        <f t="shared" si="76"/>
        <v>0</v>
      </c>
      <c r="CQ51" s="39">
        <f t="shared" si="76"/>
        <v>0</v>
      </c>
      <c r="CR51" s="39">
        <f t="shared" si="76"/>
        <v>0</v>
      </c>
      <c r="CS51" s="39">
        <f t="shared" si="76"/>
        <v>0</v>
      </c>
      <c r="CT51" s="39">
        <f t="shared" si="76"/>
        <v>0</v>
      </c>
      <c r="CU51" s="39">
        <f t="shared" si="76"/>
        <v>0</v>
      </c>
      <c r="CV51" s="39">
        <f t="shared" si="76"/>
        <v>0</v>
      </c>
      <c r="CW51" s="39">
        <f t="shared" si="76"/>
        <v>0</v>
      </c>
      <c r="CX51" s="39">
        <f t="shared" si="76"/>
        <v>0</v>
      </c>
      <c r="CY51" s="39">
        <f t="shared" si="76"/>
        <v>0</v>
      </c>
      <c r="CZ51" s="39">
        <f t="shared" si="76"/>
        <v>0</v>
      </c>
      <c r="DA51" s="39">
        <f t="shared" si="76"/>
        <v>0</v>
      </c>
      <c r="DB51" s="39">
        <f t="shared" si="76"/>
        <v>0</v>
      </c>
      <c r="DC51" s="39">
        <f t="shared" si="76"/>
        <v>0</v>
      </c>
      <c r="DD51" s="39">
        <f t="shared" si="76"/>
        <v>0</v>
      </c>
      <c r="DE51" s="39">
        <f t="shared" si="76"/>
        <v>0</v>
      </c>
      <c r="DF51" s="39">
        <f t="shared" si="76"/>
        <v>0</v>
      </c>
      <c r="DG51" s="39">
        <f t="shared" si="76"/>
        <v>0</v>
      </c>
      <c r="DH51" s="39">
        <f t="shared" si="76"/>
        <v>0</v>
      </c>
      <c r="DI51" s="39">
        <f t="shared" si="76"/>
        <v>0</v>
      </c>
      <c r="DJ51" s="39">
        <f t="shared" si="76"/>
        <v>0</v>
      </c>
      <c r="DK51" s="39">
        <f t="shared" si="76"/>
        <v>0</v>
      </c>
      <c r="DL51" s="39">
        <f t="shared" si="76"/>
        <v>0</v>
      </c>
      <c r="DM51" s="39">
        <f t="shared" si="76"/>
        <v>0</v>
      </c>
      <c r="DN51" s="39">
        <f t="shared" si="76"/>
        <v>0</v>
      </c>
      <c r="DO51" s="39">
        <f t="shared" si="76"/>
        <v>0</v>
      </c>
      <c r="DP51" s="39">
        <f t="shared" si="76"/>
        <v>0</v>
      </c>
      <c r="DQ51" s="39">
        <f t="shared" si="76"/>
        <v>0</v>
      </c>
      <c r="DR51" s="39">
        <f t="shared" si="76"/>
        <v>0</v>
      </c>
      <c r="DS51" s="39">
        <f t="shared" si="76"/>
        <v>0</v>
      </c>
      <c r="DT51" s="39">
        <f t="shared" si="76"/>
        <v>0</v>
      </c>
      <c r="DU51" s="39">
        <f t="shared" si="76"/>
        <v>0</v>
      </c>
      <c r="DV51" s="39">
        <f t="shared" si="76"/>
        <v>0</v>
      </c>
      <c r="DW51" s="39">
        <f t="shared" si="76"/>
        <v>0</v>
      </c>
      <c r="DX51" s="39">
        <f t="shared" si="76"/>
        <v>0</v>
      </c>
      <c r="DY51" s="39">
        <f t="shared" si="76"/>
        <v>0</v>
      </c>
      <c r="DZ51" s="39">
        <f t="shared" si="76"/>
        <v>0</v>
      </c>
      <c r="EA51" s="39">
        <f t="shared" ref="EA51:GL51" si="77">(($B$31+1)*EA19)/(EA19+$B$31*((1-$B$32)+$B$32*($B51/$B$33)))*EA$27</f>
        <v>0</v>
      </c>
      <c r="EB51" s="39">
        <f t="shared" si="77"/>
        <v>0</v>
      </c>
      <c r="EC51" s="39">
        <f t="shared" si="77"/>
        <v>0</v>
      </c>
      <c r="ED51" s="39">
        <f t="shared" si="77"/>
        <v>4.2191136167488761</v>
      </c>
      <c r="EE51" s="39">
        <f t="shared" si="77"/>
        <v>0</v>
      </c>
      <c r="EF51" s="39">
        <f t="shared" si="77"/>
        <v>0</v>
      </c>
      <c r="EG51" s="39">
        <f t="shared" si="77"/>
        <v>0</v>
      </c>
      <c r="EH51" s="39">
        <f t="shared" si="77"/>
        <v>0</v>
      </c>
      <c r="EI51" s="39">
        <f t="shared" si="77"/>
        <v>2.3268932722924482</v>
      </c>
      <c r="EJ51" s="39">
        <f t="shared" si="77"/>
        <v>0</v>
      </c>
      <c r="EK51" s="39">
        <f t="shared" si="77"/>
        <v>0</v>
      </c>
      <c r="EL51" s="39">
        <f t="shared" si="77"/>
        <v>0.94611017222821381</v>
      </c>
      <c r="EM51" s="39">
        <f t="shared" si="77"/>
        <v>0</v>
      </c>
      <c r="EN51" s="39">
        <f t="shared" si="77"/>
        <v>0</v>
      </c>
      <c r="EO51" s="39">
        <f t="shared" si="77"/>
        <v>0</v>
      </c>
      <c r="EP51" s="39">
        <f t="shared" si="77"/>
        <v>0</v>
      </c>
      <c r="EQ51" s="39">
        <f t="shared" si="77"/>
        <v>0</v>
      </c>
      <c r="ER51" s="39">
        <f t="shared" si="77"/>
        <v>0</v>
      </c>
      <c r="ES51" s="39">
        <f t="shared" si="77"/>
        <v>0</v>
      </c>
      <c r="ET51" s="39">
        <f t="shared" si="77"/>
        <v>0</v>
      </c>
      <c r="EU51" s="39">
        <f t="shared" si="77"/>
        <v>0</v>
      </c>
      <c r="EV51" s="39">
        <f t="shared" si="77"/>
        <v>0</v>
      </c>
      <c r="EW51" s="39">
        <f t="shared" si="77"/>
        <v>0</v>
      </c>
      <c r="EX51" s="39">
        <f t="shared" si="77"/>
        <v>0</v>
      </c>
      <c r="EY51" s="39">
        <f t="shared" si="77"/>
        <v>0</v>
      </c>
      <c r="EZ51" s="39">
        <f t="shared" si="77"/>
        <v>0</v>
      </c>
      <c r="FA51" s="39">
        <f t="shared" si="77"/>
        <v>0</v>
      </c>
      <c r="FB51" s="39">
        <f t="shared" si="77"/>
        <v>3.2730034445206622</v>
      </c>
      <c r="FC51" s="39">
        <f t="shared" si="77"/>
        <v>0</v>
      </c>
      <c r="FD51" s="39">
        <f t="shared" si="77"/>
        <v>0</v>
      </c>
      <c r="FE51" s="39">
        <f t="shared" si="77"/>
        <v>0</v>
      </c>
      <c r="FF51" s="39">
        <f t="shared" si="77"/>
        <v>3.2730034445206622</v>
      </c>
      <c r="FG51" s="39">
        <f t="shared" si="77"/>
        <v>0</v>
      </c>
      <c r="FH51" s="39">
        <f t="shared" si="77"/>
        <v>0</v>
      </c>
      <c r="FI51" s="39">
        <f t="shared" si="77"/>
        <v>0</v>
      </c>
      <c r="FJ51" s="39">
        <f t="shared" si="77"/>
        <v>0</v>
      </c>
      <c r="FK51" s="39">
        <f t="shared" si="77"/>
        <v>0</v>
      </c>
      <c r="FL51" s="39">
        <f t="shared" si="77"/>
        <v>0</v>
      </c>
      <c r="FM51" s="39">
        <f t="shared" si="77"/>
        <v>0</v>
      </c>
      <c r="FN51" s="39">
        <f t="shared" si="77"/>
        <v>0</v>
      </c>
      <c r="FO51" s="39">
        <f t="shared" si="77"/>
        <v>0</v>
      </c>
      <c r="FP51" s="39">
        <f t="shared" si="77"/>
        <v>0</v>
      </c>
      <c r="FQ51" s="39">
        <f t="shared" si="77"/>
        <v>0</v>
      </c>
      <c r="FR51" s="39">
        <f t="shared" si="77"/>
        <v>0</v>
      </c>
      <c r="FS51" s="39">
        <f t="shared" si="77"/>
        <v>0</v>
      </c>
      <c r="FT51" s="39">
        <f t="shared" si="77"/>
        <v>0</v>
      </c>
      <c r="FU51" s="39">
        <f t="shared" si="77"/>
        <v>0</v>
      </c>
      <c r="FV51" s="39">
        <f t="shared" si="77"/>
        <v>0</v>
      </c>
      <c r="FW51" s="39">
        <f t="shared" si="77"/>
        <v>0</v>
      </c>
      <c r="FX51" s="39">
        <f t="shared" si="77"/>
        <v>0</v>
      </c>
      <c r="FY51" s="39">
        <f t="shared" si="77"/>
        <v>0</v>
      </c>
      <c r="FZ51" s="39">
        <f t="shared" si="77"/>
        <v>0</v>
      </c>
      <c r="GA51" s="39">
        <f t="shared" si="77"/>
        <v>0</v>
      </c>
      <c r="GB51" s="39">
        <f t="shared" si="77"/>
        <v>0</v>
      </c>
      <c r="GC51" s="39">
        <f t="shared" si="77"/>
        <v>0</v>
      </c>
      <c r="GD51" s="39">
        <f t="shared" si="77"/>
        <v>0</v>
      </c>
      <c r="GE51" s="39">
        <f t="shared" si="77"/>
        <v>0</v>
      </c>
      <c r="GF51" s="39">
        <f t="shared" si="77"/>
        <v>0</v>
      </c>
      <c r="GG51" s="39">
        <f t="shared" si="77"/>
        <v>0</v>
      </c>
      <c r="GH51" s="39">
        <f t="shared" si="77"/>
        <v>0</v>
      </c>
      <c r="GI51" s="39">
        <f t="shared" si="77"/>
        <v>0</v>
      </c>
      <c r="GJ51" s="39">
        <f t="shared" si="77"/>
        <v>0</v>
      </c>
      <c r="GK51" s="39">
        <f t="shared" si="77"/>
        <v>0</v>
      </c>
      <c r="GL51" s="39">
        <f t="shared" si="77"/>
        <v>0</v>
      </c>
      <c r="GM51" s="39">
        <f t="shared" ref="GM51:IG51" si="78">(($B$31+1)*GM19)/(GM19+$B$31*((1-$B$32)+$B$32*($B51/$B$33)))*GM$27</f>
        <v>0</v>
      </c>
      <c r="GN51" s="39">
        <f t="shared" si="78"/>
        <v>0</v>
      </c>
      <c r="GO51" s="39">
        <f t="shared" si="78"/>
        <v>0</v>
      </c>
      <c r="GP51" s="39">
        <f t="shared" si="78"/>
        <v>0</v>
      </c>
      <c r="GQ51" s="39">
        <f t="shared" si="78"/>
        <v>0</v>
      </c>
      <c r="GR51" s="39">
        <f t="shared" si="78"/>
        <v>0</v>
      </c>
      <c r="GS51" s="39">
        <f t="shared" si="78"/>
        <v>0</v>
      </c>
      <c r="GT51" s="39">
        <f t="shared" si="78"/>
        <v>0</v>
      </c>
      <c r="GU51" s="39">
        <f t="shared" si="78"/>
        <v>0</v>
      </c>
      <c r="GV51" s="39">
        <f t="shared" si="78"/>
        <v>0</v>
      </c>
      <c r="GW51" s="39">
        <f t="shared" si="78"/>
        <v>0</v>
      </c>
      <c r="GX51" s="39">
        <f t="shared" si="78"/>
        <v>0</v>
      </c>
      <c r="GY51" s="39">
        <f t="shared" si="78"/>
        <v>0</v>
      </c>
      <c r="GZ51" s="39">
        <f t="shared" si="78"/>
        <v>0</v>
      </c>
      <c r="HA51" s="39">
        <f t="shared" si="78"/>
        <v>0</v>
      </c>
      <c r="HB51" s="39">
        <f t="shared" si="78"/>
        <v>0</v>
      </c>
      <c r="HC51" s="39">
        <f t="shared" si="78"/>
        <v>0</v>
      </c>
      <c r="HD51" s="39">
        <f t="shared" si="78"/>
        <v>0</v>
      </c>
      <c r="HE51" s="39">
        <f t="shared" si="78"/>
        <v>0</v>
      </c>
      <c r="HF51" s="39">
        <f t="shared" si="78"/>
        <v>0</v>
      </c>
      <c r="HG51" s="39">
        <f t="shared" si="78"/>
        <v>0</v>
      </c>
      <c r="HH51" s="39">
        <f t="shared" si="78"/>
        <v>0</v>
      </c>
      <c r="HI51" s="39">
        <f t="shared" si="78"/>
        <v>0</v>
      </c>
      <c r="HJ51" s="39">
        <f t="shared" si="78"/>
        <v>0</v>
      </c>
      <c r="HK51" s="39">
        <f t="shared" si="78"/>
        <v>0</v>
      </c>
      <c r="HL51" s="39">
        <f t="shared" si="78"/>
        <v>0</v>
      </c>
      <c r="HM51" s="39">
        <f t="shared" si="78"/>
        <v>0</v>
      </c>
      <c r="HN51" s="39">
        <f t="shared" si="78"/>
        <v>0</v>
      </c>
      <c r="HO51" s="39">
        <f t="shared" si="78"/>
        <v>0</v>
      </c>
      <c r="HP51" s="39">
        <f t="shared" si="78"/>
        <v>0</v>
      </c>
      <c r="HQ51" s="39">
        <f t="shared" si="78"/>
        <v>0</v>
      </c>
      <c r="HR51" s="39">
        <f t="shared" si="78"/>
        <v>0</v>
      </c>
      <c r="HS51" s="39">
        <f t="shared" si="78"/>
        <v>0</v>
      </c>
      <c r="HT51" s="39">
        <f t="shared" si="78"/>
        <v>0</v>
      </c>
      <c r="HU51" s="39">
        <f t="shared" si="78"/>
        <v>0</v>
      </c>
      <c r="HV51" s="39">
        <f t="shared" si="78"/>
        <v>0</v>
      </c>
      <c r="HW51" s="39">
        <f t="shared" si="78"/>
        <v>0</v>
      </c>
      <c r="HX51" s="39">
        <f t="shared" si="78"/>
        <v>0</v>
      </c>
      <c r="HY51" s="39">
        <f t="shared" si="78"/>
        <v>0</v>
      </c>
      <c r="HZ51" s="39">
        <f t="shared" si="78"/>
        <v>0</v>
      </c>
      <c r="IA51" s="39">
        <f t="shared" si="78"/>
        <v>0</v>
      </c>
      <c r="IB51" s="39">
        <f t="shared" si="78"/>
        <v>0</v>
      </c>
      <c r="IC51" s="39">
        <f t="shared" si="78"/>
        <v>0</v>
      </c>
      <c r="ID51" s="39">
        <f t="shared" si="78"/>
        <v>0</v>
      </c>
      <c r="IE51" s="39">
        <f t="shared" si="78"/>
        <v>0</v>
      </c>
      <c r="IF51" s="39">
        <f t="shared" si="78"/>
        <v>0</v>
      </c>
      <c r="IG51" s="39">
        <f t="shared" si="78"/>
        <v>0</v>
      </c>
      <c r="IH51" s="43">
        <v>0.19892282280080006</v>
      </c>
      <c r="II51" s="43">
        <v>0.25078010442079662</v>
      </c>
    </row>
    <row r="52" spans="1:243" x14ac:dyDescent="0.3">
      <c r="A52" s="34" t="s">
        <v>53</v>
      </c>
      <c r="B52" s="38">
        <f t="shared" si="14"/>
        <v>21</v>
      </c>
      <c r="C52" s="39">
        <f t="shared" ref="C52:BN52" si="79">(($B$31+1)*C20)/(C20+$B$31*((1-$B$32)+$B$32*($B52/$B$33)))*C$27</f>
        <v>0</v>
      </c>
      <c r="D52" s="39">
        <f t="shared" si="79"/>
        <v>0</v>
      </c>
      <c r="E52" s="39">
        <f t="shared" si="79"/>
        <v>0</v>
      </c>
      <c r="F52" s="39">
        <f t="shared" si="79"/>
        <v>0</v>
      </c>
      <c r="G52" s="39">
        <f t="shared" si="79"/>
        <v>0</v>
      </c>
      <c r="H52" s="39">
        <f t="shared" si="79"/>
        <v>0</v>
      </c>
      <c r="I52" s="39">
        <f t="shared" si="79"/>
        <v>0</v>
      </c>
      <c r="J52" s="39">
        <f t="shared" si="79"/>
        <v>0</v>
      </c>
      <c r="K52" s="39">
        <f t="shared" si="79"/>
        <v>0</v>
      </c>
      <c r="L52" s="39">
        <f t="shared" si="79"/>
        <v>0</v>
      </c>
      <c r="M52" s="39">
        <f t="shared" si="79"/>
        <v>0</v>
      </c>
      <c r="N52" s="39">
        <f t="shared" si="79"/>
        <v>0</v>
      </c>
      <c r="O52" s="39">
        <f t="shared" si="79"/>
        <v>0</v>
      </c>
      <c r="P52" s="39">
        <f t="shared" si="79"/>
        <v>2.0017738595113763</v>
      </c>
      <c r="Q52" s="39">
        <f t="shared" si="79"/>
        <v>0</v>
      </c>
      <c r="R52" s="39">
        <f t="shared" si="79"/>
        <v>0</v>
      </c>
      <c r="S52" s="39">
        <f t="shared" si="79"/>
        <v>0</v>
      </c>
      <c r="T52" s="39">
        <f t="shared" si="79"/>
        <v>0</v>
      </c>
      <c r="U52" s="39">
        <f t="shared" si="79"/>
        <v>0</v>
      </c>
      <c r="V52" s="39">
        <f t="shared" si="79"/>
        <v>0</v>
      </c>
      <c r="W52" s="39">
        <f t="shared" si="79"/>
        <v>0</v>
      </c>
      <c r="X52" s="39">
        <f t="shared" si="79"/>
        <v>0</v>
      </c>
      <c r="Y52" s="39">
        <f t="shared" si="79"/>
        <v>0</v>
      </c>
      <c r="Z52" s="39">
        <f t="shared" si="79"/>
        <v>0</v>
      </c>
      <c r="AA52" s="39">
        <f t="shared" si="79"/>
        <v>0</v>
      </c>
      <c r="AB52" s="39">
        <f t="shared" si="79"/>
        <v>0</v>
      </c>
      <c r="AC52" s="39">
        <f t="shared" si="79"/>
        <v>0</v>
      </c>
      <c r="AD52" s="39">
        <f t="shared" si="79"/>
        <v>0</v>
      </c>
      <c r="AE52" s="39">
        <f t="shared" si="79"/>
        <v>0</v>
      </c>
      <c r="AF52" s="39">
        <f t="shared" si="79"/>
        <v>0</v>
      </c>
      <c r="AG52" s="39">
        <f t="shared" si="79"/>
        <v>0</v>
      </c>
      <c r="AH52" s="39">
        <f t="shared" si="79"/>
        <v>0</v>
      </c>
      <c r="AI52" s="39">
        <f t="shared" si="79"/>
        <v>0</v>
      </c>
      <c r="AJ52" s="39">
        <f t="shared" si="79"/>
        <v>1.084647333536233</v>
      </c>
      <c r="AK52" s="39">
        <f t="shared" si="79"/>
        <v>0</v>
      </c>
      <c r="AL52" s="39">
        <f t="shared" si="79"/>
        <v>0</v>
      </c>
      <c r="AM52" s="39">
        <f t="shared" si="79"/>
        <v>0</v>
      </c>
      <c r="AN52" s="39">
        <f t="shared" si="79"/>
        <v>0</v>
      </c>
      <c r="AO52" s="39">
        <f t="shared" si="79"/>
        <v>0</v>
      </c>
      <c r="AP52" s="39">
        <f t="shared" si="79"/>
        <v>0</v>
      </c>
      <c r="AQ52" s="39">
        <f t="shared" si="79"/>
        <v>0</v>
      </c>
      <c r="AR52" s="39">
        <f t="shared" si="79"/>
        <v>0</v>
      </c>
      <c r="AS52" s="39">
        <f t="shared" si="79"/>
        <v>0</v>
      </c>
      <c r="AT52" s="39">
        <f t="shared" si="79"/>
        <v>0</v>
      </c>
      <c r="AU52" s="39">
        <f t="shared" si="79"/>
        <v>0</v>
      </c>
      <c r="AV52" s="39">
        <f t="shared" si="79"/>
        <v>0</v>
      </c>
      <c r="AW52" s="39">
        <f t="shared" si="79"/>
        <v>0</v>
      </c>
      <c r="AX52" s="39">
        <f t="shared" si="79"/>
        <v>0</v>
      </c>
      <c r="AY52" s="39">
        <f t="shared" si="79"/>
        <v>0</v>
      </c>
      <c r="AZ52" s="39">
        <f t="shared" si="79"/>
        <v>0</v>
      </c>
      <c r="BA52" s="39">
        <f t="shared" si="79"/>
        <v>0</v>
      </c>
      <c r="BB52" s="39">
        <f t="shared" si="79"/>
        <v>0</v>
      </c>
      <c r="BC52" s="39">
        <f t="shared" si="79"/>
        <v>0</v>
      </c>
      <c r="BD52" s="39">
        <f t="shared" si="79"/>
        <v>0</v>
      </c>
      <c r="BE52" s="39">
        <f t="shared" si="79"/>
        <v>0</v>
      </c>
      <c r="BF52" s="39">
        <f t="shared" si="79"/>
        <v>0</v>
      </c>
      <c r="BG52" s="39">
        <f t="shared" si="79"/>
        <v>0</v>
      </c>
      <c r="BH52" s="39">
        <f t="shared" si="79"/>
        <v>0</v>
      </c>
      <c r="BI52" s="39">
        <f t="shared" si="79"/>
        <v>0</v>
      </c>
      <c r="BJ52" s="39">
        <f t="shared" si="79"/>
        <v>0</v>
      </c>
      <c r="BK52" s="39">
        <f t="shared" si="79"/>
        <v>0</v>
      </c>
      <c r="BL52" s="39">
        <f t="shared" si="79"/>
        <v>0</v>
      </c>
      <c r="BM52" s="39">
        <f t="shared" si="79"/>
        <v>2.5804162725387205</v>
      </c>
      <c r="BN52" s="39">
        <f t="shared" si="79"/>
        <v>0</v>
      </c>
      <c r="BO52" s="39">
        <f t="shared" ref="BO52:DZ52" si="80">(($B$31+1)*BO20)/(BO20+$B$31*((1-$B$32)+$B$32*($B52/$B$33)))*BO$27</f>
        <v>0</v>
      </c>
      <c r="BP52" s="39">
        <f t="shared" si="80"/>
        <v>0</v>
      </c>
      <c r="BQ52" s="39">
        <f t="shared" si="80"/>
        <v>0</v>
      </c>
      <c r="BR52" s="39">
        <f t="shared" si="80"/>
        <v>0</v>
      </c>
      <c r="BS52" s="39">
        <f t="shared" si="80"/>
        <v>0</v>
      </c>
      <c r="BT52" s="39">
        <f t="shared" si="80"/>
        <v>0</v>
      </c>
      <c r="BU52" s="39">
        <f t="shared" si="80"/>
        <v>0</v>
      </c>
      <c r="BV52" s="39">
        <f t="shared" si="80"/>
        <v>0</v>
      </c>
      <c r="BW52" s="39">
        <f t="shared" si="80"/>
        <v>0</v>
      </c>
      <c r="BX52" s="39">
        <f t="shared" si="80"/>
        <v>2.5804162725387205</v>
      </c>
      <c r="BY52" s="39">
        <f t="shared" si="80"/>
        <v>0</v>
      </c>
      <c r="BZ52" s="39">
        <f t="shared" si="80"/>
        <v>0</v>
      </c>
      <c r="CA52" s="39">
        <f t="shared" si="80"/>
        <v>0</v>
      </c>
      <c r="CB52" s="39">
        <f t="shared" si="80"/>
        <v>0</v>
      </c>
      <c r="CC52" s="39">
        <f t="shared" si="80"/>
        <v>0</v>
      </c>
      <c r="CD52" s="39">
        <f t="shared" si="80"/>
        <v>0</v>
      </c>
      <c r="CE52" s="39">
        <f t="shared" si="80"/>
        <v>2.5804162725387205</v>
      </c>
      <c r="CF52" s="39">
        <f t="shared" si="80"/>
        <v>0</v>
      </c>
      <c r="CG52" s="39">
        <f t="shared" si="80"/>
        <v>2.5804162725387205</v>
      </c>
      <c r="CH52" s="39">
        <f t="shared" si="80"/>
        <v>2.5804162725387205</v>
      </c>
      <c r="CI52" s="39">
        <f t="shared" si="80"/>
        <v>2.5804162725387205</v>
      </c>
      <c r="CJ52" s="39">
        <f t="shared" si="80"/>
        <v>0</v>
      </c>
      <c r="CK52" s="39">
        <f t="shared" si="80"/>
        <v>0</v>
      </c>
      <c r="CL52" s="39">
        <f t="shared" si="80"/>
        <v>2.5804162725387205</v>
      </c>
      <c r="CM52" s="39">
        <f t="shared" si="80"/>
        <v>0</v>
      </c>
      <c r="CN52" s="39">
        <f t="shared" si="80"/>
        <v>0</v>
      </c>
      <c r="CO52" s="39">
        <f t="shared" si="80"/>
        <v>2.5804162725387205</v>
      </c>
      <c r="CP52" s="39">
        <f t="shared" si="80"/>
        <v>0</v>
      </c>
      <c r="CQ52" s="39">
        <f t="shared" si="80"/>
        <v>2.5804162725387205</v>
      </c>
      <c r="CR52" s="39">
        <f t="shared" si="80"/>
        <v>0</v>
      </c>
      <c r="CS52" s="39">
        <f t="shared" si="80"/>
        <v>0</v>
      </c>
      <c r="CT52" s="39">
        <f t="shared" si="80"/>
        <v>0</v>
      </c>
      <c r="CU52" s="39">
        <f t="shared" si="80"/>
        <v>2.5804162725387205</v>
      </c>
      <c r="CV52" s="39">
        <f t="shared" si="80"/>
        <v>0</v>
      </c>
      <c r="CW52" s="39">
        <f t="shared" si="80"/>
        <v>0</v>
      </c>
      <c r="CX52" s="39">
        <f t="shared" si="80"/>
        <v>0</v>
      </c>
      <c r="CY52" s="39">
        <f t="shared" si="80"/>
        <v>2.5804162725387205</v>
      </c>
      <c r="CZ52" s="39">
        <f t="shared" si="80"/>
        <v>0</v>
      </c>
      <c r="DA52" s="39">
        <f t="shared" si="80"/>
        <v>0</v>
      </c>
      <c r="DB52" s="39">
        <f t="shared" si="80"/>
        <v>0</v>
      </c>
      <c r="DC52" s="39">
        <f t="shared" si="80"/>
        <v>0</v>
      </c>
      <c r="DD52" s="39">
        <f t="shared" si="80"/>
        <v>0</v>
      </c>
      <c r="DE52" s="39">
        <f t="shared" si="80"/>
        <v>0</v>
      </c>
      <c r="DF52" s="39">
        <f t="shared" si="80"/>
        <v>0</v>
      </c>
      <c r="DG52" s="39">
        <f t="shared" si="80"/>
        <v>0</v>
      </c>
      <c r="DH52" s="39">
        <f t="shared" si="80"/>
        <v>0</v>
      </c>
      <c r="DI52" s="39">
        <f t="shared" si="80"/>
        <v>0</v>
      </c>
      <c r="DJ52" s="39">
        <f t="shared" si="80"/>
        <v>0</v>
      </c>
      <c r="DK52" s="39">
        <f t="shared" si="80"/>
        <v>0</v>
      </c>
      <c r="DL52" s="39">
        <f t="shared" si="80"/>
        <v>0</v>
      </c>
      <c r="DM52" s="39">
        <f t="shared" si="80"/>
        <v>0</v>
      </c>
      <c r="DN52" s="39">
        <f t="shared" si="80"/>
        <v>0</v>
      </c>
      <c r="DO52" s="39">
        <f t="shared" si="80"/>
        <v>0</v>
      </c>
      <c r="DP52" s="39">
        <f t="shared" si="80"/>
        <v>0</v>
      </c>
      <c r="DQ52" s="39">
        <f t="shared" si="80"/>
        <v>0</v>
      </c>
      <c r="DR52" s="39">
        <f t="shared" si="80"/>
        <v>0</v>
      </c>
      <c r="DS52" s="39">
        <f t="shared" si="80"/>
        <v>0</v>
      </c>
      <c r="DT52" s="39">
        <f t="shared" si="80"/>
        <v>0</v>
      </c>
      <c r="DU52" s="39">
        <f t="shared" si="80"/>
        <v>0</v>
      </c>
      <c r="DV52" s="39">
        <f t="shared" si="80"/>
        <v>0</v>
      </c>
      <c r="DW52" s="39">
        <f t="shared" si="80"/>
        <v>0</v>
      </c>
      <c r="DX52" s="39">
        <f t="shared" si="80"/>
        <v>0</v>
      </c>
      <c r="DY52" s="39">
        <f t="shared" si="80"/>
        <v>0</v>
      </c>
      <c r="DZ52" s="39">
        <f t="shared" si="80"/>
        <v>0</v>
      </c>
      <c r="EA52" s="39">
        <f t="shared" ref="EA52:GL52" si="81">(($B$31+1)*EA20)/(EA20+$B$31*((1-$B$32)+$B$32*($B52/$B$33)))*EA$27</f>
        <v>0</v>
      </c>
      <c r="EB52" s="39">
        <f t="shared" si="81"/>
        <v>0</v>
      </c>
      <c r="EC52" s="39">
        <f t="shared" si="81"/>
        <v>0</v>
      </c>
      <c r="ED52" s="39">
        <f t="shared" si="81"/>
        <v>0</v>
      </c>
      <c r="EE52" s="39">
        <f t="shared" si="81"/>
        <v>0</v>
      </c>
      <c r="EF52" s="39">
        <f t="shared" si="81"/>
        <v>0</v>
      </c>
      <c r="EG52" s="39">
        <f t="shared" si="81"/>
        <v>0</v>
      </c>
      <c r="EH52" s="39">
        <f t="shared" si="81"/>
        <v>0</v>
      </c>
      <c r="EI52" s="39">
        <f t="shared" si="81"/>
        <v>0</v>
      </c>
      <c r="EJ52" s="39">
        <f t="shared" si="81"/>
        <v>0</v>
      </c>
      <c r="EK52" s="39">
        <f t="shared" si="81"/>
        <v>0</v>
      </c>
      <c r="EL52" s="39">
        <f t="shared" si="81"/>
        <v>0.57864241302734398</v>
      </c>
      <c r="EM52" s="39">
        <f t="shared" si="81"/>
        <v>0</v>
      </c>
      <c r="EN52" s="39">
        <f t="shared" si="81"/>
        <v>0</v>
      </c>
      <c r="EO52" s="39">
        <f t="shared" si="81"/>
        <v>0</v>
      </c>
      <c r="EP52" s="39">
        <f t="shared" si="81"/>
        <v>0</v>
      </c>
      <c r="EQ52" s="39">
        <f t="shared" si="81"/>
        <v>0</v>
      </c>
      <c r="ER52" s="39">
        <f t="shared" si="81"/>
        <v>0</v>
      </c>
      <c r="ES52" s="39">
        <f t="shared" si="81"/>
        <v>0</v>
      </c>
      <c r="ET52" s="39">
        <f t="shared" si="81"/>
        <v>0</v>
      </c>
      <c r="EU52" s="39">
        <f t="shared" si="81"/>
        <v>0</v>
      </c>
      <c r="EV52" s="39">
        <f t="shared" si="81"/>
        <v>0</v>
      </c>
      <c r="EW52" s="39">
        <f t="shared" si="81"/>
        <v>0</v>
      </c>
      <c r="EX52" s="39">
        <f t="shared" si="81"/>
        <v>0</v>
      </c>
      <c r="EY52" s="39">
        <f t="shared" si="81"/>
        <v>0</v>
      </c>
      <c r="EZ52" s="39">
        <f t="shared" si="81"/>
        <v>0</v>
      </c>
      <c r="FA52" s="39">
        <f t="shared" si="81"/>
        <v>0</v>
      </c>
      <c r="FB52" s="39">
        <f t="shared" si="81"/>
        <v>0</v>
      </c>
      <c r="FC52" s="39">
        <f t="shared" si="81"/>
        <v>0</v>
      </c>
      <c r="FD52" s="39">
        <f t="shared" si="81"/>
        <v>0</v>
      </c>
      <c r="FE52" s="39">
        <f t="shared" si="81"/>
        <v>0</v>
      </c>
      <c r="FF52" s="39">
        <f t="shared" si="81"/>
        <v>0</v>
      </c>
      <c r="FG52" s="39">
        <f t="shared" si="81"/>
        <v>0</v>
      </c>
      <c r="FH52" s="39">
        <f t="shared" si="81"/>
        <v>0</v>
      </c>
      <c r="FI52" s="39">
        <f t="shared" si="81"/>
        <v>2.0017738595113763</v>
      </c>
      <c r="FJ52" s="39">
        <f t="shared" si="81"/>
        <v>0</v>
      </c>
      <c r="FK52" s="39">
        <f t="shared" si="81"/>
        <v>0</v>
      </c>
      <c r="FL52" s="39">
        <f t="shared" si="81"/>
        <v>0</v>
      </c>
      <c r="FM52" s="39">
        <f t="shared" si="81"/>
        <v>0</v>
      </c>
      <c r="FN52" s="39">
        <f t="shared" si="81"/>
        <v>0</v>
      </c>
      <c r="FO52" s="39">
        <f t="shared" si="81"/>
        <v>0</v>
      </c>
      <c r="FP52" s="39">
        <f t="shared" si="81"/>
        <v>0</v>
      </c>
      <c r="FQ52" s="39">
        <f t="shared" si="81"/>
        <v>0</v>
      </c>
      <c r="FR52" s="39">
        <f t="shared" si="81"/>
        <v>0</v>
      </c>
      <c r="FS52" s="39">
        <f t="shared" si="81"/>
        <v>0</v>
      </c>
      <c r="FT52" s="39">
        <f t="shared" si="81"/>
        <v>0</v>
      </c>
      <c r="FU52" s="39">
        <f t="shared" si="81"/>
        <v>0</v>
      </c>
      <c r="FV52" s="39">
        <f t="shared" si="81"/>
        <v>0</v>
      </c>
      <c r="FW52" s="39">
        <f t="shared" si="81"/>
        <v>0</v>
      </c>
      <c r="FX52" s="39">
        <f t="shared" si="81"/>
        <v>0</v>
      </c>
      <c r="FY52" s="39">
        <f t="shared" si="81"/>
        <v>0</v>
      </c>
      <c r="FZ52" s="39">
        <f t="shared" si="81"/>
        <v>0</v>
      </c>
      <c r="GA52" s="39">
        <f t="shared" si="81"/>
        <v>0</v>
      </c>
      <c r="GB52" s="39">
        <f t="shared" si="81"/>
        <v>2.5804162725387205</v>
      </c>
      <c r="GC52" s="39">
        <f t="shared" si="81"/>
        <v>0</v>
      </c>
      <c r="GD52" s="39">
        <f t="shared" si="81"/>
        <v>0</v>
      </c>
      <c r="GE52" s="39">
        <f t="shared" si="81"/>
        <v>0</v>
      </c>
      <c r="GF52" s="39">
        <f t="shared" si="81"/>
        <v>0</v>
      </c>
      <c r="GG52" s="39">
        <f t="shared" si="81"/>
        <v>0</v>
      </c>
      <c r="GH52" s="39">
        <f t="shared" si="81"/>
        <v>0</v>
      </c>
      <c r="GI52" s="39">
        <f t="shared" si="81"/>
        <v>0</v>
      </c>
      <c r="GJ52" s="39">
        <f t="shared" si="81"/>
        <v>0</v>
      </c>
      <c r="GK52" s="39">
        <f t="shared" si="81"/>
        <v>0</v>
      </c>
      <c r="GL52" s="39">
        <f t="shared" si="81"/>
        <v>0</v>
      </c>
      <c r="GM52" s="39">
        <f t="shared" ref="GM52:IG52" si="82">(($B$31+1)*GM20)/(GM20+$B$31*((1-$B$32)+$B$32*($B52/$B$33)))*GM$27</f>
        <v>0</v>
      </c>
      <c r="GN52" s="39">
        <f t="shared" si="82"/>
        <v>2.5804162725387205</v>
      </c>
      <c r="GO52" s="39">
        <f t="shared" si="82"/>
        <v>0</v>
      </c>
      <c r="GP52" s="39">
        <f t="shared" si="82"/>
        <v>0</v>
      </c>
      <c r="GQ52" s="39">
        <f t="shared" si="82"/>
        <v>0</v>
      </c>
      <c r="GR52" s="39">
        <f t="shared" si="82"/>
        <v>0</v>
      </c>
      <c r="GS52" s="39">
        <f t="shared" si="82"/>
        <v>0</v>
      </c>
      <c r="GT52" s="39">
        <f t="shared" si="82"/>
        <v>0</v>
      </c>
      <c r="GU52" s="39">
        <f t="shared" si="82"/>
        <v>0</v>
      </c>
      <c r="GV52" s="39">
        <f t="shared" si="82"/>
        <v>0</v>
      </c>
      <c r="GW52" s="39">
        <f t="shared" si="82"/>
        <v>0</v>
      </c>
      <c r="GX52" s="39">
        <f t="shared" si="82"/>
        <v>0</v>
      </c>
      <c r="GY52" s="39">
        <f t="shared" si="82"/>
        <v>0</v>
      </c>
      <c r="GZ52" s="39">
        <f t="shared" si="82"/>
        <v>2.5804162725387205</v>
      </c>
      <c r="HA52" s="39">
        <f t="shared" si="82"/>
        <v>0</v>
      </c>
      <c r="HB52" s="39">
        <f t="shared" si="82"/>
        <v>0</v>
      </c>
      <c r="HC52" s="39">
        <f t="shared" si="82"/>
        <v>0</v>
      </c>
      <c r="HD52" s="39">
        <f t="shared" si="82"/>
        <v>0</v>
      </c>
      <c r="HE52" s="39">
        <f t="shared" si="82"/>
        <v>0</v>
      </c>
      <c r="HF52" s="39">
        <f t="shared" si="82"/>
        <v>0</v>
      </c>
      <c r="HG52" s="39">
        <f t="shared" si="82"/>
        <v>2.5804162725387205</v>
      </c>
      <c r="HH52" s="39">
        <f t="shared" si="82"/>
        <v>0</v>
      </c>
      <c r="HI52" s="39">
        <f t="shared" si="82"/>
        <v>0</v>
      </c>
      <c r="HJ52" s="39">
        <f t="shared" si="82"/>
        <v>0</v>
      </c>
      <c r="HK52" s="39">
        <f t="shared" si="82"/>
        <v>0</v>
      </c>
      <c r="HL52" s="39">
        <f t="shared" si="82"/>
        <v>0</v>
      </c>
      <c r="HM52" s="39">
        <f t="shared" si="82"/>
        <v>0</v>
      </c>
      <c r="HN52" s="39">
        <f t="shared" si="82"/>
        <v>2.5804162725387205</v>
      </c>
      <c r="HO52" s="39">
        <f t="shared" si="82"/>
        <v>0</v>
      </c>
      <c r="HP52" s="39">
        <f t="shared" si="82"/>
        <v>0</v>
      </c>
      <c r="HQ52" s="39">
        <f t="shared" si="82"/>
        <v>0</v>
      </c>
      <c r="HR52" s="39">
        <f t="shared" si="82"/>
        <v>0</v>
      </c>
      <c r="HS52" s="39">
        <f t="shared" si="82"/>
        <v>0</v>
      </c>
      <c r="HT52" s="39">
        <f t="shared" si="82"/>
        <v>0</v>
      </c>
      <c r="HU52" s="39">
        <f t="shared" si="82"/>
        <v>0</v>
      </c>
      <c r="HV52" s="39">
        <f t="shared" si="82"/>
        <v>0</v>
      </c>
      <c r="HW52" s="39">
        <f t="shared" si="82"/>
        <v>0</v>
      </c>
      <c r="HX52" s="39">
        <f t="shared" si="82"/>
        <v>0</v>
      </c>
      <c r="HY52" s="39">
        <f t="shared" si="82"/>
        <v>0</v>
      </c>
      <c r="HZ52" s="39">
        <f t="shared" si="82"/>
        <v>0</v>
      </c>
      <c r="IA52" s="39">
        <f t="shared" si="82"/>
        <v>0</v>
      </c>
      <c r="IB52" s="39">
        <f t="shared" si="82"/>
        <v>0</v>
      </c>
      <c r="IC52" s="39">
        <f t="shared" si="82"/>
        <v>0</v>
      </c>
      <c r="ID52" s="39">
        <f t="shared" si="82"/>
        <v>0</v>
      </c>
      <c r="IE52" s="39">
        <f t="shared" si="82"/>
        <v>0</v>
      </c>
      <c r="IF52" s="39">
        <f t="shared" si="82"/>
        <v>1.6632897465635768</v>
      </c>
      <c r="IG52" s="39">
        <f t="shared" si="82"/>
        <v>0</v>
      </c>
      <c r="IH52" s="43">
        <v>0.27391694502995456</v>
      </c>
      <c r="II52" s="43">
        <v>0.23626459011490025</v>
      </c>
    </row>
    <row r="53" spans="1:243" x14ac:dyDescent="0.3">
      <c r="A53" s="34" t="s">
        <v>54</v>
      </c>
      <c r="B53" s="38">
        <f t="shared" si="14"/>
        <v>3</v>
      </c>
      <c r="C53" s="39">
        <f t="shared" ref="C53:BN53" si="83">(($B$31+1)*C21)/(C21+$B$31*((1-$B$32)+$B$32*($B53/$B$33)))*C$27</f>
        <v>0</v>
      </c>
      <c r="D53" s="39">
        <f t="shared" si="83"/>
        <v>0</v>
      </c>
      <c r="E53" s="39">
        <f t="shared" si="83"/>
        <v>0</v>
      </c>
      <c r="F53" s="39">
        <f t="shared" si="83"/>
        <v>0</v>
      </c>
      <c r="G53" s="39">
        <f t="shared" si="83"/>
        <v>0</v>
      </c>
      <c r="H53" s="39">
        <f t="shared" si="83"/>
        <v>0</v>
      </c>
      <c r="I53" s="39">
        <f t="shared" si="83"/>
        <v>5.1543327559778467</v>
      </c>
      <c r="J53" s="39">
        <f t="shared" si="83"/>
        <v>0</v>
      </c>
      <c r="K53" s="39">
        <f t="shared" si="83"/>
        <v>0</v>
      </c>
      <c r="L53" s="39">
        <f t="shared" si="83"/>
        <v>0</v>
      </c>
      <c r="M53" s="39">
        <f t="shared" si="83"/>
        <v>0</v>
      </c>
      <c r="N53" s="39">
        <f t="shared" si="83"/>
        <v>0</v>
      </c>
      <c r="O53" s="39">
        <f t="shared" si="83"/>
        <v>0</v>
      </c>
      <c r="P53" s="39">
        <f t="shared" si="83"/>
        <v>0</v>
      </c>
      <c r="Q53" s="39">
        <f t="shared" si="83"/>
        <v>0</v>
      </c>
      <c r="R53" s="39">
        <f t="shared" si="83"/>
        <v>0</v>
      </c>
      <c r="S53" s="39">
        <f t="shared" si="83"/>
        <v>0</v>
      </c>
      <c r="T53" s="39">
        <f t="shared" si="83"/>
        <v>0</v>
      </c>
      <c r="U53" s="39">
        <f t="shared" si="83"/>
        <v>0</v>
      </c>
      <c r="V53" s="39">
        <f t="shared" si="83"/>
        <v>0</v>
      </c>
      <c r="W53" s="39">
        <f t="shared" si="83"/>
        <v>0</v>
      </c>
      <c r="X53" s="39">
        <f t="shared" si="83"/>
        <v>0</v>
      </c>
      <c r="Y53" s="39">
        <f t="shared" si="83"/>
        <v>0</v>
      </c>
      <c r="Z53" s="39">
        <f t="shared" si="83"/>
        <v>0</v>
      </c>
      <c r="AA53" s="39">
        <f t="shared" si="83"/>
        <v>0</v>
      </c>
      <c r="AB53" s="39">
        <f t="shared" si="83"/>
        <v>0</v>
      </c>
      <c r="AC53" s="39">
        <f t="shared" si="83"/>
        <v>0</v>
      </c>
      <c r="AD53" s="39">
        <f t="shared" si="83"/>
        <v>0</v>
      </c>
      <c r="AE53" s="39">
        <f t="shared" si="83"/>
        <v>0</v>
      </c>
      <c r="AF53" s="39">
        <f t="shared" si="83"/>
        <v>0</v>
      </c>
      <c r="AG53" s="39">
        <f t="shared" si="83"/>
        <v>0</v>
      </c>
      <c r="AH53" s="39">
        <f t="shared" si="83"/>
        <v>0</v>
      </c>
      <c r="AI53" s="39">
        <f t="shared" si="83"/>
        <v>0</v>
      </c>
      <c r="AJ53" s="39">
        <f t="shared" si="83"/>
        <v>0</v>
      </c>
      <c r="AK53" s="39">
        <f t="shared" si="83"/>
        <v>0</v>
      </c>
      <c r="AL53" s="39">
        <f t="shared" si="83"/>
        <v>0</v>
      </c>
      <c r="AM53" s="39">
        <f t="shared" si="83"/>
        <v>0</v>
      </c>
      <c r="AN53" s="39">
        <f t="shared" si="83"/>
        <v>0</v>
      </c>
      <c r="AO53" s="39">
        <f t="shared" si="83"/>
        <v>0</v>
      </c>
      <c r="AP53" s="39">
        <f t="shared" si="83"/>
        <v>0</v>
      </c>
      <c r="AQ53" s="39">
        <f t="shared" si="83"/>
        <v>0</v>
      </c>
      <c r="AR53" s="39">
        <f t="shared" si="83"/>
        <v>0</v>
      </c>
      <c r="AS53" s="39">
        <f t="shared" si="83"/>
        <v>0</v>
      </c>
      <c r="AT53" s="39">
        <f t="shared" si="83"/>
        <v>0</v>
      </c>
      <c r="AU53" s="39">
        <f t="shared" si="83"/>
        <v>0</v>
      </c>
      <c r="AV53" s="39">
        <f t="shared" si="83"/>
        <v>0</v>
      </c>
      <c r="AW53" s="39">
        <f t="shared" si="83"/>
        <v>0</v>
      </c>
      <c r="AX53" s="39">
        <f t="shared" si="83"/>
        <v>0</v>
      </c>
      <c r="AY53" s="39">
        <f t="shared" si="83"/>
        <v>0</v>
      </c>
      <c r="AZ53" s="39">
        <f t="shared" si="83"/>
        <v>0</v>
      </c>
      <c r="BA53" s="39">
        <f t="shared" si="83"/>
        <v>0</v>
      </c>
      <c r="BB53" s="39">
        <f t="shared" si="83"/>
        <v>0</v>
      </c>
      <c r="BC53" s="39">
        <f t="shared" si="83"/>
        <v>0</v>
      </c>
      <c r="BD53" s="39">
        <f t="shared" si="83"/>
        <v>0</v>
      </c>
      <c r="BE53" s="39">
        <f t="shared" si="83"/>
        <v>0</v>
      </c>
      <c r="BF53" s="39">
        <f t="shared" si="83"/>
        <v>0</v>
      </c>
      <c r="BG53" s="39">
        <f t="shared" si="83"/>
        <v>0</v>
      </c>
      <c r="BH53" s="39">
        <f t="shared" si="83"/>
        <v>0</v>
      </c>
      <c r="BI53" s="39">
        <f t="shared" si="83"/>
        <v>0</v>
      </c>
      <c r="BJ53" s="39">
        <f t="shared" si="83"/>
        <v>0</v>
      </c>
      <c r="BK53" s="39">
        <f t="shared" si="83"/>
        <v>0</v>
      </c>
      <c r="BL53" s="39">
        <f t="shared" si="83"/>
        <v>0</v>
      </c>
      <c r="BM53" s="39">
        <f t="shared" si="83"/>
        <v>0</v>
      </c>
      <c r="BN53" s="39">
        <f t="shared" si="83"/>
        <v>0</v>
      </c>
      <c r="BO53" s="39">
        <f t="shared" ref="BO53:DZ53" si="84">(($B$31+1)*BO21)/(BO21+$B$31*((1-$B$32)+$B$32*($B53/$B$33)))*BO$27</f>
        <v>0</v>
      </c>
      <c r="BP53" s="39">
        <f t="shared" si="84"/>
        <v>0</v>
      </c>
      <c r="BQ53" s="39">
        <f t="shared" si="84"/>
        <v>0</v>
      </c>
      <c r="BR53" s="39">
        <f t="shared" si="84"/>
        <v>0</v>
      </c>
      <c r="BS53" s="39">
        <f t="shared" si="84"/>
        <v>0</v>
      </c>
      <c r="BT53" s="39">
        <f t="shared" si="84"/>
        <v>0</v>
      </c>
      <c r="BU53" s="39">
        <f t="shared" si="84"/>
        <v>0</v>
      </c>
      <c r="BV53" s="39">
        <f t="shared" si="84"/>
        <v>0</v>
      </c>
      <c r="BW53" s="39">
        <f t="shared" si="84"/>
        <v>0</v>
      </c>
      <c r="BX53" s="39">
        <f t="shared" si="84"/>
        <v>0</v>
      </c>
      <c r="BY53" s="39">
        <f t="shared" si="84"/>
        <v>0</v>
      </c>
      <c r="BZ53" s="39">
        <f t="shared" si="84"/>
        <v>0</v>
      </c>
      <c r="CA53" s="39">
        <f t="shared" si="84"/>
        <v>0</v>
      </c>
      <c r="CB53" s="39">
        <f t="shared" si="84"/>
        <v>0</v>
      </c>
      <c r="CC53" s="39">
        <f t="shared" si="84"/>
        <v>0</v>
      </c>
      <c r="CD53" s="39">
        <f t="shared" si="84"/>
        <v>0</v>
      </c>
      <c r="CE53" s="39">
        <f t="shared" si="84"/>
        <v>0</v>
      </c>
      <c r="CF53" s="39">
        <f t="shared" si="84"/>
        <v>0</v>
      </c>
      <c r="CG53" s="39">
        <f t="shared" si="84"/>
        <v>0</v>
      </c>
      <c r="CH53" s="39">
        <f t="shared" si="84"/>
        <v>0</v>
      </c>
      <c r="CI53" s="39">
        <f t="shared" si="84"/>
        <v>0</v>
      </c>
      <c r="CJ53" s="39">
        <f t="shared" si="84"/>
        <v>0</v>
      </c>
      <c r="CK53" s="39">
        <f t="shared" si="84"/>
        <v>0</v>
      </c>
      <c r="CL53" s="39">
        <f t="shared" si="84"/>
        <v>0</v>
      </c>
      <c r="CM53" s="39">
        <f t="shared" si="84"/>
        <v>0</v>
      </c>
      <c r="CN53" s="39">
        <f t="shared" si="84"/>
        <v>0</v>
      </c>
      <c r="CO53" s="39">
        <f t="shared" si="84"/>
        <v>0</v>
      </c>
      <c r="CP53" s="39">
        <f t="shared" si="84"/>
        <v>0</v>
      </c>
      <c r="CQ53" s="39">
        <f t="shared" si="84"/>
        <v>0</v>
      </c>
      <c r="CR53" s="39">
        <f t="shared" si="84"/>
        <v>0</v>
      </c>
      <c r="CS53" s="39">
        <f t="shared" si="84"/>
        <v>0</v>
      </c>
      <c r="CT53" s="39">
        <f t="shared" si="84"/>
        <v>0</v>
      </c>
      <c r="CU53" s="39">
        <f t="shared" si="84"/>
        <v>0</v>
      </c>
      <c r="CV53" s="39">
        <f t="shared" si="84"/>
        <v>0</v>
      </c>
      <c r="CW53" s="39">
        <f t="shared" si="84"/>
        <v>0</v>
      </c>
      <c r="CX53" s="39">
        <f t="shared" si="84"/>
        <v>0</v>
      </c>
      <c r="CY53" s="39">
        <f t="shared" si="84"/>
        <v>0</v>
      </c>
      <c r="CZ53" s="39">
        <f t="shared" si="84"/>
        <v>0</v>
      </c>
      <c r="DA53" s="39">
        <f t="shared" si="84"/>
        <v>0</v>
      </c>
      <c r="DB53" s="39">
        <f t="shared" si="84"/>
        <v>0</v>
      </c>
      <c r="DC53" s="39">
        <f t="shared" si="84"/>
        <v>0</v>
      </c>
      <c r="DD53" s="39">
        <f t="shared" si="84"/>
        <v>0</v>
      </c>
      <c r="DE53" s="39">
        <f t="shared" si="84"/>
        <v>0</v>
      </c>
      <c r="DF53" s="39">
        <f t="shared" si="84"/>
        <v>0</v>
      </c>
      <c r="DG53" s="39">
        <f t="shared" si="84"/>
        <v>0</v>
      </c>
      <c r="DH53" s="39">
        <f t="shared" si="84"/>
        <v>0</v>
      </c>
      <c r="DI53" s="39">
        <f t="shared" si="84"/>
        <v>0</v>
      </c>
      <c r="DJ53" s="39">
        <f t="shared" si="84"/>
        <v>0</v>
      </c>
      <c r="DK53" s="39">
        <f t="shared" si="84"/>
        <v>0</v>
      </c>
      <c r="DL53" s="39">
        <f t="shared" si="84"/>
        <v>0</v>
      </c>
      <c r="DM53" s="39">
        <f t="shared" si="84"/>
        <v>0</v>
      </c>
      <c r="DN53" s="39">
        <f t="shared" si="84"/>
        <v>0</v>
      </c>
      <c r="DO53" s="39">
        <f t="shared" si="84"/>
        <v>0</v>
      </c>
      <c r="DP53" s="39">
        <f t="shared" si="84"/>
        <v>0</v>
      </c>
      <c r="DQ53" s="39">
        <f t="shared" si="84"/>
        <v>0</v>
      </c>
      <c r="DR53" s="39">
        <f t="shared" si="84"/>
        <v>0</v>
      </c>
      <c r="DS53" s="39">
        <f t="shared" si="84"/>
        <v>0</v>
      </c>
      <c r="DT53" s="39">
        <f t="shared" si="84"/>
        <v>0</v>
      </c>
      <c r="DU53" s="39">
        <f t="shared" si="84"/>
        <v>0</v>
      </c>
      <c r="DV53" s="39">
        <f t="shared" si="84"/>
        <v>0</v>
      </c>
      <c r="DW53" s="39">
        <f t="shared" si="84"/>
        <v>0</v>
      </c>
      <c r="DX53" s="39">
        <f t="shared" si="84"/>
        <v>5.1543327559778467</v>
      </c>
      <c r="DY53" s="39">
        <f t="shared" si="84"/>
        <v>0</v>
      </c>
      <c r="DZ53" s="39">
        <f t="shared" si="84"/>
        <v>0</v>
      </c>
      <c r="EA53" s="39">
        <f t="shared" ref="EA53:GL53" si="85">(($B$31+1)*EA21)/(EA21+$B$31*((1-$B$32)+$B$32*($B53/$B$33)))*EA$27</f>
        <v>0</v>
      </c>
      <c r="EB53" s="39">
        <f t="shared" si="85"/>
        <v>0</v>
      </c>
      <c r="EC53" s="39">
        <f t="shared" si="85"/>
        <v>0</v>
      </c>
      <c r="ED53" s="39">
        <f t="shared" si="85"/>
        <v>0</v>
      </c>
      <c r="EE53" s="39">
        <f t="shared" si="85"/>
        <v>0</v>
      </c>
      <c r="EF53" s="39">
        <f t="shared" si="85"/>
        <v>0</v>
      </c>
      <c r="EG53" s="39">
        <f t="shared" si="85"/>
        <v>0</v>
      </c>
      <c r="EH53" s="39">
        <f t="shared" si="85"/>
        <v>0</v>
      </c>
      <c r="EI53" s="39">
        <f t="shared" si="85"/>
        <v>0</v>
      </c>
      <c r="EJ53" s="39">
        <f t="shared" si="85"/>
        <v>0</v>
      </c>
      <c r="EK53" s="39">
        <f t="shared" si="85"/>
        <v>0</v>
      </c>
      <c r="EL53" s="39">
        <f t="shared" si="85"/>
        <v>0</v>
      </c>
      <c r="EM53" s="39">
        <f t="shared" si="85"/>
        <v>0</v>
      </c>
      <c r="EN53" s="39">
        <f t="shared" si="85"/>
        <v>0</v>
      </c>
      <c r="EO53" s="39">
        <f t="shared" si="85"/>
        <v>0</v>
      </c>
      <c r="EP53" s="39">
        <f t="shared" si="85"/>
        <v>0</v>
      </c>
      <c r="EQ53" s="39">
        <f t="shared" si="85"/>
        <v>0</v>
      </c>
      <c r="ER53" s="39">
        <f t="shared" si="85"/>
        <v>0</v>
      </c>
      <c r="ES53" s="39">
        <f t="shared" si="85"/>
        <v>0</v>
      </c>
      <c r="ET53" s="39">
        <f t="shared" si="85"/>
        <v>0</v>
      </c>
      <c r="EU53" s="39">
        <f t="shared" si="85"/>
        <v>0</v>
      </c>
      <c r="EV53" s="39">
        <f t="shared" si="85"/>
        <v>0</v>
      </c>
      <c r="EW53" s="39">
        <f t="shared" si="85"/>
        <v>0</v>
      </c>
      <c r="EX53" s="39">
        <f t="shared" si="85"/>
        <v>0</v>
      </c>
      <c r="EY53" s="39">
        <f t="shared" si="85"/>
        <v>0</v>
      </c>
      <c r="EZ53" s="39">
        <f t="shared" si="85"/>
        <v>2.8426781789970721</v>
      </c>
      <c r="FA53" s="39">
        <f t="shared" si="85"/>
        <v>0</v>
      </c>
      <c r="FB53" s="39">
        <f t="shared" si="85"/>
        <v>0</v>
      </c>
      <c r="FC53" s="39">
        <f t="shared" si="85"/>
        <v>0</v>
      </c>
      <c r="FD53" s="39">
        <f t="shared" si="85"/>
        <v>0</v>
      </c>
      <c r="FE53" s="39">
        <f t="shared" si="85"/>
        <v>0</v>
      </c>
      <c r="FF53" s="39">
        <f t="shared" si="85"/>
        <v>0</v>
      </c>
      <c r="FG53" s="39">
        <f t="shared" si="85"/>
        <v>0</v>
      </c>
      <c r="FH53" s="39">
        <f t="shared" si="85"/>
        <v>0</v>
      </c>
      <c r="FI53" s="39">
        <f t="shared" si="85"/>
        <v>0</v>
      </c>
      <c r="FJ53" s="39">
        <f t="shared" si="85"/>
        <v>0</v>
      </c>
      <c r="FK53" s="39">
        <f t="shared" si="85"/>
        <v>0</v>
      </c>
      <c r="FL53" s="39">
        <f t="shared" si="85"/>
        <v>0</v>
      </c>
      <c r="FM53" s="39">
        <f t="shared" si="85"/>
        <v>0</v>
      </c>
      <c r="FN53" s="39">
        <f t="shared" si="85"/>
        <v>0</v>
      </c>
      <c r="FO53" s="39">
        <f t="shared" si="85"/>
        <v>0</v>
      </c>
      <c r="FP53" s="39">
        <f t="shared" si="85"/>
        <v>0</v>
      </c>
      <c r="FQ53" s="39">
        <f t="shared" si="85"/>
        <v>0</v>
      </c>
      <c r="FR53" s="39">
        <f t="shared" si="85"/>
        <v>0</v>
      </c>
      <c r="FS53" s="39">
        <f t="shared" si="85"/>
        <v>0</v>
      </c>
      <c r="FT53" s="39">
        <f t="shared" si="85"/>
        <v>0</v>
      </c>
      <c r="FU53" s="39">
        <f t="shared" si="85"/>
        <v>0</v>
      </c>
      <c r="FV53" s="39">
        <f t="shared" si="85"/>
        <v>0</v>
      </c>
      <c r="FW53" s="39">
        <f t="shared" si="85"/>
        <v>0</v>
      </c>
      <c r="FX53" s="39">
        <f t="shared" si="85"/>
        <v>0</v>
      </c>
      <c r="FY53" s="39">
        <f t="shared" si="85"/>
        <v>0</v>
      </c>
      <c r="FZ53" s="39">
        <f t="shared" si="85"/>
        <v>0</v>
      </c>
      <c r="GA53" s="39">
        <f t="shared" si="85"/>
        <v>0</v>
      </c>
      <c r="GB53" s="39">
        <f t="shared" si="85"/>
        <v>0</v>
      </c>
      <c r="GC53" s="39">
        <f t="shared" si="85"/>
        <v>0</v>
      </c>
      <c r="GD53" s="39">
        <f t="shared" si="85"/>
        <v>0</v>
      </c>
      <c r="GE53" s="39">
        <f t="shared" si="85"/>
        <v>0</v>
      </c>
      <c r="GF53" s="39">
        <f t="shared" si="85"/>
        <v>0</v>
      </c>
      <c r="GG53" s="39">
        <f t="shared" si="85"/>
        <v>0</v>
      </c>
      <c r="GH53" s="39">
        <f t="shared" si="85"/>
        <v>0</v>
      </c>
      <c r="GI53" s="39">
        <f t="shared" si="85"/>
        <v>0</v>
      </c>
      <c r="GJ53" s="39">
        <f t="shared" si="85"/>
        <v>0</v>
      </c>
      <c r="GK53" s="39">
        <f t="shared" si="85"/>
        <v>0</v>
      </c>
      <c r="GL53" s="39">
        <f t="shared" si="85"/>
        <v>0</v>
      </c>
      <c r="GM53" s="39">
        <f t="shared" ref="GM53:IG53" si="86">(($B$31+1)*GM21)/(GM21+$B$31*((1-$B$32)+$B$32*($B53/$B$33)))*GM$27</f>
        <v>0</v>
      </c>
      <c r="GN53" s="39">
        <f t="shared" si="86"/>
        <v>0</v>
      </c>
      <c r="GO53" s="39">
        <f t="shared" si="86"/>
        <v>0</v>
      </c>
      <c r="GP53" s="39">
        <f t="shared" si="86"/>
        <v>0</v>
      </c>
      <c r="GQ53" s="39">
        <f t="shared" si="86"/>
        <v>0</v>
      </c>
      <c r="GR53" s="39">
        <f t="shared" si="86"/>
        <v>0</v>
      </c>
      <c r="GS53" s="39">
        <f t="shared" si="86"/>
        <v>0</v>
      </c>
      <c r="GT53" s="39">
        <f t="shared" si="86"/>
        <v>0</v>
      </c>
      <c r="GU53" s="39">
        <f t="shared" si="86"/>
        <v>0</v>
      </c>
      <c r="GV53" s="39">
        <f t="shared" si="86"/>
        <v>0</v>
      </c>
      <c r="GW53" s="39">
        <f t="shared" si="86"/>
        <v>0</v>
      </c>
      <c r="GX53" s="39">
        <f t="shared" si="86"/>
        <v>0</v>
      </c>
      <c r="GY53" s="39">
        <f t="shared" si="86"/>
        <v>0</v>
      </c>
      <c r="GZ53" s="39">
        <f t="shared" si="86"/>
        <v>0</v>
      </c>
      <c r="HA53" s="39">
        <f t="shared" si="86"/>
        <v>0</v>
      </c>
      <c r="HB53" s="39">
        <f t="shared" si="86"/>
        <v>0</v>
      </c>
      <c r="HC53" s="39">
        <f t="shared" si="86"/>
        <v>0</v>
      </c>
      <c r="HD53" s="39">
        <f t="shared" si="86"/>
        <v>0</v>
      </c>
      <c r="HE53" s="39">
        <f t="shared" si="86"/>
        <v>0</v>
      </c>
      <c r="HF53" s="39">
        <f t="shared" si="86"/>
        <v>0</v>
      </c>
      <c r="HG53" s="39">
        <f t="shared" si="86"/>
        <v>0</v>
      </c>
      <c r="HH53" s="39">
        <f t="shared" si="86"/>
        <v>0</v>
      </c>
      <c r="HI53" s="39">
        <f t="shared" si="86"/>
        <v>0</v>
      </c>
      <c r="HJ53" s="39">
        <f t="shared" si="86"/>
        <v>0</v>
      </c>
      <c r="HK53" s="39">
        <f t="shared" si="86"/>
        <v>0</v>
      </c>
      <c r="HL53" s="39">
        <f t="shared" si="86"/>
        <v>0</v>
      </c>
      <c r="HM53" s="39">
        <f t="shared" si="86"/>
        <v>0</v>
      </c>
      <c r="HN53" s="39">
        <f t="shared" si="86"/>
        <v>0</v>
      </c>
      <c r="HO53" s="39">
        <f t="shared" si="86"/>
        <v>0</v>
      </c>
      <c r="HP53" s="39">
        <f t="shared" si="86"/>
        <v>0</v>
      </c>
      <c r="HQ53" s="39">
        <f t="shared" si="86"/>
        <v>0</v>
      </c>
      <c r="HR53" s="39">
        <f t="shared" si="86"/>
        <v>0</v>
      </c>
      <c r="HS53" s="39">
        <f t="shared" si="86"/>
        <v>0</v>
      </c>
      <c r="HT53" s="39">
        <f t="shared" si="86"/>
        <v>0</v>
      </c>
      <c r="HU53" s="39">
        <f t="shared" si="86"/>
        <v>0</v>
      </c>
      <c r="HV53" s="39">
        <f t="shared" si="86"/>
        <v>0</v>
      </c>
      <c r="HW53" s="39">
        <f t="shared" si="86"/>
        <v>0</v>
      </c>
      <c r="HX53" s="39">
        <f t="shared" si="86"/>
        <v>0</v>
      </c>
      <c r="HY53" s="39">
        <f t="shared" si="86"/>
        <v>0</v>
      </c>
      <c r="HZ53" s="39">
        <f t="shared" si="86"/>
        <v>0</v>
      </c>
      <c r="IA53" s="39">
        <f t="shared" si="86"/>
        <v>0</v>
      </c>
      <c r="IB53" s="39">
        <f t="shared" si="86"/>
        <v>0</v>
      </c>
      <c r="IC53" s="39">
        <f t="shared" si="86"/>
        <v>0</v>
      </c>
      <c r="ID53" s="39">
        <f t="shared" si="86"/>
        <v>0</v>
      </c>
      <c r="IE53" s="39">
        <f t="shared" si="86"/>
        <v>0</v>
      </c>
      <c r="IF53" s="39">
        <f t="shared" si="86"/>
        <v>0</v>
      </c>
      <c r="IG53" s="39">
        <f t="shared" si="86"/>
        <v>0</v>
      </c>
      <c r="IH53" s="43">
        <v>0.11321085359246426</v>
      </c>
      <c r="II53" s="43">
        <v>0.17014109461090554</v>
      </c>
    </row>
    <row r="54" spans="1:243" x14ac:dyDescent="0.3">
      <c r="A54" s="34" t="s">
        <v>55</v>
      </c>
      <c r="B54" s="38">
        <f t="shared" si="14"/>
        <v>13</v>
      </c>
      <c r="C54" s="39">
        <f t="shared" ref="C54:BN54" si="87">(($B$31+1)*C22)/(C22+$B$31*((1-$B$32)+$B$32*($B54/$B$33)))*C$27</f>
        <v>0</v>
      </c>
      <c r="D54" s="39">
        <f t="shared" si="87"/>
        <v>0</v>
      </c>
      <c r="E54" s="39">
        <f t="shared" si="87"/>
        <v>0</v>
      </c>
      <c r="F54" s="39">
        <f t="shared" si="87"/>
        <v>0</v>
      </c>
      <c r="G54" s="39">
        <f t="shared" si="87"/>
        <v>0</v>
      </c>
      <c r="H54" s="39">
        <f t="shared" si="87"/>
        <v>0</v>
      </c>
      <c r="I54" s="39">
        <f t="shared" si="87"/>
        <v>0</v>
      </c>
      <c r="J54" s="39">
        <f t="shared" si="87"/>
        <v>0</v>
      </c>
      <c r="K54" s="39">
        <f t="shared" si="87"/>
        <v>0</v>
      </c>
      <c r="L54" s="39">
        <f t="shared" si="87"/>
        <v>0</v>
      </c>
      <c r="M54" s="39">
        <f t="shared" si="87"/>
        <v>0</v>
      </c>
      <c r="N54" s="39">
        <f t="shared" si="87"/>
        <v>0</v>
      </c>
      <c r="O54" s="39">
        <f t="shared" si="87"/>
        <v>1.228650867825912</v>
      </c>
      <c r="P54" s="39">
        <f t="shared" si="87"/>
        <v>0</v>
      </c>
      <c r="Q54" s="39">
        <f t="shared" si="87"/>
        <v>0</v>
      </c>
      <c r="R54" s="39">
        <f t="shared" si="87"/>
        <v>0</v>
      </c>
      <c r="S54" s="39">
        <f t="shared" si="87"/>
        <v>0</v>
      </c>
      <c r="T54" s="39">
        <f t="shared" si="87"/>
        <v>0</v>
      </c>
      <c r="U54" s="39">
        <f t="shared" si="87"/>
        <v>0</v>
      </c>
      <c r="V54" s="39">
        <f t="shared" si="87"/>
        <v>0</v>
      </c>
      <c r="W54" s="39">
        <f t="shared" si="87"/>
        <v>0</v>
      </c>
      <c r="X54" s="39">
        <f t="shared" si="87"/>
        <v>0</v>
      </c>
      <c r="Y54" s="39">
        <f t="shared" si="87"/>
        <v>0</v>
      </c>
      <c r="Z54" s="39">
        <f t="shared" si="87"/>
        <v>0</v>
      </c>
      <c r="AA54" s="39">
        <f t="shared" si="87"/>
        <v>0</v>
      </c>
      <c r="AB54" s="39">
        <f t="shared" si="87"/>
        <v>0</v>
      </c>
      <c r="AC54" s="39">
        <f t="shared" si="87"/>
        <v>0</v>
      </c>
      <c r="AD54" s="39">
        <f t="shared" si="87"/>
        <v>0</v>
      </c>
      <c r="AE54" s="39">
        <f t="shared" si="87"/>
        <v>0</v>
      </c>
      <c r="AF54" s="39">
        <f t="shared" si="87"/>
        <v>0</v>
      </c>
      <c r="AG54" s="39">
        <f t="shared" si="87"/>
        <v>0</v>
      </c>
      <c r="AH54" s="39">
        <f t="shared" si="87"/>
        <v>0</v>
      </c>
      <c r="AI54" s="39">
        <f t="shared" si="87"/>
        <v>3.3164831509290198</v>
      </c>
      <c r="AJ54" s="39">
        <f t="shared" si="87"/>
        <v>1.394044303880442</v>
      </c>
      <c r="AK54" s="39">
        <f t="shared" si="87"/>
        <v>0</v>
      </c>
      <c r="AL54" s="39">
        <f t="shared" si="87"/>
        <v>0</v>
      </c>
      <c r="AM54" s="39">
        <f t="shared" si="87"/>
        <v>0</v>
      </c>
      <c r="AN54" s="39">
        <f t="shared" si="87"/>
        <v>0</v>
      </c>
      <c r="AO54" s="39">
        <f t="shared" si="87"/>
        <v>0</v>
      </c>
      <c r="AP54" s="39">
        <f t="shared" si="87"/>
        <v>0</v>
      </c>
      <c r="AQ54" s="39">
        <f t="shared" si="87"/>
        <v>0</v>
      </c>
      <c r="AR54" s="39">
        <f t="shared" si="87"/>
        <v>0</v>
      </c>
      <c r="AS54" s="39">
        <f t="shared" si="87"/>
        <v>0</v>
      </c>
      <c r="AT54" s="39">
        <f t="shared" si="87"/>
        <v>0</v>
      </c>
      <c r="AU54" s="39">
        <f t="shared" si="87"/>
        <v>0</v>
      </c>
      <c r="AV54" s="39">
        <f t="shared" si="87"/>
        <v>0</v>
      </c>
      <c r="AW54" s="39">
        <f t="shared" si="87"/>
        <v>2.5727822862115417</v>
      </c>
      <c r="AX54" s="39">
        <f t="shared" si="87"/>
        <v>0</v>
      </c>
      <c r="AY54" s="39">
        <f t="shared" si="87"/>
        <v>0</v>
      </c>
      <c r="AZ54" s="39">
        <f t="shared" si="87"/>
        <v>0</v>
      </c>
      <c r="BA54" s="39">
        <f t="shared" si="87"/>
        <v>0</v>
      </c>
      <c r="BB54" s="39">
        <f t="shared" si="87"/>
        <v>0</v>
      </c>
      <c r="BC54" s="39">
        <f t="shared" si="87"/>
        <v>0</v>
      </c>
      <c r="BD54" s="39">
        <f t="shared" si="87"/>
        <v>0</v>
      </c>
      <c r="BE54" s="39">
        <f t="shared" si="87"/>
        <v>0</v>
      </c>
      <c r="BF54" s="39">
        <f t="shared" si="87"/>
        <v>0</v>
      </c>
      <c r="BG54" s="39">
        <f t="shared" si="87"/>
        <v>0</v>
      </c>
      <c r="BH54" s="39">
        <f t="shared" si="87"/>
        <v>3.3164831509290198</v>
      </c>
      <c r="BI54" s="39">
        <f t="shared" si="87"/>
        <v>0</v>
      </c>
      <c r="BJ54" s="39">
        <f t="shared" si="87"/>
        <v>0</v>
      </c>
      <c r="BK54" s="39">
        <f t="shared" si="87"/>
        <v>0</v>
      </c>
      <c r="BL54" s="39">
        <f t="shared" si="87"/>
        <v>0</v>
      </c>
      <c r="BM54" s="39">
        <f t="shared" si="87"/>
        <v>0</v>
      </c>
      <c r="BN54" s="39">
        <f t="shared" si="87"/>
        <v>0</v>
      </c>
      <c r="BO54" s="39">
        <f t="shared" ref="BO54:DZ54" si="88">(($B$31+1)*BO22)/(BO22+$B$31*((1-$B$32)+$B$32*($B54/$B$33)))*BO$27</f>
        <v>3.3164831509290198</v>
      </c>
      <c r="BP54" s="39">
        <f t="shared" si="88"/>
        <v>0</v>
      </c>
      <c r="BQ54" s="39">
        <f t="shared" si="88"/>
        <v>0</v>
      </c>
      <c r="BR54" s="39">
        <f t="shared" si="88"/>
        <v>0</v>
      </c>
      <c r="BS54" s="39">
        <f t="shared" si="88"/>
        <v>0</v>
      </c>
      <c r="BT54" s="39">
        <f t="shared" si="88"/>
        <v>0</v>
      </c>
      <c r="BU54" s="39">
        <f t="shared" si="88"/>
        <v>0</v>
      </c>
      <c r="BV54" s="39">
        <f t="shared" si="88"/>
        <v>0</v>
      </c>
      <c r="BW54" s="39">
        <f t="shared" si="88"/>
        <v>0</v>
      </c>
      <c r="BX54" s="39">
        <f t="shared" si="88"/>
        <v>0</v>
      </c>
      <c r="BY54" s="39">
        <f t="shared" si="88"/>
        <v>0</v>
      </c>
      <c r="BZ54" s="39">
        <f t="shared" si="88"/>
        <v>0</v>
      </c>
      <c r="CA54" s="39">
        <f t="shared" si="88"/>
        <v>0</v>
      </c>
      <c r="CB54" s="39">
        <f t="shared" si="88"/>
        <v>0</v>
      </c>
      <c r="CC54" s="39">
        <f t="shared" si="88"/>
        <v>0</v>
      </c>
      <c r="CD54" s="39">
        <f t="shared" si="88"/>
        <v>0</v>
      </c>
      <c r="CE54" s="39">
        <f t="shared" si="88"/>
        <v>0</v>
      </c>
      <c r="CF54" s="39">
        <f t="shared" si="88"/>
        <v>0</v>
      </c>
      <c r="CG54" s="39">
        <f t="shared" si="88"/>
        <v>0</v>
      </c>
      <c r="CH54" s="39">
        <f t="shared" si="88"/>
        <v>0</v>
      </c>
      <c r="CI54" s="39">
        <f t="shared" si="88"/>
        <v>0</v>
      </c>
      <c r="CJ54" s="39">
        <f t="shared" si="88"/>
        <v>0</v>
      </c>
      <c r="CK54" s="39">
        <f t="shared" si="88"/>
        <v>0</v>
      </c>
      <c r="CL54" s="39">
        <f t="shared" si="88"/>
        <v>0</v>
      </c>
      <c r="CM54" s="39">
        <f t="shared" si="88"/>
        <v>2.1377451685979194</v>
      </c>
      <c r="CN54" s="39">
        <f t="shared" si="88"/>
        <v>0</v>
      </c>
      <c r="CO54" s="39">
        <f t="shared" si="88"/>
        <v>0</v>
      </c>
      <c r="CP54" s="39">
        <f t="shared" si="88"/>
        <v>0</v>
      </c>
      <c r="CQ54" s="39">
        <f t="shared" si="88"/>
        <v>0</v>
      </c>
      <c r="CR54" s="39">
        <f t="shared" si="88"/>
        <v>0</v>
      </c>
      <c r="CS54" s="39">
        <f t="shared" si="88"/>
        <v>0</v>
      </c>
      <c r="CT54" s="39">
        <f t="shared" si="88"/>
        <v>0</v>
      </c>
      <c r="CU54" s="39">
        <f t="shared" si="88"/>
        <v>0</v>
      </c>
      <c r="CV54" s="39">
        <f t="shared" si="88"/>
        <v>0</v>
      </c>
      <c r="CW54" s="39">
        <f t="shared" si="88"/>
        <v>0</v>
      </c>
      <c r="CX54" s="39">
        <f t="shared" si="88"/>
        <v>0</v>
      </c>
      <c r="CY54" s="39">
        <f t="shared" si="88"/>
        <v>0</v>
      </c>
      <c r="CZ54" s="39">
        <f t="shared" si="88"/>
        <v>0</v>
      </c>
      <c r="DA54" s="39">
        <f t="shared" si="88"/>
        <v>0</v>
      </c>
      <c r="DB54" s="39">
        <f t="shared" si="88"/>
        <v>0</v>
      </c>
      <c r="DC54" s="39">
        <f t="shared" si="88"/>
        <v>0</v>
      </c>
      <c r="DD54" s="39">
        <f t="shared" si="88"/>
        <v>0</v>
      </c>
      <c r="DE54" s="39">
        <f t="shared" si="88"/>
        <v>0</v>
      </c>
      <c r="DF54" s="39">
        <f t="shared" si="88"/>
        <v>0</v>
      </c>
      <c r="DG54" s="39">
        <f t="shared" si="88"/>
        <v>0</v>
      </c>
      <c r="DH54" s="39">
        <f t="shared" si="88"/>
        <v>0</v>
      </c>
      <c r="DI54" s="39">
        <f t="shared" si="88"/>
        <v>0</v>
      </c>
      <c r="DJ54" s="39">
        <f t="shared" si="88"/>
        <v>0</v>
      </c>
      <c r="DK54" s="39">
        <f t="shared" si="88"/>
        <v>0</v>
      </c>
      <c r="DL54" s="39">
        <f t="shared" si="88"/>
        <v>0</v>
      </c>
      <c r="DM54" s="39">
        <f t="shared" si="88"/>
        <v>0</v>
      </c>
      <c r="DN54" s="39">
        <f t="shared" si="88"/>
        <v>0</v>
      </c>
      <c r="DO54" s="39">
        <f t="shared" si="88"/>
        <v>0</v>
      </c>
      <c r="DP54" s="39">
        <f t="shared" si="88"/>
        <v>0</v>
      </c>
      <c r="DQ54" s="39">
        <f t="shared" si="88"/>
        <v>0</v>
      </c>
      <c r="DR54" s="39">
        <f t="shared" si="88"/>
        <v>0</v>
      </c>
      <c r="DS54" s="39">
        <f t="shared" si="88"/>
        <v>0</v>
      </c>
      <c r="DT54" s="39">
        <f t="shared" si="88"/>
        <v>0</v>
      </c>
      <c r="DU54" s="39">
        <f t="shared" si="88"/>
        <v>0</v>
      </c>
      <c r="DV54" s="39">
        <f t="shared" si="88"/>
        <v>0</v>
      </c>
      <c r="DW54" s="39">
        <f t="shared" si="88"/>
        <v>0</v>
      </c>
      <c r="DX54" s="39">
        <f t="shared" si="88"/>
        <v>0</v>
      </c>
      <c r="DY54" s="39">
        <f t="shared" si="88"/>
        <v>0</v>
      </c>
      <c r="DZ54" s="39">
        <f t="shared" si="88"/>
        <v>3.3164831509290198</v>
      </c>
      <c r="EA54" s="39">
        <f t="shared" ref="EA54:GL54" si="89">(($B$31+1)*EA22)/(EA22+$B$31*((1-$B$32)+$B$32*($B54/$B$33)))*EA$27</f>
        <v>0</v>
      </c>
      <c r="EB54" s="39">
        <f t="shared" si="89"/>
        <v>0</v>
      </c>
      <c r="EC54" s="39">
        <f t="shared" si="89"/>
        <v>0</v>
      </c>
      <c r="ED54" s="39">
        <f t="shared" si="89"/>
        <v>0</v>
      </c>
      <c r="EE54" s="39">
        <f t="shared" si="89"/>
        <v>0</v>
      </c>
      <c r="EF54" s="39">
        <f t="shared" si="89"/>
        <v>0</v>
      </c>
      <c r="EG54" s="39">
        <f t="shared" si="89"/>
        <v>0</v>
      </c>
      <c r="EH54" s="39">
        <f t="shared" si="89"/>
        <v>0</v>
      </c>
      <c r="EI54" s="39">
        <f t="shared" si="89"/>
        <v>0</v>
      </c>
      <c r="EJ54" s="39">
        <f t="shared" si="89"/>
        <v>0</v>
      </c>
      <c r="EK54" s="39">
        <f t="shared" si="89"/>
        <v>0</v>
      </c>
      <c r="EL54" s="39">
        <f t="shared" si="89"/>
        <v>0.74370086471747776</v>
      </c>
      <c r="EM54" s="39">
        <f t="shared" si="89"/>
        <v>0</v>
      </c>
      <c r="EN54" s="39">
        <f t="shared" si="89"/>
        <v>0</v>
      </c>
      <c r="EO54" s="39">
        <f t="shared" si="89"/>
        <v>0</v>
      </c>
      <c r="EP54" s="39">
        <f t="shared" si="89"/>
        <v>0</v>
      </c>
      <c r="EQ54" s="39">
        <f t="shared" si="89"/>
        <v>0</v>
      </c>
      <c r="ER54" s="39">
        <f t="shared" si="89"/>
        <v>0</v>
      </c>
      <c r="ES54" s="39">
        <f t="shared" si="89"/>
        <v>0</v>
      </c>
      <c r="ET54" s="39">
        <f t="shared" si="89"/>
        <v>0</v>
      </c>
      <c r="EU54" s="39">
        <f t="shared" si="89"/>
        <v>0</v>
      </c>
      <c r="EV54" s="39">
        <f t="shared" si="89"/>
        <v>0</v>
      </c>
      <c r="EW54" s="39">
        <f t="shared" si="89"/>
        <v>0</v>
      </c>
      <c r="EX54" s="39">
        <f t="shared" si="89"/>
        <v>0</v>
      </c>
      <c r="EY54" s="39">
        <f t="shared" si="89"/>
        <v>0</v>
      </c>
      <c r="EZ54" s="39">
        <f t="shared" si="89"/>
        <v>0</v>
      </c>
      <c r="FA54" s="39">
        <f t="shared" si="89"/>
        <v>0</v>
      </c>
      <c r="FB54" s="39">
        <f t="shared" si="89"/>
        <v>0</v>
      </c>
      <c r="FC54" s="39">
        <f t="shared" si="89"/>
        <v>0</v>
      </c>
      <c r="FD54" s="39">
        <f t="shared" si="89"/>
        <v>0</v>
      </c>
      <c r="FE54" s="39">
        <f t="shared" si="89"/>
        <v>0</v>
      </c>
      <c r="FF54" s="39">
        <f t="shared" si="89"/>
        <v>0</v>
      </c>
      <c r="FG54" s="39">
        <f t="shared" si="89"/>
        <v>0</v>
      </c>
      <c r="FH54" s="39">
        <f t="shared" si="89"/>
        <v>0</v>
      </c>
      <c r="FI54" s="39">
        <f t="shared" si="89"/>
        <v>0</v>
      </c>
      <c r="FJ54" s="39">
        <f t="shared" si="89"/>
        <v>0</v>
      </c>
      <c r="FK54" s="39">
        <f t="shared" si="89"/>
        <v>0</v>
      </c>
      <c r="FL54" s="39">
        <f t="shared" si="89"/>
        <v>0</v>
      </c>
      <c r="FM54" s="39">
        <f t="shared" si="89"/>
        <v>0</v>
      </c>
      <c r="FN54" s="39">
        <f t="shared" si="89"/>
        <v>0</v>
      </c>
      <c r="FO54" s="39">
        <f t="shared" si="89"/>
        <v>3.3164831509290198</v>
      </c>
      <c r="FP54" s="39">
        <f t="shared" si="89"/>
        <v>0</v>
      </c>
      <c r="FQ54" s="39">
        <f t="shared" si="89"/>
        <v>2.1377451685979194</v>
      </c>
      <c r="FR54" s="39">
        <f t="shared" si="89"/>
        <v>0</v>
      </c>
      <c r="FS54" s="39">
        <f t="shared" si="89"/>
        <v>0</v>
      </c>
      <c r="FT54" s="39">
        <f t="shared" si="89"/>
        <v>0</v>
      </c>
      <c r="FU54" s="39">
        <f t="shared" si="89"/>
        <v>0</v>
      </c>
      <c r="FV54" s="39">
        <f t="shared" si="89"/>
        <v>0</v>
      </c>
      <c r="FW54" s="39">
        <f t="shared" si="89"/>
        <v>0</v>
      </c>
      <c r="FX54" s="39">
        <f t="shared" si="89"/>
        <v>0</v>
      </c>
      <c r="FY54" s="39">
        <f t="shared" si="89"/>
        <v>0</v>
      </c>
      <c r="FZ54" s="39">
        <f t="shared" si="89"/>
        <v>0</v>
      </c>
      <c r="GA54" s="39">
        <f t="shared" si="89"/>
        <v>3.3164831509290198</v>
      </c>
      <c r="GB54" s="39">
        <f t="shared" si="89"/>
        <v>0</v>
      </c>
      <c r="GC54" s="39">
        <f t="shared" si="89"/>
        <v>0</v>
      </c>
      <c r="GD54" s="39">
        <f t="shared" si="89"/>
        <v>0</v>
      </c>
      <c r="GE54" s="39">
        <f t="shared" si="89"/>
        <v>0</v>
      </c>
      <c r="GF54" s="39">
        <f t="shared" si="89"/>
        <v>0</v>
      </c>
      <c r="GG54" s="39">
        <f t="shared" si="89"/>
        <v>0</v>
      </c>
      <c r="GH54" s="39">
        <f t="shared" si="89"/>
        <v>0</v>
      </c>
      <c r="GI54" s="39">
        <f t="shared" si="89"/>
        <v>0</v>
      </c>
      <c r="GJ54" s="39">
        <f t="shared" si="89"/>
        <v>0</v>
      </c>
      <c r="GK54" s="39">
        <f t="shared" si="89"/>
        <v>0</v>
      </c>
      <c r="GL54" s="39">
        <f t="shared" si="89"/>
        <v>0</v>
      </c>
      <c r="GM54" s="39">
        <f t="shared" ref="GM54:IG54" si="90">(($B$31+1)*GM22)/(GM22+$B$31*((1-$B$32)+$B$32*($B54/$B$33)))*GM$27</f>
        <v>0</v>
      </c>
      <c r="GN54" s="39">
        <f t="shared" si="90"/>
        <v>0</v>
      </c>
      <c r="GO54" s="39">
        <f t="shared" si="90"/>
        <v>0</v>
      </c>
      <c r="GP54" s="39">
        <f t="shared" si="90"/>
        <v>0</v>
      </c>
      <c r="GQ54" s="39">
        <f t="shared" si="90"/>
        <v>0</v>
      </c>
      <c r="GR54" s="39">
        <f t="shared" si="90"/>
        <v>0</v>
      </c>
      <c r="GS54" s="39">
        <f t="shared" si="90"/>
        <v>0</v>
      </c>
      <c r="GT54" s="39">
        <f t="shared" si="90"/>
        <v>0</v>
      </c>
      <c r="GU54" s="39">
        <f t="shared" si="90"/>
        <v>0</v>
      </c>
      <c r="GV54" s="39">
        <f t="shared" si="90"/>
        <v>0</v>
      </c>
      <c r="GW54" s="39">
        <f t="shared" si="90"/>
        <v>0</v>
      </c>
      <c r="GX54" s="39">
        <f t="shared" si="90"/>
        <v>0</v>
      </c>
      <c r="GY54" s="39">
        <f t="shared" si="90"/>
        <v>3.3164831509290198</v>
      </c>
      <c r="GZ54" s="39">
        <f t="shared" si="90"/>
        <v>0</v>
      </c>
      <c r="HA54" s="39">
        <f t="shared" si="90"/>
        <v>0</v>
      </c>
      <c r="HB54" s="39">
        <f t="shared" si="90"/>
        <v>0</v>
      </c>
      <c r="HC54" s="39">
        <f t="shared" si="90"/>
        <v>0</v>
      </c>
      <c r="HD54" s="39">
        <f t="shared" si="90"/>
        <v>0</v>
      </c>
      <c r="HE54" s="39">
        <f t="shared" si="90"/>
        <v>0</v>
      </c>
      <c r="HF54" s="39">
        <f t="shared" si="90"/>
        <v>0</v>
      </c>
      <c r="HG54" s="39">
        <f t="shared" si="90"/>
        <v>0</v>
      </c>
      <c r="HH54" s="39">
        <f t="shared" si="90"/>
        <v>0</v>
      </c>
      <c r="HI54" s="39">
        <f t="shared" si="90"/>
        <v>0</v>
      </c>
      <c r="HJ54" s="39">
        <f t="shared" si="90"/>
        <v>0</v>
      </c>
      <c r="HK54" s="39">
        <f t="shared" si="90"/>
        <v>0</v>
      </c>
      <c r="HL54" s="39">
        <f t="shared" si="90"/>
        <v>0</v>
      </c>
      <c r="HM54" s="39">
        <f t="shared" si="90"/>
        <v>0</v>
      </c>
      <c r="HN54" s="39">
        <f t="shared" si="90"/>
        <v>0</v>
      </c>
      <c r="HO54" s="39">
        <f t="shared" si="90"/>
        <v>0</v>
      </c>
      <c r="HP54" s="39">
        <f t="shared" si="90"/>
        <v>0</v>
      </c>
      <c r="HQ54" s="39">
        <f t="shared" si="90"/>
        <v>0</v>
      </c>
      <c r="HR54" s="39">
        <f t="shared" si="90"/>
        <v>0</v>
      </c>
      <c r="HS54" s="39">
        <f t="shared" si="90"/>
        <v>0</v>
      </c>
      <c r="HT54" s="39">
        <f t="shared" si="90"/>
        <v>0</v>
      </c>
      <c r="HU54" s="39">
        <f t="shared" si="90"/>
        <v>0</v>
      </c>
      <c r="HV54" s="39">
        <f t="shared" si="90"/>
        <v>0</v>
      </c>
      <c r="HW54" s="39">
        <f t="shared" si="90"/>
        <v>0</v>
      </c>
      <c r="HX54" s="39">
        <f t="shared" si="90"/>
        <v>0</v>
      </c>
      <c r="HY54" s="39">
        <f t="shared" si="90"/>
        <v>0</v>
      </c>
      <c r="HZ54" s="39">
        <f t="shared" si="90"/>
        <v>0</v>
      </c>
      <c r="IA54" s="39">
        <f t="shared" si="90"/>
        <v>0</v>
      </c>
      <c r="IB54" s="39">
        <f t="shared" si="90"/>
        <v>0</v>
      </c>
      <c r="IC54" s="39">
        <f t="shared" si="90"/>
        <v>0</v>
      </c>
      <c r="ID54" s="39">
        <f t="shared" si="90"/>
        <v>0</v>
      </c>
      <c r="IE54" s="39">
        <f t="shared" si="90"/>
        <v>0</v>
      </c>
      <c r="IF54" s="39">
        <f t="shared" si="90"/>
        <v>0</v>
      </c>
      <c r="IG54" s="39">
        <f t="shared" si="90"/>
        <v>0</v>
      </c>
      <c r="IH54" s="43">
        <v>0.23833053968904844</v>
      </c>
      <c r="II54" s="43">
        <v>0.25151053634445358</v>
      </c>
    </row>
    <row r="55" spans="1:243" x14ac:dyDescent="0.3">
      <c r="A55" s="34" t="s">
        <v>56</v>
      </c>
      <c r="B55" s="38">
        <f t="shared" si="14"/>
        <v>8</v>
      </c>
      <c r="C55" s="39">
        <f t="shared" ref="C55:BN55" si="91">(($B$31+1)*C23)/(C23+$B$31*((1-$B$32)+$B$32*($B55/$B$33)))*C$27</f>
        <v>0</v>
      </c>
      <c r="D55" s="39">
        <f t="shared" si="91"/>
        <v>0</v>
      </c>
      <c r="E55" s="39">
        <f t="shared" si="91"/>
        <v>0</v>
      </c>
      <c r="F55" s="39">
        <f t="shared" si="91"/>
        <v>0</v>
      </c>
      <c r="G55" s="39">
        <f t="shared" si="91"/>
        <v>0</v>
      </c>
      <c r="H55" s="39">
        <f t="shared" si="91"/>
        <v>0</v>
      </c>
      <c r="I55" s="39">
        <f t="shared" si="91"/>
        <v>0</v>
      </c>
      <c r="J55" s="39">
        <f t="shared" si="91"/>
        <v>0</v>
      </c>
      <c r="K55" s="39">
        <f t="shared" si="91"/>
        <v>0</v>
      </c>
      <c r="L55" s="39">
        <f t="shared" si="91"/>
        <v>0</v>
      </c>
      <c r="M55" s="39">
        <f t="shared" si="91"/>
        <v>0</v>
      </c>
      <c r="N55" s="39">
        <f t="shared" si="91"/>
        <v>0</v>
      </c>
      <c r="O55" s="39">
        <f t="shared" si="91"/>
        <v>0</v>
      </c>
      <c r="P55" s="39">
        <f t="shared" si="91"/>
        <v>0</v>
      </c>
      <c r="Q55" s="39">
        <f t="shared" si="91"/>
        <v>0</v>
      </c>
      <c r="R55" s="39">
        <f t="shared" si="91"/>
        <v>0</v>
      </c>
      <c r="S55" s="39">
        <f t="shared" si="91"/>
        <v>0</v>
      </c>
      <c r="T55" s="39">
        <f t="shared" si="91"/>
        <v>0</v>
      </c>
      <c r="U55" s="39">
        <f t="shared" si="91"/>
        <v>0</v>
      </c>
      <c r="V55" s="39">
        <f t="shared" si="91"/>
        <v>0</v>
      </c>
      <c r="W55" s="39">
        <f t="shared" si="91"/>
        <v>0</v>
      </c>
      <c r="X55" s="39">
        <f t="shared" si="91"/>
        <v>0</v>
      </c>
      <c r="Y55" s="39">
        <f t="shared" si="91"/>
        <v>0</v>
      </c>
      <c r="Z55" s="39">
        <f t="shared" si="91"/>
        <v>0</v>
      </c>
      <c r="AA55" s="39">
        <f t="shared" si="91"/>
        <v>0</v>
      </c>
      <c r="AB55" s="39">
        <f t="shared" si="91"/>
        <v>0</v>
      </c>
      <c r="AC55" s="39">
        <f t="shared" si="91"/>
        <v>0</v>
      </c>
      <c r="AD55" s="39">
        <f t="shared" si="91"/>
        <v>0</v>
      </c>
      <c r="AE55" s="39">
        <f t="shared" si="91"/>
        <v>0</v>
      </c>
      <c r="AF55" s="39">
        <f t="shared" si="91"/>
        <v>0</v>
      </c>
      <c r="AG55" s="39">
        <f t="shared" si="91"/>
        <v>0</v>
      </c>
      <c r="AH55" s="39">
        <f t="shared" si="91"/>
        <v>0</v>
      </c>
      <c r="AI55" s="39">
        <f t="shared" si="91"/>
        <v>0</v>
      </c>
      <c r="AJ55" s="39">
        <f t="shared" si="91"/>
        <v>0</v>
      </c>
      <c r="AK55" s="39">
        <f t="shared" si="91"/>
        <v>0</v>
      </c>
      <c r="AL55" s="39">
        <f t="shared" si="91"/>
        <v>0</v>
      </c>
      <c r="AM55" s="39">
        <f t="shared" si="91"/>
        <v>0</v>
      </c>
      <c r="AN55" s="39">
        <f t="shared" si="91"/>
        <v>0</v>
      </c>
      <c r="AO55" s="39">
        <f t="shared" si="91"/>
        <v>0</v>
      </c>
      <c r="AP55" s="39">
        <f t="shared" si="91"/>
        <v>0</v>
      </c>
      <c r="AQ55" s="39">
        <f t="shared" si="91"/>
        <v>0</v>
      </c>
      <c r="AR55" s="39">
        <f t="shared" si="91"/>
        <v>0</v>
      </c>
      <c r="AS55" s="39">
        <f t="shared" si="91"/>
        <v>0</v>
      </c>
      <c r="AT55" s="39">
        <f t="shared" si="91"/>
        <v>0</v>
      </c>
      <c r="AU55" s="39">
        <f t="shared" si="91"/>
        <v>0</v>
      </c>
      <c r="AV55" s="39">
        <f t="shared" si="91"/>
        <v>0</v>
      </c>
      <c r="AW55" s="39">
        <f t="shared" si="91"/>
        <v>0</v>
      </c>
      <c r="AX55" s="39">
        <f t="shared" si="91"/>
        <v>0</v>
      </c>
      <c r="AY55" s="39">
        <f t="shared" si="91"/>
        <v>0</v>
      </c>
      <c r="AZ55" s="39">
        <f t="shared" si="91"/>
        <v>0</v>
      </c>
      <c r="BA55" s="39">
        <f t="shared" si="91"/>
        <v>0</v>
      </c>
      <c r="BB55" s="39">
        <f t="shared" si="91"/>
        <v>0</v>
      </c>
      <c r="BC55" s="39">
        <f t="shared" si="91"/>
        <v>0</v>
      </c>
      <c r="BD55" s="39">
        <f t="shared" si="91"/>
        <v>0</v>
      </c>
      <c r="BE55" s="39">
        <f t="shared" si="91"/>
        <v>0</v>
      </c>
      <c r="BF55" s="39">
        <f t="shared" si="91"/>
        <v>0</v>
      </c>
      <c r="BG55" s="39">
        <f t="shared" si="91"/>
        <v>0</v>
      </c>
      <c r="BH55" s="39">
        <f t="shared" si="91"/>
        <v>0</v>
      </c>
      <c r="BI55" s="39">
        <f t="shared" si="91"/>
        <v>0</v>
      </c>
      <c r="BJ55" s="39">
        <f t="shared" si="91"/>
        <v>0</v>
      </c>
      <c r="BK55" s="39">
        <f t="shared" si="91"/>
        <v>0</v>
      </c>
      <c r="BL55" s="39">
        <f t="shared" si="91"/>
        <v>0</v>
      </c>
      <c r="BM55" s="39">
        <f t="shared" si="91"/>
        <v>0</v>
      </c>
      <c r="BN55" s="39">
        <f t="shared" si="91"/>
        <v>0</v>
      </c>
      <c r="BO55" s="39">
        <f t="shared" ref="BO55:DZ55" si="92">(($B$31+1)*BO23)/(BO23+$B$31*((1-$B$32)+$B$32*($B55/$B$33)))*BO$27</f>
        <v>0</v>
      </c>
      <c r="BP55" s="39">
        <f t="shared" si="92"/>
        <v>0</v>
      </c>
      <c r="BQ55" s="39">
        <f t="shared" si="92"/>
        <v>0</v>
      </c>
      <c r="BR55" s="39">
        <f t="shared" si="92"/>
        <v>0</v>
      </c>
      <c r="BS55" s="39">
        <f t="shared" si="92"/>
        <v>0</v>
      </c>
      <c r="BT55" s="39">
        <f t="shared" si="92"/>
        <v>0</v>
      </c>
      <c r="BU55" s="39">
        <f t="shared" si="92"/>
        <v>0</v>
      </c>
      <c r="BV55" s="39">
        <f t="shared" si="92"/>
        <v>0</v>
      </c>
      <c r="BW55" s="39">
        <f t="shared" si="92"/>
        <v>0</v>
      </c>
      <c r="BX55" s="39">
        <f t="shared" si="92"/>
        <v>0</v>
      </c>
      <c r="BY55" s="39">
        <f t="shared" si="92"/>
        <v>3.1309796264152294</v>
      </c>
      <c r="BZ55" s="39">
        <f t="shared" si="92"/>
        <v>0</v>
      </c>
      <c r="CA55" s="39">
        <f t="shared" si="92"/>
        <v>3.1309796264152294</v>
      </c>
      <c r="CB55" s="39">
        <f t="shared" si="92"/>
        <v>0</v>
      </c>
      <c r="CC55" s="39">
        <f t="shared" si="92"/>
        <v>0</v>
      </c>
      <c r="CD55" s="39">
        <f t="shared" si="92"/>
        <v>0</v>
      </c>
      <c r="CE55" s="39">
        <f t="shared" si="92"/>
        <v>0</v>
      </c>
      <c r="CF55" s="39">
        <f t="shared" si="92"/>
        <v>0</v>
      </c>
      <c r="CG55" s="39">
        <f t="shared" si="92"/>
        <v>0</v>
      </c>
      <c r="CH55" s="39">
        <f t="shared" si="92"/>
        <v>0</v>
      </c>
      <c r="CI55" s="39">
        <f t="shared" si="92"/>
        <v>0</v>
      </c>
      <c r="CJ55" s="39">
        <f t="shared" si="92"/>
        <v>0</v>
      </c>
      <c r="CK55" s="39">
        <f t="shared" si="92"/>
        <v>0</v>
      </c>
      <c r="CL55" s="39">
        <f t="shared" si="92"/>
        <v>0</v>
      </c>
      <c r="CM55" s="39">
        <f t="shared" si="92"/>
        <v>0</v>
      </c>
      <c r="CN55" s="39">
        <f t="shared" si="92"/>
        <v>0</v>
      </c>
      <c r="CO55" s="39">
        <f t="shared" si="92"/>
        <v>0</v>
      </c>
      <c r="CP55" s="39">
        <f t="shared" si="92"/>
        <v>0</v>
      </c>
      <c r="CQ55" s="39">
        <f t="shared" si="92"/>
        <v>0</v>
      </c>
      <c r="CR55" s="39">
        <f t="shared" si="92"/>
        <v>0</v>
      </c>
      <c r="CS55" s="39">
        <f t="shared" si="92"/>
        <v>0</v>
      </c>
      <c r="CT55" s="39">
        <f t="shared" si="92"/>
        <v>0</v>
      </c>
      <c r="CU55" s="39">
        <f t="shared" si="92"/>
        <v>0</v>
      </c>
      <c r="CV55" s="39">
        <f t="shared" si="92"/>
        <v>0</v>
      </c>
      <c r="CW55" s="39">
        <f t="shared" si="92"/>
        <v>0</v>
      </c>
      <c r="CX55" s="39">
        <f t="shared" si="92"/>
        <v>0</v>
      </c>
      <c r="CY55" s="39">
        <f t="shared" si="92"/>
        <v>0</v>
      </c>
      <c r="CZ55" s="39">
        <f t="shared" si="92"/>
        <v>0</v>
      </c>
      <c r="DA55" s="39">
        <f t="shared" si="92"/>
        <v>0</v>
      </c>
      <c r="DB55" s="39">
        <f t="shared" si="92"/>
        <v>0</v>
      </c>
      <c r="DC55" s="39">
        <f t="shared" si="92"/>
        <v>0</v>
      </c>
      <c r="DD55" s="39">
        <f t="shared" si="92"/>
        <v>4.0360357083297931</v>
      </c>
      <c r="DE55" s="39">
        <f t="shared" si="92"/>
        <v>0</v>
      </c>
      <c r="DF55" s="39">
        <f t="shared" si="92"/>
        <v>0</v>
      </c>
      <c r="DG55" s="39">
        <f t="shared" si="92"/>
        <v>0</v>
      </c>
      <c r="DH55" s="39">
        <f t="shared" si="92"/>
        <v>0</v>
      </c>
      <c r="DI55" s="39">
        <f t="shared" si="92"/>
        <v>0</v>
      </c>
      <c r="DJ55" s="39">
        <f t="shared" si="92"/>
        <v>0</v>
      </c>
      <c r="DK55" s="39">
        <f t="shared" si="92"/>
        <v>0</v>
      </c>
      <c r="DL55" s="39">
        <f t="shared" si="92"/>
        <v>0</v>
      </c>
      <c r="DM55" s="39">
        <f t="shared" si="92"/>
        <v>0</v>
      </c>
      <c r="DN55" s="39">
        <f t="shared" si="92"/>
        <v>0</v>
      </c>
      <c r="DO55" s="39">
        <f t="shared" si="92"/>
        <v>0</v>
      </c>
      <c r="DP55" s="39">
        <f t="shared" si="92"/>
        <v>0</v>
      </c>
      <c r="DQ55" s="39">
        <f t="shared" si="92"/>
        <v>0</v>
      </c>
      <c r="DR55" s="39">
        <f t="shared" si="92"/>
        <v>0</v>
      </c>
      <c r="DS55" s="39">
        <f t="shared" si="92"/>
        <v>0</v>
      </c>
      <c r="DT55" s="39">
        <f t="shared" si="92"/>
        <v>0</v>
      </c>
      <c r="DU55" s="39">
        <f t="shared" si="92"/>
        <v>0</v>
      </c>
      <c r="DV55" s="39">
        <f t="shared" si="92"/>
        <v>0</v>
      </c>
      <c r="DW55" s="39">
        <f t="shared" si="92"/>
        <v>0</v>
      </c>
      <c r="DX55" s="39">
        <f t="shared" si="92"/>
        <v>0</v>
      </c>
      <c r="DY55" s="39">
        <f t="shared" si="92"/>
        <v>4.0360357083297931</v>
      </c>
      <c r="DZ55" s="39">
        <f t="shared" si="92"/>
        <v>0</v>
      </c>
      <c r="EA55" s="39">
        <f t="shared" ref="EA55:GL55" si="93">(($B$31+1)*EA23)/(EA23+$B$31*((1-$B$32)+$B$32*($B55/$B$33)))*EA$27</f>
        <v>0</v>
      </c>
      <c r="EB55" s="39">
        <f t="shared" si="93"/>
        <v>0</v>
      </c>
      <c r="EC55" s="39">
        <f t="shared" si="93"/>
        <v>4.0360357083297931</v>
      </c>
      <c r="ED55" s="39">
        <f t="shared" si="93"/>
        <v>0</v>
      </c>
      <c r="EE55" s="39">
        <f t="shared" si="93"/>
        <v>0</v>
      </c>
      <c r="EF55" s="39">
        <f t="shared" si="93"/>
        <v>0</v>
      </c>
      <c r="EG55" s="39">
        <f t="shared" si="93"/>
        <v>0</v>
      </c>
      <c r="EH55" s="39">
        <f t="shared" si="93"/>
        <v>0</v>
      </c>
      <c r="EI55" s="39">
        <f t="shared" si="93"/>
        <v>0</v>
      </c>
      <c r="EJ55" s="39">
        <f t="shared" si="93"/>
        <v>0</v>
      </c>
      <c r="EK55" s="39">
        <f t="shared" si="93"/>
        <v>0</v>
      </c>
      <c r="EL55" s="39">
        <f t="shared" si="93"/>
        <v>0</v>
      </c>
      <c r="EM55" s="39">
        <f t="shared" si="93"/>
        <v>3.1309796264152294</v>
      </c>
      <c r="EN55" s="39">
        <f t="shared" si="93"/>
        <v>0</v>
      </c>
      <c r="EO55" s="39">
        <f t="shared" si="93"/>
        <v>0</v>
      </c>
      <c r="EP55" s="39">
        <f t="shared" si="93"/>
        <v>0</v>
      </c>
      <c r="EQ55" s="39">
        <f t="shared" si="93"/>
        <v>0</v>
      </c>
      <c r="ER55" s="39">
        <f t="shared" si="93"/>
        <v>0</v>
      </c>
      <c r="ES55" s="39">
        <f t="shared" si="93"/>
        <v>0</v>
      </c>
      <c r="ET55" s="39">
        <f t="shared" si="93"/>
        <v>0</v>
      </c>
      <c r="EU55" s="39">
        <f t="shared" si="93"/>
        <v>0</v>
      </c>
      <c r="EV55" s="39">
        <f t="shared" si="93"/>
        <v>0</v>
      </c>
      <c r="EW55" s="39">
        <f t="shared" si="93"/>
        <v>0</v>
      </c>
      <c r="EX55" s="39">
        <f t="shared" si="93"/>
        <v>0</v>
      </c>
      <c r="EY55" s="39">
        <f t="shared" si="93"/>
        <v>0</v>
      </c>
      <c r="EZ55" s="39">
        <f t="shared" si="93"/>
        <v>0</v>
      </c>
      <c r="FA55" s="39">
        <f t="shared" si="93"/>
        <v>0</v>
      </c>
      <c r="FB55" s="39">
        <f t="shared" si="93"/>
        <v>0</v>
      </c>
      <c r="FC55" s="39">
        <f t="shared" si="93"/>
        <v>0</v>
      </c>
      <c r="FD55" s="39">
        <f t="shared" si="93"/>
        <v>4.0360357083297931</v>
      </c>
      <c r="FE55" s="39">
        <f t="shared" si="93"/>
        <v>1.3208674625861019</v>
      </c>
      <c r="FF55" s="39">
        <f t="shared" si="93"/>
        <v>0</v>
      </c>
      <c r="FG55" s="39">
        <f t="shared" si="93"/>
        <v>0</v>
      </c>
      <c r="FH55" s="39">
        <f t="shared" si="93"/>
        <v>0</v>
      </c>
      <c r="FI55" s="39">
        <f t="shared" si="93"/>
        <v>0</v>
      </c>
      <c r="FJ55" s="39">
        <f t="shared" si="93"/>
        <v>0</v>
      </c>
      <c r="FK55" s="39">
        <f t="shared" si="93"/>
        <v>0</v>
      </c>
      <c r="FL55" s="39">
        <f t="shared" si="93"/>
        <v>0</v>
      </c>
      <c r="FM55" s="39">
        <f t="shared" si="93"/>
        <v>0</v>
      </c>
      <c r="FN55" s="39">
        <f t="shared" si="93"/>
        <v>0</v>
      </c>
      <c r="FO55" s="39">
        <f t="shared" si="93"/>
        <v>0</v>
      </c>
      <c r="FP55" s="39">
        <f t="shared" si="93"/>
        <v>0</v>
      </c>
      <c r="FQ55" s="39">
        <f t="shared" si="93"/>
        <v>0</v>
      </c>
      <c r="FR55" s="39">
        <f t="shared" si="93"/>
        <v>0</v>
      </c>
      <c r="FS55" s="39">
        <f t="shared" si="93"/>
        <v>0</v>
      </c>
      <c r="FT55" s="39">
        <f t="shared" si="93"/>
        <v>0</v>
      </c>
      <c r="FU55" s="39">
        <f t="shared" si="93"/>
        <v>0</v>
      </c>
      <c r="FV55" s="39">
        <f t="shared" si="93"/>
        <v>0</v>
      </c>
      <c r="FW55" s="39">
        <f t="shared" si="93"/>
        <v>0</v>
      </c>
      <c r="FX55" s="39">
        <f t="shared" si="93"/>
        <v>0</v>
      </c>
      <c r="FY55" s="39">
        <f t="shared" si="93"/>
        <v>0</v>
      </c>
      <c r="FZ55" s="39">
        <f t="shared" si="93"/>
        <v>0</v>
      </c>
      <c r="GA55" s="39">
        <f t="shared" si="93"/>
        <v>0</v>
      </c>
      <c r="GB55" s="39">
        <f t="shared" si="93"/>
        <v>0</v>
      </c>
      <c r="GC55" s="39">
        <f t="shared" si="93"/>
        <v>0</v>
      </c>
      <c r="GD55" s="39">
        <f t="shared" si="93"/>
        <v>0</v>
      </c>
      <c r="GE55" s="39">
        <f t="shared" si="93"/>
        <v>0</v>
      </c>
      <c r="GF55" s="39">
        <f t="shared" si="93"/>
        <v>0</v>
      </c>
      <c r="GG55" s="39">
        <f t="shared" si="93"/>
        <v>0</v>
      </c>
      <c r="GH55" s="39">
        <f t="shared" si="93"/>
        <v>0</v>
      </c>
      <c r="GI55" s="39">
        <f t="shared" si="93"/>
        <v>0</v>
      </c>
      <c r="GJ55" s="39">
        <f t="shared" si="93"/>
        <v>0</v>
      </c>
      <c r="GK55" s="39">
        <f t="shared" si="93"/>
        <v>0</v>
      </c>
      <c r="GL55" s="39">
        <f t="shared" si="93"/>
        <v>0</v>
      </c>
      <c r="GM55" s="39">
        <f t="shared" ref="GM55:IG55" si="94">(($B$31+1)*GM23)/(GM23+$B$31*((1-$B$32)+$B$32*($B55/$B$33)))*GM$27</f>
        <v>0</v>
      </c>
      <c r="GN55" s="39">
        <f t="shared" si="94"/>
        <v>0</v>
      </c>
      <c r="GO55" s="39">
        <f t="shared" si="94"/>
        <v>0</v>
      </c>
      <c r="GP55" s="39">
        <f t="shared" si="94"/>
        <v>0</v>
      </c>
      <c r="GQ55" s="39">
        <f t="shared" si="94"/>
        <v>0</v>
      </c>
      <c r="GR55" s="39">
        <f t="shared" si="94"/>
        <v>0</v>
      </c>
      <c r="GS55" s="39">
        <f t="shared" si="94"/>
        <v>0</v>
      </c>
      <c r="GT55" s="39">
        <f t="shared" si="94"/>
        <v>0</v>
      </c>
      <c r="GU55" s="39">
        <f t="shared" si="94"/>
        <v>0</v>
      </c>
      <c r="GV55" s="39">
        <f t="shared" si="94"/>
        <v>0</v>
      </c>
      <c r="GW55" s="39">
        <f t="shared" si="94"/>
        <v>0</v>
      </c>
      <c r="GX55" s="39">
        <f t="shared" si="94"/>
        <v>0</v>
      </c>
      <c r="GY55" s="39">
        <f t="shared" si="94"/>
        <v>0</v>
      </c>
      <c r="GZ55" s="39">
        <f t="shared" si="94"/>
        <v>0</v>
      </c>
      <c r="HA55" s="39">
        <f t="shared" si="94"/>
        <v>0</v>
      </c>
      <c r="HB55" s="39">
        <f t="shared" si="94"/>
        <v>0</v>
      </c>
      <c r="HC55" s="39">
        <f t="shared" si="94"/>
        <v>0</v>
      </c>
      <c r="HD55" s="39">
        <f t="shared" si="94"/>
        <v>0</v>
      </c>
      <c r="HE55" s="39">
        <f t="shared" si="94"/>
        <v>0</v>
      </c>
      <c r="HF55" s="39">
        <f t="shared" si="94"/>
        <v>0</v>
      </c>
      <c r="HG55" s="39">
        <f t="shared" si="94"/>
        <v>0</v>
      </c>
      <c r="HH55" s="39">
        <f t="shared" si="94"/>
        <v>0</v>
      </c>
      <c r="HI55" s="39">
        <f t="shared" si="94"/>
        <v>0</v>
      </c>
      <c r="HJ55" s="39">
        <f t="shared" si="94"/>
        <v>0</v>
      </c>
      <c r="HK55" s="39">
        <f t="shared" si="94"/>
        <v>0</v>
      </c>
      <c r="HL55" s="39">
        <f t="shared" si="94"/>
        <v>0</v>
      </c>
      <c r="HM55" s="39">
        <f t="shared" si="94"/>
        <v>0</v>
      </c>
      <c r="HN55" s="39">
        <f t="shared" si="94"/>
        <v>0</v>
      </c>
      <c r="HO55" s="39">
        <f t="shared" si="94"/>
        <v>0</v>
      </c>
      <c r="HP55" s="39">
        <f t="shared" si="94"/>
        <v>0</v>
      </c>
      <c r="HQ55" s="39">
        <f t="shared" si="94"/>
        <v>0</v>
      </c>
      <c r="HR55" s="39">
        <f t="shared" si="94"/>
        <v>0</v>
      </c>
      <c r="HS55" s="39">
        <f t="shared" si="94"/>
        <v>0</v>
      </c>
      <c r="HT55" s="39">
        <f t="shared" si="94"/>
        <v>0</v>
      </c>
      <c r="HU55" s="39">
        <f t="shared" si="94"/>
        <v>0</v>
      </c>
      <c r="HV55" s="39">
        <f t="shared" si="94"/>
        <v>0</v>
      </c>
      <c r="HW55" s="39">
        <f t="shared" si="94"/>
        <v>0</v>
      </c>
      <c r="HX55" s="39">
        <f t="shared" si="94"/>
        <v>0</v>
      </c>
      <c r="HY55" s="39">
        <f t="shared" si="94"/>
        <v>0</v>
      </c>
      <c r="HZ55" s="39">
        <f t="shared" si="94"/>
        <v>0</v>
      </c>
      <c r="IA55" s="39">
        <f t="shared" si="94"/>
        <v>0</v>
      </c>
      <c r="IB55" s="39">
        <f t="shared" si="94"/>
        <v>0</v>
      </c>
      <c r="IC55" s="39">
        <f t="shared" si="94"/>
        <v>0</v>
      </c>
      <c r="ID55" s="39">
        <f t="shared" si="94"/>
        <v>0</v>
      </c>
      <c r="IE55" s="39">
        <f t="shared" si="94"/>
        <v>0</v>
      </c>
      <c r="IF55" s="39">
        <f t="shared" si="94"/>
        <v>0</v>
      </c>
      <c r="IG55" s="39">
        <f t="shared" si="94"/>
        <v>0</v>
      </c>
      <c r="IH55" s="43">
        <v>0.18627004278430909</v>
      </c>
      <c r="II55" s="43">
        <v>0.22939549550430377</v>
      </c>
    </row>
    <row r="56" spans="1:243" x14ac:dyDescent="0.3">
      <c r="A56" s="34" t="s">
        <v>57</v>
      </c>
      <c r="B56" s="38">
        <f t="shared" si="14"/>
        <v>20</v>
      </c>
      <c r="C56" s="39">
        <f t="shared" ref="C56:BN56" si="95">(($B$31+1)*C24)/(C24+$B$31*((1-$B$32)+$B$32*($B56/$B$33)))*C$27</f>
        <v>0</v>
      </c>
      <c r="D56" s="39">
        <f t="shared" si="95"/>
        <v>0</v>
      </c>
      <c r="E56" s="39">
        <f t="shared" si="95"/>
        <v>0</v>
      </c>
      <c r="F56" s="39">
        <f t="shared" si="95"/>
        <v>0</v>
      </c>
      <c r="G56" s="39">
        <f t="shared" si="95"/>
        <v>2.6540468276565568</v>
      </c>
      <c r="H56" s="39">
        <f t="shared" si="95"/>
        <v>0</v>
      </c>
      <c r="I56" s="39">
        <f t="shared" si="95"/>
        <v>0</v>
      </c>
      <c r="J56" s="39">
        <f t="shared" si="95"/>
        <v>0</v>
      </c>
      <c r="K56" s="39">
        <f t="shared" si="95"/>
        <v>0</v>
      </c>
      <c r="L56" s="39">
        <f t="shared" si="95"/>
        <v>0</v>
      </c>
      <c r="M56" s="39">
        <f t="shared" si="95"/>
        <v>0</v>
      </c>
      <c r="N56" s="39">
        <f t="shared" si="95"/>
        <v>2.058893217370326</v>
      </c>
      <c r="O56" s="39">
        <f t="shared" si="95"/>
        <v>0.98323941043915408</v>
      </c>
      <c r="P56" s="39">
        <f t="shared" si="95"/>
        <v>0</v>
      </c>
      <c r="Q56" s="39">
        <f t="shared" si="95"/>
        <v>0</v>
      </c>
      <c r="R56" s="39">
        <f t="shared" si="95"/>
        <v>0</v>
      </c>
      <c r="S56" s="39">
        <f t="shared" si="95"/>
        <v>0</v>
      </c>
      <c r="T56" s="39">
        <f t="shared" si="95"/>
        <v>0</v>
      </c>
      <c r="U56" s="39">
        <f t="shared" si="95"/>
        <v>0</v>
      </c>
      <c r="V56" s="39">
        <f t="shared" si="95"/>
        <v>0</v>
      </c>
      <c r="W56" s="39">
        <f t="shared" si="95"/>
        <v>0</v>
      </c>
      <c r="X56" s="39">
        <f t="shared" si="95"/>
        <v>0</v>
      </c>
      <c r="Y56" s="39">
        <f t="shared" si="95"/>
        <v>0</v>
      </c>
      <c r="Z56" s="39">
        <f t="shared" si="95"/>
        <v>0</v>
      </c>
      <c r="AA56" s="39">
        <f t="shared" si="95"/>
        <v>0</v>
      </c>
      <c r="AB56" s="39">
        <f t="shared" si="95"/>
        <v>0</v>
      </c>
      <c r="AC56" s="39">
        <f t="shared" si="95"/>
        <v>0</v>
      </c>
      <c r="AD56" s="39">
        <f t="shared" si="95"/>
        <v>0</v>
      </c>
      <c r="AE56" s="39">
        <f t="shared" si="95"/>
        <v>0</v>
      </c>
      <c r="AF56" s="39">
        <f t="shared" si="95"/>
        <v>0</v>
      </c>
      <c r="AG56" s="39">
        <f t="shared" si="95"/>
        <v>0</v>
      </c>
      <c r="AH56" s="39">
        <f t="shared" si="95"/>
        <v>0</v>
      </c>
      <c r="AI56" s="39">
        <f t="shared" si="95"/>
        <v>0</v>
      </c>
      <c r="AJ56" s="39">
        <f t="shared" si="95"/>
        <v>0</v>
      </c>
      <c r="AK56" s="39">
        <f t="shared" si="95"/>
        <v>0</v>
      </c>
      <c r="AL56" s="39">
        <f t="shared" si="95"/>
        <v>0</v>
      </c>
      <c r="AM56" s="39">
        <f t="shared" si="95"/>
        <v>0</v>
      </c>
      <c r="AN56" s="39">
        <f t="shared" si="95"/>
        <v>0</v>
      </c>
      <c r="AO56" s="39">
        <f t="shared" si="95"/>
        <v>0</v>
      </c>
      <c r="AP56" s="39">
        <f t="shared" si="95"/>
        <v>0</v>
      </c>
      <c r="AQ56" s="39">
        <f t="shared" si="95"/>
        <v>2.6540468276565568</v>
      </c>
      <c r="AR56" s="39">
        <f t="shared" si="95"/>
        <v>0</v>
      </c>
      <c r="AS56" s="39">
        <f t="shared" si="95"/>
        <v>0</v>
      </c>
      <c r="AT56" s="39">
        <f t="shared" si="95"/>
        <v>2.6540468276565568</v>
      </c>
      <c r="AU56" s="39">
        <f t="shared" si="95"/>
        <v>0</v>
      </c>
      <c r="AV56" s="39">
        <f t="shared" si="95"/>
        <v>0</v>
      </c>
      <c r="AW56" s="39">
        <f t="shared" si="95"/>
        <v>0</v>
      </c>
      <c r="AX56" s="39">
        <f t="shared" si="95"/>
        <v>0</v>
      </c>
      <c r="AY56" s="39">
        <f t="shared" si="95"/>
        <v>0</v>
      </c>
      <c r="AZ56" s="39">
        <f t="shared" si="95"/>
        <v>0</v>
      </c>
      <c r="BA56" s="39">
        <f t="shared" si="95"/>
        <v>0</v>
      </c>
      <c r="BB56" s="39">
        <f t="shared" si="95"/>
        <v>0</v>
      </c>
      <c r="BC56" s="39">
        <f t="shared" si="95"/>
        <v>0</v>
      </c>
      <c r="BD56" s="39">
        <f t="shared" si="95"/>
        <v>0</v>
      </c>
      <c r="BE56" s="39">
        <f t="shared" si="95"/>
        <v>0</v>
      </c>
      <c r="BF56" s="39">
        <f t="shared" si="95"/>
        <v>0</v>
      </c>
      <c r="BG56" s="39">
        <f t="shared" si="95"/>
        <v>0</v>
      </c>
      <c r="BH56" s="39">
        <f t="shared" si="95"/>
        <v>0</v>
      </c>
      <c r="BI56" s="39">
        <f t="shared" si="95"/>
        <v>0</v>
      </c>
      <c r="BJ56" s="39">
        <f t="shared" si="95"/>
        <v>0</v>
      </c>
      <c r="BK56" s="39">
        <f t="shared" si="95"/>
        <v>0</v>
      </c>
      <c r="BL56" s="39">
        <f t="shared" si="95"/>
        <v>0</v>
      </c>
      <c r="BM56" s="39">
        <f t="shared" si="95"/>
        <v>0</v>
      </c>
      <c r="BN56" s="39">
        <f t="shared" si="95"/>
        <v>2.6540468276565568</v>
      </c>
      <c r="BO56" s="39">
        <f t="shared" ref="BO56:DZ56" si="96">(($B$31+1)*BO24)/(BO24+$B$31*((1-$B$32)+$B$32*($B56/$B$33)))*BO$27</f>
        <v>0</v>
      </c>
      <c r="BP56" s="39">
        <f t="shared" si="96"/>
        <v>0</v>
      </c>
      <c r="BQ56" s="39">
        <f t="shared" si="96"/>
        <v>0</v>
      </c>
      <c r="BR56" s="39">
        <f t="shared" si="96"/>
        <v>0</v>
      </c>
      <c r="BS56" s="39">
        <f t="shared" si="96"/>
        <v>0</v>
      </c>
      <c r="BT56" s="39">
        <f t="shared" si="96"/>
        <v>0</v>
      </c>
      <c r="BU56" s="39">
        <f t="shared" si="96"/>
        <v>0</v>
      </c>
      <c r="BV56" s="39">
        <f t="shared" si="96"/>
        <v>0</v>
      </c>
      <c r="BW56" s="39">
        <f t="shared" si="96"/>
        <v>2.058893217370326</v>
      </c>
      <c r="BX56" s="39">
        <f t="shared" si="96"/>
        <v>0</v>
      </c>
      <c r="BY56" s="39">
        <f t="shared" si="96"/>
        <v>0</v>
      </c>
      <c r="BZ56" s="39">
        <f t="shared" si="96"/>
        <v>0</v>
      </c>
      <c r="CA56" s="39">
        <f t="shared" si="96"/>
        <v>0</v>
      </c>
      <c r="CB56" s="39">
        <f t="shared" si="96"/>
        <v>0</v>
      </c>
      <c r="CC56" s="39">
        <f t="shared" si="96"/>
        <v>0</v>
      </c>
      <c r="CD56" s="39">
        <f t="shared" si="96"/>
        <v>0</v>
      </c>
      <c r="CE56" s="39">
        <f t="shared" si="96"/>
        <v>0</v>
      </c>
      <c r="CF56" s="39">
        <f t="shared" si="96"/>
        <v>2.6540468276565568</v>
      </c>
      <c r="CG56" s="39">
        <f t="shared" si="96"/>
        <v>0</v>
      </c>
      <c r="CH56" s="39">
        <f t="shared" si="96"/>
        <v>0</v>
      </c>
      <c r="CI56" s="39">
        <f t="shared" si="96"/>
        <v>0</v>
      </c>
      <c r="CJ56" s="39">
        <f t="shared" si="96"/>
        <v>0</v>
      </c>
      <c r="CK56" s="39">
        <f t="shared" si="96"/>
        <v>0</v>
      </c>
      <c r="CL56" s="39">
        <f t="shared" si="96"/>
        <v>0</v>
      </c>
      <c r="CM56" s="39">
        <f t="shared" si="96"/>
        <v>0</v>
      </c>
      <c r="CN56" s="39">
        <f t="shared" si="96"/>
        <v>0</v>
      </c>
      <c r="CO56" s="39">
        <f t="shared" si="96"/>
        <v>0</v>
      </c>
      <c r="CP56" s="39">
        <f t="shared" si="96"/>
        <v>0</v>
      </c>
      <c r="CQ56" s="39">
        <f t="shared" si="96"/>
        <v>0</v>
      </c>
      <c r="CR56" s="39">
        <f t="shared" si="96"/>
        <v>0</v>
      </c>
      <c r="CS56" s="39">
        <f t="shared" si="96"/>
        <v>0</v>
      </c>
      <c r="CT56" s="39">
        <f t="shared" si="96"/>
        <v>0</v>
      </c>
      <c r="CU56" s="39">
        <f t="shared" si="96"/>
        <v>0</v>
      </c>
      <c r="CV56" s="39">
        <f t="shared" si="96"/>
        <v>0</v>
      </c>
      <c r="CW56" s="39">
        <f t="shared" si="96"/>
        <v>0</v>
      </c>
      <c r="CX56" s="39">
        <f t="shared" si="96"/>
        <v>0</v>
      </c>
      <c r="CY56" s="39">
        <f t="shared" si="96"/>
        <v>0</v>
      </c>
      <c r="CZ56" s="39">
        <f t="shared" si="96"/>
        <v>0</v>
      </c>
      <c r="DA56" s="39">
        <f t="shared" si="96"/>
        <v>0</v>
      </c>
      <c r="DB56" s="39">
        <f t="shared" si="96"/>
        <v>2.6540468276565568</v>
      </c>
      <c r="DC56" s="39">
        <f t="shared" si="96"/>
        <v>0</v>
      </c>
      <c r="DD56" s="39">
        <f t="shared" si="96"/>
        <v>0</v>
      </c>
      <c r="DE56" s="39">
        <f t="shared" si="96"/>
        <v>0</v>
      </c>
      <c r="DF56" s="39">
        <f t="shared" si="96"/>
        <v>0</v>
      </c>
      <c r="DG56" s="39">
        <f t="shared" si="96"/>
        <v>0</v>
      </c>
      <c r="DH56" s="39">
        <f t="shared" si="96"/>
        <v>0</v>
      </c>
      <c r="DI56" s="39">
        <f t="shared" si="96"/>
        <v>0</v>
      </c>
      <c r="DJ56" s="39">
        <f t="shared" si="96"/>
        <v>0</v>
      </c>
      <c r="DK56" s="39">
        <f t="shared" si="96"/>
        <v>0</v>
      </c>
      <c r="DL56" s="39">
        <f t="shared" si="96"/>
        <v>0</v>
      </c>
      <c r="DM56" s="39">
        <f t="shared" si="96"/>
        <v>0</v>
      </c>
      <c r="DN56" s="39">
        <f t="shared" si="96"/>
        <v>0</v>
      </c>
      <c r="DO56" s="39">
        <f t="shared" si="96"/>
        <v>0</v>
      </c>
      <c r="DP56" s="39">
        <f t="shared" si="96"/>
        <v>0</v>
      </c>
      <c r="DQ56" s="39">
        <f t="shared" si="96"/>
        <v>0</v>
      </c>
      <c r="DR56" s="39">
        <f t="shared" si="96"/>
        <v>2.058893217370326</v>
      </c>
      <c r="DS56" s="39">
        <f t="shared" si="96"/>
        <v>0</v>
      </c>
      <c r="DT56" s="39">
        <f t="shared" si="96"/>
        <v>0</v>
      </c>
      <c r="DU56" s="39">
        <f t="shared" si="96"/>
        <v>0</v>
      </c>
      <c r="DV56" s="39">
        <f t="shared" si="96"/>
        <v>0</v>
      </c>
      <c r="DW56" s="39">
        <f t="shared" si="96"/>
        <v>3.2014924448924802</v>
      </c>
      <c r="DX56" s="39">
        <f t="shared" si="96"/>
        <v>0</v>
      </c>
      <c r="DY56" s="39">
        <f t="shared" si="96"/>
        <v>0</v>
      </c>
      <c r="DZ56" s="39">
        <f t="shared" si="96"/>
        <v>0</v>
      </c>
      <c r="EA56" s="39">
        <f t="shared" ref="EA56:GL56" si="97">(($B$31+1)*EA24)/(EA24+$B$31*((1-$B$32)+$B$32*($B56/$B$33)))*EA$27</f>
        <v>0</v>
      </c>
      <c r="EB56" s="39">
        <f t="shared" si="97"/>
        <v>0</v>
      </c>
      <c r="EC56" s="39">
        <f t="shared" si="97"/>
        <v>0</v>
      </c>
      <c r="ED56" s="39">
        <f t="shared" si="97"/>
        <v>0</v>
      </c>
      <c r="EE56" s="39">
        <f t="shared" si="97"/>
        <v>0</v>
      </c>
      <c r="EF56" s="39">
        <f t="shared" si="97"/>
        <v>0</v>
      </c>
      <c r="EG56" s="39">
        <f t="shared" si="97"/>
        <v>2.058893217370326</v>
      </c>
      <c r="EH56" s="39">
        <f t="shared" si="97"/>
        <v>0</v>
      </c>
      <c r="EI56" s="39">
        <f t="shared" si="97"/>
        <v>0</v>
      </c>
      <c r="EJ56" s="39">
        <f t="shared" si="97"/>
        <v>0</v>
      </c>
      <c r="EK56" s="39">
        <f t="shared" si="97"/>
        <v>0</v>
      </c>
      <c r="EL56" s="39">
        <f t="shared" si="97"/>
        <v>0</v>
      </c>
      <c r="EM56" s="39">
        <f t="shared" si="97"/>
        <v>0</v>
      </c>
      <c r="EN56" s="39">
        <f t="shared" si="97"/>
        <v>0</v>
      </c>
      <c r="EO56" s="39">
        <f t="shared" si="97"/>
        <v>2.6540468276565568</v>
      </c>
      <c r="EP56" s="39">
        <f t="shared" si="97"/>
        <v>0</v>
      </c>
      <c r="EQ56" s="39">
        <f t="shared" si="97"/>
        <v>0</v>
      </c>
      <c r="ER56" s="39">
        <f t="shared" si="97"/>
        <v>0</v>
      </c>
      <c r="ES56" s="39">
        <f t="shared" si="97"/>
        <v>0</v>
      </c>
      <c r="ET56" s="39">
        <f t="shared" si="97"/>
        <v>0</v>
      </c>
      <c r="EU56" s="39">
        <f t="shared" si="97"/>
        <v>2.058893217370326</v>
      </c>
      <c r="EV56" s="39">
        <f t="shared" si="97"/>
        <v>0</v>
      </c>
      <c r="EW56" s="39">
        <f t="shared" si="97"/>
        <v>0</v>
      </c>
      <c r="EX56" s="39">
        <f t="shared" si="97"/>
        <v>0</v>
      </c>
      <c r="EY56" s="39">
        <f t="shared" si="97"/>
        <v>0</v>
      </c>
      <c r="EZ56" s="39">
        <f t="shared" si="97"/>
        <v>0</v>
      </c>
      <c r="FA56" s="39">
        <f t="shared" si="97"/>
        <v>0</v>
      </c>
      <c r="FB56" s="39">
        <f t="shared" si="97"/>
        <v>0</v>
      </c>
      <c r="FC56" s="39">
        <f t="shared" si="97"/>
        <v>0</v>
      </c>
      <c r="FD56" s="39">
        <f t="shared" si="97"/>
        <v>0</v>
      </c>
      <c r="FE56" s="39">
        <f t="shared" si="97"/>
        <v>0</v>
      </c>
      <c r="FF56" s="39">
        <f t="shared" si="97"/>
        <v>0</v>
      </c>
      <c r="FG56" s="39">
        <f t="shared" si="97"/>
        <v>0</v>
      </c>
      <c r="FH56" s="39">
        <f t="shared" si="97"/>
        <v>0</v>
      </c>
      <c r="FI56" s="39">
        <f t="shared" si="97"/>
        <v>0</v>
      </c>
      <c r="FJ56" s="39">
        <f t="shared" si="97"/>
        <v>0</v>
      </c>
      <c r="FK56" s="39">
        <f t="shared" si="97"/>
        <v>0</v>
      </c>
      <c r="FL56" s="39">
        <f t="shared" si="97"/>
        <v>0</v>
      </c>
      <c r="FM56" s="39">
        <f t="shared" si="97"/>
        <v>0</v>
      </c>
      <c r="FN56" s="39">
        <f t="shared" si="97"/>
        <v>0</v>
      </c>
      <c r="FO56" s="39">
        <f t="shared" si="97"/>
        <v>0</v>
      </c>
      <c r="FP56" s="39">
        <f t="shared" si="97"/>
        <v>0</v>
      </c>
      <c r="FQ56" s="39">
        <f t="shared" si="97"/>
        <v>0</v>
      </c>
      <c r="FR56" s="39">
        <f t="shared" si="97"/>
        <v>0</v>
      </c>
      <c r="FS56" s="39">
        <f t="shared" si="97"/>
        <v>2.058893217370326</v>
      </c>
      <c r="FT56" s="39">
        <f t="shared" si="97"/>
        <v>0</v>
      </c>
      <c r="FU56" s="39">
        <f t="shared" si="97"/>
        <v>0</v>
      </c>
      <c r="FV56" s="39">
        <f t="shared" si="97"/>
        <v>0</v>
      </c>
      <c r="FW56" s="39">
        <f t="shared" si="97"/>
        <v>2.058893217370326</v>
      </c>
      <c r="FX56" s="39">
        <f t="shared" si="97"/>
        <v>0</v>
      </c>
      <c r="FY56" s="39">
        <f t="shared" si="97"/>
        <v>0</v>
      </c>
      <c r="FZ56" s="39">
        <f t="shared" si="97"/>
        <v>0</v>
      </c>
      <c r="GA56" s="39">
        <f t="shared" si="97"/>
        <v>0</v>
      </c>
      <c r="GB56" s="39">
        <f t="shared" si="97"/>
        <v>0</v>
      </c>
      <c r="GC56" s="39">
        <f t="shared" si="97"/>
        <v>0</v>
      </c>
      <c r="GD56" s="39">
        <f t="shared" si="97"/>
        <v>0</v>
      </c>
      <c r="GE56" s="39">
        <f t="shared" si="97"/>
        <v>0</v>
      </c>
      <c r="GF56" s="39">
        <f t="shared" si="97"/>
        <v>2.6540468276565568</v>
      </c>
      <c r="GG56" s="39">
        <f t="shared" si="97"/>
        <v>0</v>
      </c>
      <c r="GH56" s="39">
        <f t="shared" si="97"/>
        <v>0</v>
      </c>
      <c r="GI56" s="39">
        <f t="shared" si="97"/>
        <v>0</v>
      </c>
      <c r="GJ56" s="39">
        <f t="shared" si="97"/>
        <v>0</v>
      </c>
      <c r="GK56" s="39">
        <f t="shared" si="97"/>
        <v>0</v>
      </c>
      <c r="GL56" s="39">
        <f t="shared" si="97"/>
        <v>0</v>
      </c>
      <c r="GM56" s="39">
        <f t="shared" ref="GM56:IG56" si="98">(($B$31+1)*GM24)/(GM24+$B$31*((1-$B$32)+$B$32*($B56/$B$33)))*GM$27</f>
        <v>0</v>
      </c>
      <c r="GN56" s="39">
        <f t="shared" si="98"/>
        <v>0</v>
      </c>
      <c r="GO56" s="39">
        <f t="shared" si="98"/>
        <v>0</v>
      </c>
      <c r="GP56" s="39">
        <f t="shared" si="98"/>
        <v>0</v>
      </c>
      <c r="GQ56" s="39">
        <f t="shared" si="98"/>
        <v>0</v>
      </c>
      <c r="GR56" s="39">
        <f t="shared" si="98"/>
        <v>0</v>
      </c>
      <c r="GS56" s="39">
        <f t="shared" si="98"/>
        <v>0</v>
      </c>
      <c r="GT56" s="39">
        <f t="shared" si="98"/>
        <v>0</v>
      </c>
      <c r="GU56" s="39">
        <f t="shared" si="98"/>
        <v>0</v>
      </c>
      <c r="GV56" s="39">
        <f t="shared" si="98"/>
        <v>0</v>
      </c>
      <c r="GW56" s="39">
        <f t="shared" si="98"/>
        <v>0</v>
      </c>
      <c r="GX56" s="39">
        <f t="shared" si="98"/>
        <v>0</v>
      </c>
      <c r="GY56" s="39">
        <f t="shared" si="98"/>
        <v>0</v>
      </c>
      <c r="GZ56" s="39">
        <f t="shared" si="98"/>
        <v>0</v>
      </c>
      <c r="HA56" s="39">
        <f t="shared" si="98"/>
        <v>0</v>
      </c>
      <c r="HB56" s="39">
        <f t="shared" si="98"/>
        <v>0</v>
      </c>
      <c r="HC56" s="39">
        <f t="shared" si="98"/>
        <v>0</v>
      </c>
      <c r="HD56" s="39">
        <f t="shared" si="98"/>
        <v>0</v>
      </c>
      <c r="HE56" s="39">
        <f t="shared" si="98"/>
        <v>0</v>
      </c>
      <c r="HF56" s="39">
        <f t="shared" si="98"/>
        <v>2.6540468276565568</v>
      </c>
      <c r="HG56" s="39">
        <f t="shared" si="98"/>
        <v>0</v>
      </c>
      <c r="HH56" s="39">
        <f t="shared" si="98"/>
        <v>0</v>
      </c>
      <c r="HI56" s="39">
        <f t="shared" si="98"/>
        <v>0</v>
      </c>
      <c r="HJ56" s="39">
        <f t="shared" si="98"/>
        <v>0</v>
      </c>
      <c r="HK56" s="39">
        <f t="shared" si="98"/>
        <v>0</v>
      </c>
      <c r="HL56" s="39">
        <f t="shared" si="98"/>
        <v>0</v>
      </c>
      <c r="HM56" s="39">
        <f t="shared" si="98"/>
        <v>0</v>
      </c>
      <c r="HN56" s="39">
        <f t="shared" si="98"/>
        <v>0</v>
      </c>
      <c r="HO56" s="39">
        <f t="shared" si="98"/>
        <v>0</v>
      </c>
      <c r="HP56" s="39">
        <f t="shared" si="98"/>
        <v>0</v>
      </c>
      <c r="HQ56" s="39">
        <f t="shared" si="98"/>
        <v>0</v>
      </c>
      <c r="HR56" s="39">
        <f t="shared" si="98"/>
        <v>0</v>
      </c>
      <c r="HS56" s="39">
        <f t="shared" si="98"/>
        <v>0</v>
      </c>
      <c r="HT56" s="39">
        <f t="shared" si="98"/>
        <v>0</v>
      </c>
      <c r="HU56" s="39">
        <f t="shared" si="98"/>
        <v>0</v>
      </c>
      <c r="HV56" s="39">
        <f t="shared" si="98"/>
        <v>0</v>
      </c>
      <c r="HW56" s="39">
        <f t="shared" si="98"/>
        <v>0</v>
      </c>
      <c r="HX56" s="39">
        <f t="shared" si="98"/>
        <v>0</v>
      </c>
      <c r="HY56" s="39">
        <f t="shared" si="98"/>
        <v>0</v>
      </c>
      <c r="HZ56" s="39">
        <f t="shared" si="98"/>
        <v>0</v>
      </c>
      <c r="IA56" s="39">
        <f t="shared" si="98"/>
        <v>0</v>
      </c>
      <c r="IB56" s="39">
        <f t="shared" si="98"/>
        <v>0</v>
      </c>
      <c r="IC56" s="39">
        <f t="shared" si="98"/>
        <v>0</v>
      </c>
      <c r="ID56" s="39">
        <f t="shared" si="98"/>
        <v>0</v>
      </c>
      <c r="IE56" s="39">
        <f t="shared" si="98"/>
        <v>0</v>
      </c>
      <c r="IF56" s="39">
        <f t="shared" si="98"/>
        <v>1.710750673184068</v>
      </c>
      <c r="IG56" s="39">
        <f t="shared" si="98"/>
        <v>0</v>
      </c>
      <c r="IH56" s="43">
        <v>0.3159561872398024</v>
      </c>
      <c r="II56" s="43">
        <v>0.28002728511492642</v>
      </c>
    </row>
    <row r="57" spans="1:243" x14ac:dyDescent="0.3">
      <c r="A57" s="34" t="s">
        <v>58</v>
      </c>
      <c r="B57" s="38">
        <f t="shared" si="14"/>
        <v>10</v>
      </c>
      <c r="C57" s="39">
        <f t="shared" ref="C57:BN57" si="99">(($B$31+1)*C25)/(C25+$B$31*((1-$B$32)+$B$32*($B57/$B$33)))*C$27</f>
        <v>0</v>
      </c>
      <c r="D57" s="39">
        <f t="shared" si="99"/>
        <v>0</v>
      </c>
      <c r="E57" s="39">
        <f t="shared" si="99"/>
        <v>0</v>
      </c>
      <c r="F57" s="39">
        <f t="shared" si="99"/>
        <v>0</v>
      </c>
      <c r="G57" s="39">
        <f t="shared" si="99"/>
        <v>0</v>
      </c>
      <c r="H57" s="39">
        <f t="shared" si="99"/>
        <v>3.7137388459586305</v>
      </c>
      <c r="I57" s="39">
        <f t="shared" si="99"/>
        <v>0</v>
      </c>
      <c r="J57" s="39">
        <f t="shared" si="99"/>
        <v>0</v>
      </c>
      <c r="K57" s="39">
        <f t="shared" si="99"/>
        <v>0</v>
      </c>
      <c r="L57" s="39">
        <f t="shared" si="99"/>
        <v>0</v>
      </c>
      <c r="M57" s="39">
        <f t="shared" si="99"/>
        <v>0</v>
      </c>
      <c r="N57" s="39">
        <f t="shared" si="99"/>
        <v>0</v>
      </c>
      <c r="O57" s="39">
        <f t="shared" si="99"/>
        <v>0</v>
      </c>
      <c r="P57" s="39">
        <f t="shared" si="99"/>
        <v>0</v>
      </c>
      <c r="Q57" s="39">
        <f t="shared" si="99"/>
        <v>0</v>
      </c>
      <c r="R57" s="39">
        <f t="shared" si="99"/>
        <v>0</v>
      </c>
      <c r="S57" s="39">
        <f t="shared" si="99"/>
        <v>0</v>
      </c>
      <c r="T57" s="39">
        <f t="shared" si="99"/>
        <v>0</v>
      </c>
      <c r="U57" s="39">
        <f t="shared" si="99"/>
        <v>0</v>
      </c>
      <c r="V57" s="39">
        <f t="shared" si="99"/>
        <v>0</v>
      </c>
      <c r="W57" s="39">
        <f t="shared" si="99"/>
        <v>0</v>
      </c>
      <c r="X57" s="39">
        <f t="shared" si="99"/>
        <v>0</v>
      </c>
      <c r="Y57" s="39">
        <f t="shared" si="99"/>
        <v>0</v>
      </c>
      <c r="Z57" s="39">
        <f t="shared" si="99"/>
        <v>0</v>
      </c>
      <c r="AA57" s="39">
        <f t="shared" si="99"/>
        <v>0</v>
      </c>
      <c r="AB57" s="39">
        <f t="shared" si="99"/>
        <v>0</v>
      </c>
      <c r="AC57" s="39">
        <f t="shared" si="99"/>
        <v>0</v>
      </c>
      <c r="AD57" s="39">
        <f t="shared" si="99"/>
        <v>0</v>
      </c>
      <c r="AE57" s="39">
        <f t="shared" si="99"/>
        <v>0</v>
      </c>
      <c r="AF57" s="39">
        <f t="shared" si="99"/>
        <v>2.8809558449955017</v>
      </c>
      <c r="AG57" s="39">
        <f t="shared" si="99"/>
        <v>0</v>
      </c>
      <c r="AH57" s="39">
        <f t="shared" si="99"/>
        <v>0</v>
      </c>
      <c r="AI57" s="39">
        <f t="shared" si="99"/>
        <v>0</v>
      </c>
      <c r="AJ57" s="39">
        <f t="shared" si="99"/>
        <v>0</v>
      </c>
      <c r="AK57" s="39">
        <f t="shared" si="99"/>
        <v>0</v>
      </c>
      <c r="AL57" s="39">
        <f t="shared" si="99"/>
        <v>0</v>
      </c>
      <c r="AM57" s="39">
        <f t="shared" si="99"/>
        <v>0</v>
      </c>
      <c r="AN57" s="39">
        <f t="shared" si="99"/>
        <v>0</v>
      </c>
      <c r="AO57" s="39">
        <f t="shared" si="99"/>
        <v>0</v>
      </c>
      <c r="AP57" s="39">
        <f t="shared" si="99"/>
        <v>0</v>
      </c>
      <c r="AQ57" s="39">
        <f t="shared" si="99"/>
        <v>0</v>
      </c>
      <c r="AR57" s="39">
        <f t="shared" si="99"/>
        <v>0</v>
      </c>
      <c r="AS57" s="39">
        <f t="shared" si="99"/>
        <v>0</v>
      </c>
      <c r="AT57" s="39">
        <f t="shared" si="99"/>
        <v>0</v>
      </c>
      <c r="AU57" s="39">
        <f t="shared" si="99"/>
        <v>0</v>
      </c>
      <c r="AV57" s="39">
        <f t="shared" si="99"/>
        <v>0</v>
      </c>
      <c r="AW57" s="39">
        <f t="shared" si="99"/>
        <v>0</v>
      </c>
      <c r="AX57" s="39">
        <f t="shared" si="99"/>
        <v>0</v>
      </c>
      <c r="AY57" s="39">
        <f t="shared" si="99"/>
        <v>0</v>
      </c>
      <c r="AZ57" s="39">
        <f t="shared" si="99"/>
        <v>0</v>
      </c>
      <c r="BA57" s="39">
        <f t="shared" si="99"/>
        <v>0</v>
      </c>
      <c r="BB57" s="39">
        <f t="shared" si="99"/>
        <v>0</v>
      </c>
      <c r="BC57" s="39">
        <f t="shared" si="99"/>
        <v>0</v>
      </c>
      <c r="BD57" s="39">
        <f t="shared" si="99"/>
        <v>0</v>
      </c>
      <c r="BE57" s="39">
        <f t="shared" si="99"/>
        <v>0</v>
      </c>
      <c r="BF57" s="39">
        <f t="shared" si="99"/>
        <v>0</v>
      </c>
      <c r="BG57" s="39">
        <f t="shared" si="99"/>
        <v>3.7137388459586305</v>
      </c>
      <c r="BH57" s="39">
        <f t="shared" si="99"/>
        <v>0</v>
      </c>
      <c r="BI57" s="39">
        <f t="shared" si="99"/>
        <v>0</v>
      </c>
      <c r="BJ57" s="39">
        <f t="shared" si="99"/>
        <v>0</v>
      </c>
      <c r="BK57" s="39">
        <f t="shared" si="99"/>
        <v>0</v>
      </c>
      <c r="BL57" s="39">
        <f t="shared" si="99"/>
        <v>0</v>
      </c>
      <c r="BM57" s="39">
        <f t="shared" si="99"/>
        <v>0</v>
      </c>
      <c r="BN57" s="39">
        <f t="shared" si="99"/>
        <v>0</v>
      </c>
      <c r="BO57" s="39">
        <f t="shared" ref="BO57:DZ57" si="100">(($B$31+1)*BO25)/(BO25+$B$31*((1-$B$32)+$B$32*($B57/$B$33)))*BO$27</f>
        <v>0</v>
      </c>
      <c r="BP57" s="39">
        <f t="shared" si="100"/>
        <v>0</v>
      </c>
      <c r="BQ57" s="39">
        <f t="shared" si="100"/>
        <v>0</v>
      </c>
      <c r="BR57" s="39">
        <f t="shared" si="100"/>
        <v>0</v>
      </c>
      <c r="BS57" s="39">
        <f t="shared" si="100"/>
        <v>0</v>
      </c>
      <c r="BT57" s="39">
        <f t="shared" si="100"/>
        <v>2.3938090181940406</v>
      </c>
      <c r="BU57" s="39">
        <f t="shared" si="100"/>
        <v>0</v>
      </c>
      <c r="BV57" s="39">
        <f t="shared" si="100"/>
        <v>0</v>
      </c>
      <c r="BW57" s="39">
        <f t="shared" si="100"/>
        <v>2.8809558449955017</v>
      </c>
      <c r="BX57" s="39">
        <f t="shared" si="100"/>
        <v>0</v>
      </c>
      <c r="BY57" s="39">
        <f t="shared" si="100"/>
        <v>0</v>
      </c>
      <c r="BZ57" s="39">
        <f t="shared" si="100"/>
        <v>0</v>
      </c>
      <c r="CA57" s="39">
        <f t="shared" si="100"/>
        <v>0</v>
      </c>
      <c r="CB57" s="39">
        <f t="shared" si="100"/>
        <v>0</v>
      </c>
      <c r="CC57" s="39">
        <f t="shared" si="100"/>
        <v>0</v>
      </c>
      <c r="CD57" s="39">
        <f t="shared" si="100"/>
        <v>0</v>
      </c>
      <c r="CE57" s="39">
        <f t="shared" si="100"/>
        <v>0</v>
      </c>
      <c r="CF57" s="39">
        <f t="shared" si="100"/>
        <v>0</v>
      </c>
      <c r="CG57" s="39">
        <f t="shared" si="100"/>
        <v>0</v>
      </c>
      <c r="CH57" s="39">
        <f t="shared" si="100"/>
        <v>0</v>
      </c>
      <c r="CI57" s="39">
        <f t="shared" si="100"/>
        <v>0</v>
      </c>
      <c r="CJ57" s="39">
        <f t="shared" si="100"/>
        <v>0</v>
      </c>
      <c r="CK57" s="39">
        <f t="shared" si="100"/>
        <v>0</v>
      </c>
      <c r="CL57" s="39">
        <f t="shared" si="100"/>
        <v>0</v>
      </c>
      <c r="CM57" s="39">
        <f t="shared" si="100"/>
        <v>0</v>
      </c>
      <c r="CN57" s="39">
        <f t="shared" si="100"/>
        <v>0</v>
      </c>
      <c r="CO57" s="39">
        <f t="shared" si="100"/>
        <v>0</v>
      </c>
      <c r="CP57" s="39">
        <f t="shared" si="100"/>
        <v>0</v>
      </c>
      <c r="CQ57" s="39">
        <f t="shared" si="100"/>
        <v>0</v>
      </c>
      <c r="CR57" s="39">
        <f t="shared" si="100"/>
        <v>0</v>
      </c>
      <c r="CS57" s="39">
        <f t="shared" si="100"/>
        <v>0</v>
      </c>
      <c r="CT57" s="39">
        <f t="shared" si="100"/>
        <v>0</v>
      </c>
      <c r="CU57" s="39">
        <f t="shared" si="100"/>
        <v>0</v>
      </c>
      <c r="CV57" s="39">
        <f t="shared" si="100"/>
        <v>0</v>
      </c>
      <c r="CW57" s="39">
        <f t="shared" si="100"/>
        <v>0</v>
      </c>
      <c r="CX57" s="39">
        <f t="shared" si="100"/>
        <v>0</v>
      </c>
      <c r="CY57" s="39">
        <f t="shared" si="100"/>
        <v>0</v>
      </c>
      <c r="CZ57" s="39">
        <f t="shared" si="100"/>
        <v>0</v>
      </c>
      <c r="DA57" s="39">
        <f t="shared" si="100"/>
        <v>0</v>
      </c>
      <c r="DB57" s="39">
        <f t="shared" si="100"/>
        <v>0</v>
      </c>
      <c r="DC57" s="39">
        <f t="shared" si="100"/>
        <v>0</v>
      </c>
      <c r="DD57" s="39">
        <f t="shared" si="100"/>
        <v>0</v>
      </c>
      <c r="DE57" s="39">
        <f t="shared" si="100"/>
        <v>0</v>
      </c>
      <c r="DF57" s="39">
        <f t="shared" si="100"/>
        <v>0</v>
      </c>
      <c r="DG57" s="39">
        <f t="shared" si="100"/>
        <v>0</v>
      </c>
      <c r="DH57" s="39">
        <f t="shared" si="100"/>
        <v>0</v>
      </c>
      <c r="DI57" s="39">
        <f t="shared" si="100"/>
        <v>0</v>
      </c>
      <c r="DJ57" s="39">
        <f t="shared" si="100"/>
        <v>0</v>
      </c>
      <c r="DK57" s="39">
        <f t="shared" si="100"/>
        <v>0</v>
      </c>
      <c r="DL57" s="39">
        <f t="shared" si="100"/>
        <v>0</v>
      </c>
      <c r="DM57" s="39">
        <f t="shared" si="100"/>
        <v>3.7137388459586305</v>
      </c>
      <c r="DN57" s="39">
        <f t="shared" si="100"/>
        <v>0</v>
      </c>
      <c r="DO57" s="39">
        <f t="shared" si="100"/>
        <v>0</v>
      </c>
      <c r="DP57" s="39">
        <f t="shared" si="100"/>
        <v>0</v>
      </c>
      <c r="DQ57" s="39">
        <f t="shared" si="100"/>
        <v>0</v>
      </c>
      <c r="DR57" s="39">
        <f t="shared" si="100"/>
        <v>0</v>
      </c>
      <c r="DS57" s="39">
        <f t="shared" si="100"/>
        <v>0</v>
      </c>
      <c r="DT57" s="39">
        <f t="shared" si="100"/>
        <v>0</v>
      </c>
      <c r="DU57" s="39">
        <f t="shared" si="100"/>
        <v>0</v>
      </c>
      <c r="DV57" s="39">
        <f t="shared" si="100"/>
        <v>0</v>
      </c>
      <c r="DW57" s="39">
        <f t="shared" si="100"/>
        <v>2.8809558449955017</v>
      </c>
      <c r="DX57" s="39">
        <f t="shared" si="100"/>
        <v>0</v>
      </c>
      <c r="DY57" s="39">
        <f t="shared" si="100"/>
        <v>0</v>
      </c>
      <c r="DZ57" s="39">
        <f t="shared" si="100"/>
        <v>0</v>
      </c>
      <c r="EA57" s="39">
        <f t="shared" ref="EA57:GL57" si="101">(($B$31+1)*EA25)/(EA25+$B$31*((1-$B$32)+$B$32*($B57/$B$33)))*EA$27</f>
        <v>0</v>
      </c>
      <c r="EB57" s="39">
        <f t="shared" si="101"/>
        <v>0</v>
      </c>
      <c r="EC57" s="39">
        <f t="shared" si="101"/>
        <v>0</v>
      </c>
      <c r="ED57" s="39">
        <f t="shared" si="101"/>
        <v>0</v>
      </c>
      <c r="EE57" s="39">
        <f t="shared" si="101"/>
        <v>0</v>
      </c>
      <c r="EF57" s="39">
        <f t="shared" si="101"/>
        <v>0</v>
      </c>
      <c r="EG57" s="39">
        <f t="shared" si="101"/>
        <v>0</v>
      </c>
      <c r="EH57" s="39">
        <f t="shared" si="101"/>
        <v>0</v>
      </c>
      <c r="EI57" s="39">
        <f t="shared" si="101"/>
        <v>2.048172844032373</v>
      </c>
      <c r="EJ57" s="39">
        <f t="shared" si="101"/>
        <v>0</v>
      </c>
      <c r="EK57" s="39">
        <f t="shared" si="101"/>
        <v>0</v>
      </c>
      <c r="EL57" s="39">
        <f t="shared" si="101"/>
        <v>0</v>
      </c>
      <c r="EM57" s="39">
        <f t="shared" si="101"/>
        <v>0</v>
      </c>
      <c r="EN57" s="39">
        <f t="shared" si="101"/>
        <v>0</v>
      </c>
      <c r="EO57" s="39">
        <f t="shared" si="101"/>
        <v>0</v>
      </c>
      <c r="EP57" s="39">
        <f t="shared" si="101"/>
        <v>0</v>
      </c>
      <c r="EQ57" s="39">
        <f t="shared" si="101"/>
        <v>0</v>
      </c>
      <c r="ER57" s="39">
        <f t="shared" si="101"/>
        <v>0</v>
      </c>
      <c r="ES57" s="39">
        <f t="shared" si="101"/>
        <v>0</v>
      </c>
      <c r="ET57" s="39">
        <f t="shared" si="101"/>
        <v>0</v>
      </c>
      <c r="EU57" s="39">
        <f t="shared" si="101"/>
        <v>0</v>
      </c>
      <c r="EV57" s="39">
        <f t="shared" si="101"/>
        <v>0</v>
      </c>
      <c r="EW57" s="39">
        <f t="shared" si="101"/>
        <v>0</v>
      </c>
      <c r="EX57" s="39">
        <f t="shared" si="101"/>
        <v>0</v>
      </c>
      <c r="EY57" s="39">
        <f t="shared" si="101"/>
        <v>0</v>
      </c>
      <c r="EZ57" s="39">
        <f t="shared" si="101"/>
        <v>0</v>
      </c>
      <c r="FA57" s="39">
        <f t="shared" si="101"/>
        <v>0</v>
      </c>
      <c r="FB57" s="39">
        <f t="shared" si="101"/>
        <v>0</v>
      </c>
      <c r="FC57" s="39">
        <f t="shared" si="101"/>
        <v>0</v>
      </c>
      <c r="FD57" s="39">
        <f t="shared" si="101"/>
        <v>0</v>
      </c>
      <c r="FE57" s="39">
        <f t="shared" si="101"/>
        <v>0</v>
      </c>
      <c r="FF57" s="39">
        <f t="shared" si="101"/>
        <v>0</v>
      </c>
      <c r="FG57" s="39">
        <f t="shared" si="101"/>
        <v>0</v>
      </c>
      <c r="FH57" s="39">
        <f t="shared" si="101"/>
        <v>0</v>
      </c>
      <c r="FI57" s="39">
        <f t="shared" si="101"/>
        <v>0</v>
      </c>
      <c r="FJ57" s="39">
        <f t="shared" si="101"/>
        <v>0</v>
      </c>
      <c r="FK57" s="39">
        <f t="shared" si="101"/>
        <v>0</v>
      </c>
      <c r="FL57" s="39">
        <f t="shared" si="101"/>
        <v>0</v>
      </c>
      <c r="FM57" s="39">
        <f t="shared" si="101"/>
        <v>0</v>
      </c>
      <c r="FN57" s="39">
        <f t="shared" si="101"/>
        <v>0</v>
      </c>
      <c r="FO57" s="39">
        <f t="shared" si="101"/>
        <v>0</v>
      </c>
      <c r="FP57" s="39">
        <f t="shared" si="101"/>
        <v>0</v>
      </c>
      <c r="FQ57" s="39">
        <f t="shared" si="101"/>
        <v>0</v>
      </c>
      <c r="FR57" s="39">
        <f t="shared" si="101"/>
        <v>0</v>
      </c>
      <c r="FS57" s="39">
        <f t="shared" si="101"/>
        <v>0</v>
      </c>
      <c r="FT57" s="39">
        <f t="shared" si="101"/>
        <v>0</v>
      </c>
      <c r="FU57" s="39">
        <f t="shared" si="101"/>
        <v>0</v>
      </c>
      <c r="FV57" s="39">
        <f t="shared" si="101"/>
        <v>0</v>
      </c>
      <c r="FW57" s="39">
        <f t="shared" si="101"/>
        <v>0</v>
      </c>
      <c r="FX57" s="39">
        <f t="shared" si="101"/>
        <v>0</v>
      </c>
      <c r="FY57" s="39">
        <f t="shared" si="101"/>
        <v>0</v>
      </c>
      <c r="FZ57" s="39">
        <f t="shared" si="101"/>
        <v>0</v>
      </c>
      <c r="GA57" s="39">
        <f t="shared" si="101"/>
        <v>0</v>
      </c>
      <c r="GB57" s="39">
        <f t="shared" si="101"/>
        <v>0</v>
      </c>
      <c r="GC57" s="39">
        <f t="shared" si="101"/>
        <v>0</v>
      </c>
      <c r="GD57" s="39">
        <f t="shared" si="101"/>
        <v>0</v>
      </c>
      <c r="GE57" s="39">
        <f t="shared" si="101"/>
        <v>0</v>
      </c>
      <c r="GF57" s="39">
        <f t="shared" si="101"/>
        <v>0</v>
      </c>
      <c r="GG57" s="39">
        <f t="shared" si="101"/>
        <v>0</v>
      </c>
      <c r="GH57" s="39">
        <f t="shared" si="101"/>
        <v>0</v>
      </c>
      <c r="GI57" s="39">
        <f t="shared" si="101"/>
        <v>0</v>
      </c>
      <c r="GJ57" s="39">
        <f t="shared" si="101"/>
        <v>0</v>
      </c>
      <c r="GK57" s="39">
        <f t="shared" si="101"/>
        <v>0</v>
      </c>
      <c r="GL57" s="39">
        <f t="shared" si="101"/>
        <v>0</v>
      </c>
      <c r="GM57" s="39">
        <f t="shared" ref="GM57:IG57" si="102">(($B$31+1)*GM25)/(GM25+$B$31*((1-$B$32)+$B$32*($B57/$B$33)))*GM$27</f>
        <v>0</v>
      </c>
      <c r="GN57" s="39">
        <f t="shared" si="102"/>
        <v>0</v>
      </c>
      <c r="GO57" s="39">
        <f t="shared" si="102"/>
        <v>0</v>
      </c>
      <c r="GP57" s="39">
        <f t="shared" si="102"/>
        <v>0</v>
      </c>
      <c r="GQ57" s="39">
        <f t="shared" si="102"/>
        <v>0</v>
      </c>
      <c r="GR57" s="39">
        <f t="shared" si="102"/>
        <v>0</v>
      </c>
      <c r="GS57" s="39">
        <f t="shared" si="102"/>
        <v>0</v>
      </c>
      <c r="GT57" s="39">
        <f t="shared" si="102"/>
        <v>0</v>
      </c>
      <c r="GU57" s="39">
        <f t="shared" si="102"/>
        <v>3.7137388459586305</v>
      </c>
      <c r="GV57" s="39">
        <f t="shared" si="102"/>
        <v>0</v>
      </c>
      <c r="GW57" s="39">
        <f t="shared" si="102"/>
        <v>0</v>
      </c>
      <c r="GX57" s="39">
        <f t="shared" si="102"/>
        <v>0</v>
      </c>
      <c r="GY57" s="39">
        <f t="shared" si="102"/>
        <v>0</v>
      </c>
      <c r="GZ57" s="39">
        <f t="shared" si="102"/>
        <v>0</v>
      </c>
      <c r="HA57" s="39">
        <f t="shared" si="102"/>
        <v>0</v>
      </c>
      <c r="HB57" s="39">
        <f t="shared" si="102"/>
        <v>0</v>
      </c>
      <c r="HC57" s="39">
        <f t="shared" si="102"/>
        <v>0</v>
      </c>
      <c r="HD57" s="39">
        <f t="shared" si="102"/>
        <v>0</v>
      </c>
      <c r="HE57" s="39">
        <f t="shared" si="102"/>
        <v>0</v>
      </c>
      <c r="HF57" s="39">
        <f t="shared" si="102"/>
        <v>0</v>
      </c>
      <c r="HG57" s="39">
        <f t="shared" si="102"/>
        <v>0</v>
      </c>
      <c r="HH57" s="39">
        <f t="shared" si="102"/>
        <v>3.7137388459586305</v>
      </c>
      <c r="HI57" s="39">
        <f t="shared" si="102"/>
        <v>0</v>
      </c>
      <c r="HJ57" s="39">
        <f t="shared" si="102"/>
        <v>0</v>
      </c>
      <c r="HK57" s="39">
        <f t="shared" si="102"/>
        <v>0</v>
      </c>
      <c r="HL57" s="39">
        <f t="shared" si="102"/>
        <v>0</v>
      </c>
      <c r="HM57" s="39">
        <f t="shared" si="102"/>
        <v>0</v>
      </c>
      <c r="HN57" s="39">
        <f t="shared" si="102"/>
        <v>0</v>
      </c>
      <c r="HO57" s="39">
        <f t="shared" si="102"/>
        <v>0</v>
      </c>
      <c r="HP57" s="39">
        <f t="shared" si="102"/>
        <v>0</v>
      </c>
      <c r="HQ57" s="39">
        <f t="shared" si="102"/>
        <v>0</v>
      </c>
      <c r="HR57" s="39">
        <f t="shared" si="102"/>
        <v>0</v>
      </c>
      <c r="HS57" s="39">
        <f t="shared" si="102"/>
        <v>0</v>
      </c>
      <c r="HT57" s="39">
        <f t="shared" si="102"/>
        <v>0</v>
      </c>
      <c r="HU57" s="39">
        <f t="shared" si="102"/>
        <v>0</v>
      </c>
      <c r="HV57" s="39">
        <f t="shared" si="102"/>
        <v>0</v>
      </c>
      <c r="HW57" s="39">
        <f t="shared" si="102"/>
        <v>0</v>
      </c>
      <c r="HX57" s="39">
        <f t="shared" si="102"/>
        <v>0</v>
      </c>
      <c r="HY57" s="39">
        <f t="shared" si="102"/>
        <v>0</v>
      </c>
      <c r="HZ57" s="39">
        <f t="shared" si="102"/>
        <v>0</v>
      </c>
      <c r="IA57" s="39">
        <f t="shared" si="102"/>
        <v>0</v>
      </c>
      <c r="IB57" s="39">
        <f t="shared" si="102"/>
        <v>0</v>
      </c>
      <c r="IC57" s="39">
        <f t="shared" si="102"/>
        <v>0</v>
      </c>
      <c r="ID57" s="39">
        <f t="shared" si="102"/>
        <v>0</v>
      </c>
      <c r="IE57" s="39">
        <f t="shared" si="102"/>
        <v>0</v>
      </c>
      <c r="IF57" s="39">
        <f t="shared" si="102"/>
        <v>0</v>
      </c>
      <c r="IG57" s="39">
        <f t="shared" si="102"/>
        <v>0</v>
      </c>
      <c r="IH57" s="43">
        <v>0.22780849424724711</v>
      </c>
      <c r="II57" s="43">
        <v>0.25721629326968237</v>
      </c>
    </row>
    <row r="58" spans="1:243" x14ac:dyDescent="0.3">
      <c r="C58" s="44"/>
    </row>
    <row r="59" spans="1:243" x14ac:dyDescent="0.3">
      <c r="A59" t="s">
        <v>307</v>
      </c>
      <c r="C59" s="42">
        <f>AVERAGE(C36:C58)</f>
        <v>0.10300362952397087</v>
      </c>
      <c r="D59" s="42">
        <f t="shared" ref="D59:BO59" si="103">AVERAGE(D36:D57)</f>
        <v>0.13193230845410733</v>
      </c>
      <c r="E59" s="42">
        <f t="shared" si="103"/>
        <v>0.10300362952397087</v>
      </c>
      <c r="F59" s="42">
        <f t="shared" si="103"/>
        <v>0.10300362952397087</v>
      </c>
      <c r="G59" s="42">
        <f t="shared" si="103"/>
        <v>0.12063849216620713</v>
      </c>
      <c r="H59" s="42">
        <f t="shared" si="103"/>
        <v>0.16880631117993775</v>
      </c>
      <c r="I59" s="42">
        <f t="shared" si="103"/>
        <v>0.23428785254444759</v>
      </c>
      <c r="J59" s="42">
        <f t="shared" si="103"/>
        <v>0.12063849216620713</v>
      </c>
      <c r="K59" s="42">
        <f t="shared" si="103"/>
        <v>0.14071448934969091</v>
      </c>
      <c r="L59" s="42">
        <f t="shared" si="103"/>
        <v>0.13193230845410733</v>
      </c>
      <c r="M59" s="42">
        <f t="shared" si="103"/>
        <v>0.13193230845410733</v>
      </c>
      <c r="N59" s="42">
        <f t="shared" si="103"/>
        <v>0.2391084391937639</v>
      </c>
      <c r="O59" s="42">
        <f t="shared" si="103"/>
        <v>0.33998758935265783</v>
      </c>
      <c r="P59" s="42">
        <f t="shared" si="103"/>
        <v>0.19333702395538629</v>
      </c>
      <c r="Q59" s="42">
        <f t="shared" si="103"/>
        <v>0.14555911965594004</v>
      </c>
      <c r="R59" s="42">
        <f t="shared" si="103"/>
        <v>0.12793985895480839</v>
      </c>
      <c r="S59" s="42">
        <f t="shared" si="103"/>
        <v>0.14555911965594004</v>
      </c>
      <c r="T59" s="42">
        <f t="shared" si="103"/>
        <v>0.14071448934969091</v>
      </c>
      <c r="U59" s="42">
        <f t="shared" si="103"/>
        <v>0.13618195821397611</v>
      </c>
      <c r="V59" s="42">
        <f t="shared" si="103"/>
        <v>0.14071448934969091</v>
      </c>
      <c r="W59" s="42">
        <f t="shared" si="103"/>
        <v>0.14071448934969091</v>
      </c>
      <c r="X59" s="42">
        <f t="shared" si="103"/>
        <v>0.13193230845410733</v>
      </c>
      <c r="Y59" s="42">
        <f t="shared" si="103"/>
        <v>0.10300362952397087</v>
      </c>
      <c r="Z59" s="42">
        <f t="shared" si="103"/>
        <v>0.10557579734409273</v>
      </c>
      <c r="AA59" s="42">
        <f t="shared" si="103"/>
        <v>0.14555911965594004</v>
      </c>
      <c r="AB59" s="42">
        <f t="shared" si="103"/>
        <v>0.31941895003084392</v>
      </c>
      <c r="AC59" s="42">
        <f t="shared" si="103"/>
        <v>0.13193230845410733</v>
      </c>
      <c r="AD59" s="42">
        <f t="shared" si="103"/>
        <v>0.10300362952397087</v>
      </c>
      <c r="AE59" s="42">
        <f t="shared" si="103"/>
        <v>0.12793985895480839</v>
      </c>
      <c r="AF59" s="42">
        <f t="shared" si="103"/>
        <v>0.23659653352352247</v>
      </c>
      <c r="AG59" s="42">
        <f t="shared" si="103"/>
        <v>0.10557579734409273</v>
      </c>
      <c r="AH59" s="42">
        <f t="shared" si="103"/>
        <v>0.13193230845410733</v>
      </c>
      <c r="AI59" s="42">
        <f t="shared" si="103"/>
        <v>0.15074923413313726</v>
      </c>
      <c r="AJ59" s="42">
        <f t="shared" si="103"/>
        <v>0.3276915602974434</v>
      </c>
      <c r="AK59" s="42">
        <f t="shared" si="103"/>
        <v>0.14071448934969091</v>
      </c>
      <c r="AL59" s="42">
        <f t="shared" si="103"/>
        <v>0.19923005044965086</v>
      </c>
      <c r="AM59" s="42">
        <f t="shared" si="103"/>
        <v>0.20489413082756103</v>
      </c>
      <c r="AN59" s="42">
        <f t="shared" si="103"/>
        <v>0.20841026984801789</v>
      </c>
      <c r="AO59" s="42">
        <f t="shared" si="103"/>
        <v>0.13193230845410733</v>
      </c>
      <c r="AP59" s="42">
        <f t="shared" si="103"/>
        <v>0.10557579734409273</v>
      </c>
      <c r="AQ59" s="42">
        <f t="shared" si="103"/>
        <v>0.12063849216620713</v>
      </c>
      <c r="AR59" s="42">
        <f t="shared" si="103"/>
        <v>0.10300362952397087</v>
      </c>
      <c r="AS59" s="42">
        <f t="shared" si="103"/>
        <v>0.13193230845410733</v>
      </c>
      <c r="AT59" s="42">
        <f t="shared" si="103"/>
        <v>0.12063849216620713</v>
      </c>
      <c r="AU59" s="42">
        <f t="shared" si="103"/>
        <v>0.2419551438343355</v>
      </c>
      <c r="AV59" s="42">
        <f t="shared" si="103"/>
        <v>0.10300362952397087</v>
      </c>
      <c r="AW59" s="42">
        <f t="shared" si="103"/>
        <v>0.21053070470826671</v>
      </c>
      <c r="AX59" s="42">
        <f t="shared" si="103"/>
        <v>0.10557579734409273</v>
      </c>
      <c r="AY59" s="42">
        <f t="shared" si="103"/>
        <v>0.10557579734409273</v>
      </c>
      <c r="AZ59" s="42">
        <f t="shared" si="103"/>
        <v>0.10300362952397087</v>
      </c>
      <c r="BA59" s="42">
        <f t="shared" si="103"/>
        <v>0.10557579734409273</v>
      </c>
      <c r="BB59" s="42">
        <f t="shared" si="103"/>
        <v>0.14555911965594004</v>
      </c>
      <c r="BC59" s="42">
        <f t="shared" si="103"/>
        <v>0.13618195821397611</v>
      </c>
      <c r="BD59" s="42">
        <f t="shared" si="103"/>
        <v>0.10557579734409273</v>
      </c>
      <c r="BE59" s="42">
        <f t="shared" si="103"/>
        <v>0.12063849216620713</v>
      </c>
      <c r="BF59" s="42">
        <f t="shared" si="103"/>
        <v>0.12063849216620713</v>
      </c>
      <c r="BG59" s="42">
        <f t="shared" si="103"/>
        <v>0.16880631117993775</v>
      </c>
      <c r="BH59" s="42">
        <f t="shared" si="103"/>
        <v>0.15074923413313726</v>
      </c>
      <c r="BI59" s="42">
        <f t="shared" si="103"/>
        <v>0.13618195821397611</v>
      </c>
      <c r="BJ59" s="42">
        <f t="shared" si="103"/>
        <v>0.14071448934969091</v>
      </c>
      <c r="BK59" s="42">
        <f t="shared" si="103"/>
        <v>0.12063849216620713</v>
      </c>
      <c r="BL59" s="42">
        <f t="shared" si="103"/>
        <v>0.13193230845410733</v>
      </c>
      <c r="BM59" s="42">
        <f t="shared" si="103"/>
        <v>0.11729164875176003</v>
      </c>
      <c r="BN59" s="42">
        <f t="shared" si="103"/>
        <v>0.12063849216620713</v>
      </c>
      <c r="BO59" s="42">
        <f t="shared" si="103"/>
        <v>0.15074923413313726</v>
      </c>
      <c r="BP59" s="42">
        <f t="shared" ref="BP59:EA59" si="104">AVERAGE(BP36:BP57)</f>
        <v>0.13618195821397611</v>
      </c>
      <c r="BQ59" s="42">
        <f t="shared" si="104"/>
        <v>0.21150743720359849</v>
      </c>
      <c r="BR59" s="42">
        <f t="shared" si="104"/>
        <v>0.20489413082756103</v>
      </c>
      <c r="BS59" s="42">
        <f t="shared" si="104"/>
        <v>0.14071448934969091</v>
      </c>
      <c r="BT59" s="42">
        <f t="shared" si="104"/>
        <v>0.28455270476141492</v>
      </c>
      <c r="BU59" s="42">
        <f t="shared" si="104"/>
        <v>0.19177789167040346</v>
      </c>
      <c r="BV59" s="42">
        <f t="shared" si="104"/>
        <v>0.10557579734409273</v>
      </c>
      <c r="BW59" s="42">
        <f t="shared" si="104"/>
        <v>0.22453859374390125</v>
      </c>
      <c r="BX59" s="42">
        <f t="shared" si="104"/>
        <v>0.11729164875176003</v>
      </c>
      <c r="BY59" s="42">
        <f t="shared" si="104"/>
        <v>0.24796125086078283</v>
      </c>
      <c r="BZ59" s="42">
        <f t="shared" si="104"/>
        <v>0.19593335840352036</v>
      </c>
      <c r="CA59" s="42">
        <f t="shared" si="104"/>
        <v>0.24466455881465235</v>
      </c>
      <c r="CB59" s="42">
        <f t="shared" si="104"/>
        <v>0.13618195821397611</v>
      </c>
      <c r="CC59" s="42">
        <f t="shared" si="104"/>
        <v>0.17582661145585199</v>
      </c>
      <c r="CD59" s="42">
        <f t="shared" si="104"/>
        <v>0.17582661145585199</v>
      </c>
      <c r="CE59" s="42">
        <f t="shared" si="104"/>
        <v>0.11729164875176003</v>
      </c>
      <c r="CF59" s="42">
        <f t="shared" si="104"/>
        <v>0.12063849216620713</v>
      </c>
      <c r="CG59" s="42">
        <f t="shared" si="104"/>
        <v>0.11729164875176003</v>
      </c>
      <c r="CH59" s="42">
        <f t="shared" si="104"/>
        <v>0.11729164875176003</v>
      </c>
      <c r="CI59" s="42">
        <f t="shared" si="104"/>
        <v>0.11729164875176003</v>
      </c>
      <c r="CJ59" s="42">
        <f t="shared" si="104"/>
        <v>0.14071448934969091</v>
      </c>
      <c r="CK59" s="42">
        <f t="shared" si="104"/>
        <v>0.14071448934969091</v>
      </c>
      <c r="CL59" s="42">
        <f t="shared" si="104"/>
        <v>0.11729164875176003</v>
      </c>
      <c r="CM59" s="42">
        <f t="shared" si="104"/>
        <v>0.25026367234170832</v>
      </c>
      <c r="CN59" s="42">
        <f t="shared" si="104"/>
        <v>0.24691821824374599</v>
      </c>
      <c r="CO59" s="42">
        <f t="shared" si="104"/>
        <v>0.11729164875176003</v>
      </c>
      <c r="CP59" s="42">
        <f t="shared" si="104"/>
        <v>0.14071448934969091</v>
      </c>
      <c r="CQ59" s="42">
        <f t="shared" si="104"/>
        <v>0.11729164875176003</v>
      </c>
      <c r="CR59" s="42">
        <f t="shared" si="104"/>
        <v>0.30058014063399069</v>
      </c>
      <c r="CS59" s="42">
        <f t="shared" si="104"/>
        <v>0.13193230845410733</v>
      </c>
      <c r="CT59" s="42">
        <f t="shared" si="104"/>
        <v>0.13193230845410733</v>
      </c>
      <c r="CU59" s="42">
        <f t="shared" si="104"/>
        <v>0.11729164875176003</v>
      </c>
      <c r="CV59" s="42">
        <f t="shared" si="104"/>
        <v>0.13618195821397611</v>
      </c>
      <c r="CW59" s="42">
        <f t="shared" si="104"/>
        <v>0.20650444134956319</v>
      </c>
      <c r="CX59" s="42">
        <f t="shared" si="104"/>
        <v>0.13193230845410733</v>
      </c>
      <c r="CY59" s="42">
        <f t="shared" si="104"/>
        <v>0.11729164875176003</v>
      </c>
      <c r="CZ59" s="42">
        <f t="shared" si="104"/>
        <v>0.13193230845410733</v>
      </c>
      <c r="DA59" s="42">
        <f t="shared" si="104"/>
        <v>0.18345616856044514</v>
      </c>
      <c r="DB59" s="42">
        <f t="shared" si="104"/>
        <v>0.12063849216620713</v>
      </c>
      <c r="DC59" s="42">
        <f t="shared" si="104"/>
        <v>0.13618195821397611</v>
      </c>
      <c r="DD59" s="42">
        <f t="shared" si="104"/>
        <v>0.18345616856044514</v>
      </c>
      <c r="DE59" s="42">
        <f t="shared" si="104"/>
        <v>0.13193230845410733</v>
      </c>
      <c r="DF59" s="42">
        <f t="shared" si="104"/>
        <v>0.17582661145585199</v>
      </c>
      <c r="DG59" s="42">
        <f t="shared" si="104"/>
        <v>0.13193230845410733</v>
      </c>
      <c r="DH59" s="42">
        <f t="shared" si="104"/>
        <v>0.13618195821397611</v>
      </c>
      <c r="DI59" s="42">
        <f t="shared" si="104"/>
        <v>0.10300362952397087</v>
      </c>
      <c r="DJ59" s="42">
        <f t="shared" si="104"/>
        <v>0.13193230845410733</v>
      </c>
      <c r="DK59" s="42">
        <f t="shared" si="104"/>
        <v>0.13618195821397611</v>
      </c>
      <c r="DL59" s="42">
        <f t="shared" si="104"/>
        <v>0.14071448934969091</v>
      </c>
      <c r="DM59" s="42">
        <f t="shared" si="104"/>
        <v>0.16880631117993775</v>
      </c>
      <c r="DN59" s="42">
        <f t="shared" si="104"/>
        <v>0.13193230845410733</v>
      </c>
      <c r="DO59" s="42">
        <f t="shared" si="104"/>
        <v>0.14071448934969091</v>
      </c>
      <c r="DP59" s="42">
        <f t="shared" si="104"/>
        <v>0.13193230845410733</v>
      </c>
      <c r="DQ59" s="42">
        <f t="shared" si="104"/>
        <v>0.26642809705700449</v>
      </c>
      <c r="DR59" s="42">
        <f t="shared" si="104"/>
        <v>0.19923005044965086</v>
      </c>
      <c r="DS59" s="42">
        <f t="shared" si="104"/>
        <v>0.17582661145585199</v>
      </c>
      <c r="DT59" s="42">
        <f t="shared" si="104"/>
        <v>0.13618195821397611</v>
      </c>
      <c r="DU59" s="42">
        <f t="shared" si="104"/>
        <v>0.13618195821397611</v>
      </c>
      <c r="DV59" s="42">
        <f t="shared" si="104"/>
        <v>0.21480412924972897</v>
      </c>
      <c r="DW59" s="42">
        <f t="shared" si="104"/>
        <v>0.27647492226763554</v>
      </c>
      <c r="DX59" s="42">
        <f t="shared" si="104"/>
        <v>0.23428785254444759</v>
      </c>
      <c r="DY59" s="42">
        <f t="shared" si="104"/>
        <v>0.18345616856044514</v>
      </c>
      <c r="DZ59" s="42">
        <f t="shared" si="104"/>
        <v>0.15074923413313726</v>
      </c>
      <c r="EA59" s="42">
        <f t="shared" si="104"/>
        <v>0.17582661145585199</v>
      </c>
      <c r="EB59" s="42">
        <f t="shared" ref="EB59:GM59" si="105">AVERAGE(EB36:EB57)</f>
        <v>0.13193230845410733</v>
      </c>
      <c r="EC59" s="42">
        <f t="shared" si="105"/>
        <v>0.18345616856044514</v>
      </c>
      <c r="ED59" s="42">
        <f t="shared" si="105"/>
        <v>0.19177789167040346</v>
      </c>
      <c r="EE59" s="42">
        <f t="shared" si="105"/>
        <v>0.13618195821397611</v>
      </c>
      <c r="EF59" s="42">
        <f t="shared" si="105"/>
        <v>0.13193230845410733</v>
      </c>
      <c r="EG59" s="42">
        <f t="shared" si="105"/>
        <v>0.19923005044965086</v>
      </c>
      <c r="EH59" s="42">
        <f t="shared" si="105"/>
        <v>0.13193230845410733</v>
      </c>
      <c r="EI59" s="42">
        <f t="shared" si="105"/>
        <v>0.34703283304266469</v>
      </c>
      <c r="EJ59" s="42">
        <f t="shared" si="105"/>
        <v>0.13193230845410733</v>
      </c>
      <c r="EK59" s="42">
        <f t="shared" si="105"/>
        <v>0.14071448934969091</v>
      </c>
      <c r="EL59" s="42">
        <f t="shared" si="105"/>
        <v>0.41629920691490735</v>
      </c>
      <c r="EM59" s="42">
        <f t="shared" si="105"/>
        <v>0.23590331108116161</v>
      </c>
      <c r="EN59" s="42">
        <f t="shared" si="105"/>
        <v>0.12063849216620713</v>
      </c>
      <c r="EO59" s="42">
        <f t="shared" si="105"/>
        <v>0.12063849216620713</v>
      </c>
      <c r="EP59" s="42">
        <f t="shared" si="105"/>
        <v>0.12063849216620713</v>
      </c>
      <c r="EQ59" s="42">
        <f t="shared" si="105"/>
        <v>0.12793985895480839</v>
      </c>
      <c r="ER59" s="42">
        <f t="shared" si="105"/>
        <v>0.13618195821397611</v>
      </c>
      <c r="ES59" s="42">
        <f t="shared" si="105"/>
        <v>0.18345616856044514</v>
      </c>
      <c r="ET59" s="42">
        <f t="shared" si="105"/>
        <v>0.18345616856044514</v>
      </c>
      <c r="EU59" s="42">
        <f t="shared" si="105"/>
        <v>0.18717211067002965</v>
      </c>
      <c r="EV59" s="42">
        <f t="shared" si="105"/>
        <v>0.14555911965594004</v>
      </c>
      <c r="EW59" s="42">
        <f t="shared" si="105"/>
        <v>0.13193230845410733</v>
      </c>
      <c r="EX59" s="42">
        <f t="shared" si="105"/>
        <v>0.12063849216620713</v>
      </c>
      <c r="EY59" s="42">
        <f t="shared" si="105"/>
        <v>0.10300362952397087</v>
      </c>
      <c r="EZ59" s="42">
        <f t="shared" si="105"/>
        <v>0.33906036849440713</v>
      </c>
      <c r="FA59" s="42">
        <f t="shared" si="105"/>
        <v>0.10300362952397087</v>
      </c>
      <c r="FB59" s="42">
        <f t="shared" si="105"/>
        <v>0.25441687895648435</v>
      </c>
      <c r="FC59" s="42">
        <f t="shared" si="105"/>
        <v>0.10557579734409273</v>
      </c>
      <c r="FD59" s="42">
        <f t="shared" si="105"/>
        <v>0.18345616856044514</v>
      </c>
      <c r="FE59" s="42">
        <f t="shared" si="105"/>
        <v>0.35716211162485495</v>
      </c>
      <c r="FF59" s="42">
        <f t="shared" si="105"/>
        <v>0.25441687895648435</v>
      </c>
      <c r="FG59" s="42">
        <f t="shared" si="105"/>
        <v>0.12793985895480839</v>
      </c>
      <c r="FH59" s="42">
        <f t="shared" si="105"/>
        <v>0.13618195821397611</v>
      </c>
      <c r="FI59" s="42">
        <f t="shared" si="105"/>
        <v>0.17289079768971438</v>
      </c>
      <c r="FJ59" s="42">
        <f t="shared" si="105"/>
        <v>0.12793985895480839</v>
      </c>
      <c r="FK59" s="42">
        <f t="shared" si="105"/>
        <v>0.10300362952397087</v>
      </c>
      <c r="FL59" s="42">
        <f t="shared" si="105"/>
        <v>0.13193230845410733</v>
      </c>
      <c r="FM59" s="42">
        <f t="shared" si="105"/>
        <v>0.16180677853405889</v>
      </c>
      <c r="FN59" s="42">
        <f t="shared" si="105"/>
        <v>0.12063849216620713</v>
      </c>
      <c r="FO59" s="42">
        <f t="shared" si="105"/>
        <v>0.15074923413313726</v>
      </c>
      <c r="FP59" s="42">
        <f t="shared" si="105"/>
        <v>0.10300362952397087</v>
      </c>
      <c r="FQ59" s="42">
        <f t="shared" si="105"/>
        <v>0.24298388224305267</v>
      </c>
      <c r="FR59" s="42">
        <f t="shared" si="105"/>
        <v>0.14071448934969091</v>
      </c>
      <c r="FS59" s="42">
        <f t="shared" si="105"/>
        <v>0.17548713213784845</v>
      </c>
      <c r="FT59" s="42">
        <f t="shared" si="105"/>
        <v>0.14555911965594004</v>
      </c>
      <c r="FU59" s="42">
        <f t="shared" si="105"/>
        <v>0.12793985895480839</v>
      </c>
      <c r="FV59" s="42">
        <f t="shared" si="105"/>
        <v>0.26644522353453115</v>
      </c>
      <c r="FW59" s="42">
        <f t="shared" si="105"/>
        <v>0.17548713213784845</v>
      </c>
      <c r="FX59" s="42">
        <f t="shared" si="105"/>
        <v>0.13618195821397611</v>
      </c>
      <c r="FY59" s="42">
        <f t="shared" si="105"/>
        <v>0.12793985895480839</v>
      </c>
      <c r="FZ59" s="42">
        <f t="shared" si="105"/>
        <v>0.12793985895480839</v>
      </c>
      <c r="GA59" s="42">
        <f t="shared" si="105"/>
        <v>0.15074923413313726</v>
      </c>
      <c r="GB59" s="42">
        <f t="shared" si="105"/>
        <v>0.11729164875176003</v>
      </c>
      <c r="GC59" s="42">
        <f t="shared" si="105"/>
        <v>0.12793985895480839</v>
      </c>
      <c r="GD59" s="42">
        <f t="shared" si="105"/>
        <v>0.14071448934969091</v>
      </c>
      <c r="GE59" s="42">
        <f t="shared" si="105"/>
        <v>0.10300362952397087</v>
      </c>
      <c r="GF59" s="42">
        <f t="shared" si="105"/>
        <v>0.12063849216620713</v>
      </c>
      <c r="GG59" s="42">
        <f t="shared" si="105"/>
        <v>0.13193230845410733</v>
      </c>
      <c r="GH59" s="42">
        <f t="shared" si="105"/>
        <v>0.10300362952397087</v>
      </c>
      <c r="GI59" s="42">
        <f t="shared" si="105"/>
        <v>0.13618195821397611</v>
      </c>
      <c r="GJ59" s="42">
        <f t="shared" si="105"/>
        <v>0.13618195821397611</v>
      </c>
      <c r="GK59" s="42">
        <f t="shared" si="105"/>
        <v>0.18345616856044514</v>
      </c>
      <c r="GL59" s="42">
        <f t="shared" si="105"/>
        <v>0.12063849216620713</v>
      </c>
      <c r="GM59" s="42">
        <f t="shared" si="105"/>
        <v>0.13618195821397611</v>
      </c>
      <c r="GN59" s="42">
        <f t="shared" ref="GN59:IG59" si="106">AVERAGE(GN36:GN57)</f>
        <v>0.11729164875176003</v>
      </c>
      <c r="GO59" s="42">
        <f t="shared" si="106"/>
        <v>0.14071448934969091</v>
      </c>
      <c r="GP59" s="42">
        <f t="shared" si="106"/>
        <v>0.13193230845410733</v>
      </c>
      <c r="GQ59" s="42">
        <f t="shared" si="106"/>
        <v>0.18345616856044514</v>
      </c>
      <c r="GR59" s="42">
        <f t="shared" si="106"/>
        <v>0.13193230845410733</v>
      </c>
      <c r="GS59" s="42">
        <f t="shared" si="106"/>
        <v>0.18424837987133919</v>
      </c>
      <c r="GT59" s="42">
        <f t="shared" si="106"/>
        <v>0.18424837987133919</v>
      </c>
      <c r="GU59" s="42">
        <f t="shared" si="106"/>
        <v>0.16880631117993775</v>
      </c>
      <c r="GV59" s="42">
        <f t="shared" si="106"/>
        <v>0.12063849216620713</v>
      </c>
      <c r="GW59" s="42">
        <f t="shared" si="106"/>
        <v>0.14555911965594004</v>
      </c>
      <c r="GX59" s="42">
        <f t="shared" si="106"/>
        <v>0.13618195821397611</v>
      </c>
      <c r="GY59" s="42">
        <f t="shared" si="106"/>
        <v>0.15074923413313726</v>
      </c>
      <c r="GZ59" s="42">
        <f t="shared" si="106"/>
        <v>0.11729164875176003</v>
      </c>
      <c r="HA59" s="42">
        <f t="shared" si="106"/>
        <v>0.10557579734409273</v>
      </c>
      <c r="HB59" s="42">
        <f t="shared" si="106"/>
        <v>0.13193230845410733</v>
      </c>
      <c r="HC59" s="42">
        <f t="shared" si="106"/>
        <v>0.10300362952397087</v>
      </c>
      <c r="HD59" s="42">
        <f t="shared" si="106"/>
        <v>0.10300362952397087</v>
      </c>
      <c r="HE59" s="42">
        <f t="shared" si="106"/>
        <v>0.13618195821397611</v>
      </c>
      <c r="HF59" s="42">
        <f t="shared" si="106"/>
        <v>0.12063849216620713</v>
      </c>
      <c r="HG59" s="42">
        <f t="shared" si="106"/>
        <v>0.11729164875176003</v>
      </c>
      <c r="HH59" s="42">
        <f t="shared" si="106"/>
        <v>0.16880631117993775</v>
      </c>
      <c r="HI59" s="42">
        <f t="shared" si="106"/>
        <v>0.14071448934969091</v>
      </c>
      <c r="HJ59" s="42">
        <f t="shared" si="106"/>
        <v>0.18345616856044514</v>
      </c>
      <c r="HK59" s="42">
        <f t="shared" si="106"/>
        <v>0.14555911965594004</v>
      </c>
      <c r="HL59" s="42">
        <f t="shared" si="106"/>
        <v>0.18345616856044514</v>
      </c>
      <c r="HM59" s="42">
        <f t="shared" si="106"/>
        <v>0.18345616856044514</v>
      </c>
      <c r="HN59" s="42">
        <f t="shared" si="106"/>
        <v>0.11729164875176003</v>
      </c>
      <c r="HO59" s="42">
        <f t="shared" si="106"/>
        <v>0.14555911965594004</v>
      </c>
      <c r="HP59" s="42">
        <f t="shared" si="106"/>
        <v>0.13618195821397611</v>
      </c>
      <c r="HQ59" s="42">
        <f t="shared" si="106"/>
        <v>0.14071448934969091</v>
      </c>
      <c r="HR59" s="42">
        <f t="shared" si="106"/>
        <v>0.12063849216620713</v>
      </c>
      <c r="HS59" s="42">
        <f t="shared" si="106"/>
        <v>0.14555911965594004</v>
      </c>
      <c r="HT59" s="42">
        <f t="shared" si="106"/>
        <v>0.14555911965594004</v>
      </c>
      <c r="HU59" s="42">
        <f t="shared" si="106"/>
        <v>0.10300362952397087</v>
      </c>
      <c r="HV59" s="42">
        <f t="shared" si="106"/>
        <v>0.10557579734409273</v>
      </c>
      <c r="HW59" s="42">
        <f t="shared" si="106"/>
        <v>0.10557579734409273</v>
      </c>
      <c r="HX59" s="42">
        <f t="shared" si="106"/>
        <v>0.10557579734409273</v>
      </c>
      <c r="HY59" s="42">
        <f t="shared" si="106"/>
        <v>0.13618195821397611</v>
      </c>
      <c r="HZ59" s="42">
        <f t="shared" si="106"/>
        <v>0.13193230845410733</v>
      </c>
      <c r="IA59" s="42">
        <f t="shared" si="106"/>
        <v>0.20489413082756103</v>
      </c>
      <c r="IB59" s="42">
        <f t="shared" si="106"/>
        <v>0.13618195821397611</v>
      </c>
      <c r="IC59" s="42">
        <f t="shared" si="106"/>
        <v>0.13193230845410733</v>
      </c>
      <c r="ID59" s="42">
        <f t="shared" si="106"/>
        <v>0.13193230845410733</v>
      </c>
      <c r="IE59" s="42">
        <f t="shared" si="106"/>
        <v>0.23874588277227951</v>
      </c>
      <c r="IF59" s="42">
        <f t="shared" si="106"/>
        <v>0.21975975375299706</v>
      </c>
      <c r="IG59" s="42">
        <f t="shared" si="106"/>
        <v>0.14071448934969091</v>
      </c>
    </row>
    <row r="60" spans="1:243" x14ac:dyDescent="0.3">
      <c r="A60" t="s">
        <v>308</v>
      </c>
      <c r="B60" s="37">
        <f>B28</f>
        <v>331</v>
      </c>
      <c r="C60" s="42">
        <f t="shared" ref="C60:BN60" si="107">(($B$31+1)*C28)/(C28+$B$31*((1-$B$32)+$B$32*($B60/$B$33)))*C$27</f>
        <v>0.26878630029202749</v>
      </c>
      <c r="D60" s="42">
        <f t="shared" si="107"/>
        <v>0.26878630029202749</v>
      </c>
      <c r="E60" s="42">
        <f t="shared" si="107"/>
        <v>0.26878630029202749</v>
      </c>
      <c r="F60" s="42">
        <f t="shared" si="107"/>
        <v>0.26878630029202749</v>
      </c>
      <c r="G60" s="42">
        <f t="shared" si="107"/>
        <v>0.26878630029202749</v>
      </c>
      <c r="H60" s="42">
        <f t="shared" si="107"/>
        <v>0.26878630029202749</v>
      </c>
      <c r="I60" s="42">
        <f t="shared" si="107"/>
        <v>0.26878630029202749</v>
      </c>
      <c r="J60" s="42">
        <f t="shared" si="107"/>
        <v>0.26878630029202749</v>
      </c>
      <c r="K60" s="42">
        <f t="shared" si="107"/>
        <v>0.26878630029202749</v>
      </c>
      <c r="L60" s="42">
        <f t="shared" si="107"/>
        <v>0.26878630029202749</v>
      </c>
      <c r="M60" s="42">
        <f t="shared" si="107"/>
        <v>0.26878630029202749</v>
      </c>
      <c r="N60" s="42">
        <f t="shared" si="107"/>
        <v>0.59126184808726945</v>
      </c>
      <c r="O60" s="42">
        <f t="shared" si="107"/>
        <v>0.59377230593489017</v>
      </c>
      <c r="P60" s="42">
        <f t="shared" si="107"/>
        <v>0.40527807427578094</v>
      </c>
      <c r="Q60" s="42">
        <f t="shared" si="107"/>
        <v>0.26878630029202749</v>
      </c>
      <c r="R60" s="42">
        <f t="shared" si="107"/>
        <v>0.26878630029202749</v>
      </c>
      <c r="S60" s="42">
        <f t="shared" si="107"/>
        <v>0.26878630029202749</v>
      </c>
      <c r="T60" s="42">
        <f t="shared" si="107"/>
        <v>0.26878630029202749</v>
      </c>
      <c r="U60" s="42">
        <f t="shared" si="107"/>
        <v>0.26878630029202749</v>
      </c>
      <c r="V60" s="42">
        <f t="shared" si="107"/>
        <v>0.26878630029202749</v>
      </c>
      <c r="W60" s="42">
        <f t="shared" si="107"/>
        <v>0.26878630029202749</v>
      </c>
      <c r="X60" s="42">
        <f t="shared" si="107"/>
        <v>0.26878630029202749</v>
      </c>
      <c r="Y60" s="42">
        <f t="shared" si="107"/>
        <v>0.26878630029202749</v>
      </c>
      <c r="Z60" s="42">
        <f t="shared" si="107"/>
        <v>0.26878630029202749</v>
      </c>
      <c r="AA60" s="42">
        <f t="shared" si="107"/>
        <v>0.26878630029202749</v>
      </c>
      <c r="AB60" s="42">
        <f t="shared" si="107"/>
        <v>0.49128415019758503</v>
      </c>
      <c r="AC60" s="42">
        <f t="shared" si="107"/>
        <v>0.26878630029202749</v>
      </c>
      <c r="AD60" s="42">
        <f t="shared" si="107"/>
        <v>0.26878630029202749</v>
      </c>
      <c r="AE60" s="42">
        <f t="shared" si="107"/>
        <v>0.26878630029202749</v>
      </c>
      <c r="AF60" s="42">
        <f t="shared" si="107"/>
        <v>0.40527807427578094</v>
      </c>
      <c r="AG60" s="42">
        <f t="shared" si="107"/>
        <v>0.26878630029202749</v>
      </c>
      <c r="AH60" s="42">
        <f t="shared" si="107"/>
        <v>0.26878630029202749</v>
      </c>
      <c r="AI60" s="42">
        <f t="shared" si="107"/>
        <v>0.26878630029202749</v>
      </c>
      <c r="AJ60" s="42">
        <f t="shared" si="107"/>
        <v>0.59207832188214415</v>
      </c>
      <c r="AK60" s="42">
        <f t="shared" si="107"/>
        <v>0.26878630029202749</v>
      </c>
      <c r="AL60" s="42">
        <f t="shared" si="107"/>
        <v>0.40527807427578094</v>
      </c>
      <c r="AM60" s="42">
        <f t="shared" si="107"/>
        <v>0.40527807427578094</v>
      </c>
      <c r="AN60" s="42">
        <f t="shared" si="107"/>
        <v>0.40527807427578094</v>
      </c>
      <c r="AO60" s="42">
        <f t="shared" si="107"/>
        <v>0.26878630029202749</v>
      </c>
      <c r="AP60" s="42">
        <f t="shared" si="107"/>
        <v>0.26878630029202749</v>
      </c>
      <c r="AQ60" s="42">
        <f t="shared" si="107"/>
        <v>0.26878630029202749</v>
      </c>
      <c r="AR60" s="42">
        <f t="shared" si="107"/>
        <v>0.26878630029202749</v>
      </c>
      <c r="AS60" s="42">
        <f t="shared" si="107"/>
        <v>0.26878630029202749</v>
      </c>
      <c r="AT60" s="42">
        <f t="shared" si="107"/>
        <v>0.26878630029202749</v>
      </c>
      <c r="AU60" s="42">
        <f t="shared" si="107"/>
        <v>0.49128415019758503</v>
      </c>
      <c r="AV60" s="42">
        <f t="shared" si="107"/>
        <v>0.26878630029202749</v>
      </c>
      <c r="AW60" s="42">
        <f t="shared" si="107"/>
        <v>0.40527807427578094</v>
      </c>
      <c r="AX60" s="42">
        <f t="shared" si="107"/>
        <v>0.26878630029202749</v>
      </c>
      <c r="AY60" s="42">
        <f t="shared" si="107"/>
        <v>0.26878630029202749</v>
      </c>
      <c r="AZ60" s="42">
        <f t="shared" si="107"/>
        <v>0.26878630029202749</v>
      </c>
      <c r="BA60" s="42">
        <f t="shared" si="107"/>
        <v>0.26878630029202749</v>
      </c>
      <c r="BB60" s="42">
        <f t="shared" si="107"/>
        <v>0.26878630029202749</v>
      </c>
      <c r="BC60" s="42">
        <f t="shared" si="107"/>
        <v>0.26878630029202749</v>
      </c>
      <c r="BD60" s="42">
        <f t="shared" si="107"/>
        <v>0.26878630029202749</v>
      </c>
      <c r="BE60" s="42">
        <f t="shared" si="107"/>
        <v>0.26878630029202749</v>
      </c>
      <c r="BF60" s="42">
        <f t="shared" si="107"/>
        <v>0.26878630029202749</v>
      </c>
      <c r="BG60" s="42">
        <f t="shared" si="107"/>
        <v>0.26878630029202749</v>
      </c>
      <c r="BH60" s="42">
        <f t="shared" si="107"/>
        <v>0.26878630029202749</v>
      </c>
      <c r="BI60" s="42">
        <f t="shared" si="107"/>
        <v>0.26878630029202749</v>
      </c>
      <c r="BJ60" s="42">
        <f t="shared" si="107"/>
        <v>0.26878630029202749</v>
      </c>
      <c r="BK60" s="42">
        <f t="shared" si="107"/>
        <v>0.26878630029202749</v>
      </c>
      <c r="BL60" s="42">
        <f t="shared" si="107"/>
        <v>0.26878630029202749</v>
      </c>
      <c r="BM60" s="42">
        <f t="shared" si="107"/>
        <v>0.26878630029202749</v>
      </c>
      <c r="BN60" s="42">
        <f t="shared" si="107"/>
        <v>0.26878630029202749</v>
      </c>
      <c r="BO60" s="42">
        <f t="shared" ref="BO60:DZ60" si="108">(($B$31+1)*BO28)/(BO28+$B$31*((1-$B$32)+$B$32*($B60/$B$33)))*BO$27</f>
        <v>0.26878630029202749</v>
      </c>
      <c r="BP60" s="42">
        <f t="shared" si="108"/>
        <v>0.26878630029202749</v>
      </c>
      <c r="BQ60" s="42">
        <f t="shared" si="108"/>
        <v>0.40527807427578094</v>
      </c>
      <c r="BR60" s="42">
        <f t="shared" si="108"/>
        <v>0.40527807427578094</v>
      </c>
      <c r="BS60" s="42">
        <f t="shared" si="108"/>
        <v>0.26878630029202749</v>
      </c>
      <c r="BT60" s="42">
        <f t="shared" si="108"/>
        <v>0.49128415019758503</v>
      </c>
      <c r="BU60" s="42">
        <f t="shared" si="108"/>
        <v>0.26878630029202749</v>
      </c>
      <c r="BV60" s="42">
        <f t="shared" si="108"/>
        <v>0.26878630029202749</v>
      </c>
      <c r="BW60" s="42">
        <f t="shared" si="108"/>
        <v>0.40527807427578094</v>
      </c>
      <c r="BX60" s="42">
        <f t="shared" si="108"/>
        <v>0.26878630029202749</v>
      </c>
      <c r="BY60" s="42">
        <f t="shared" si="108"/>
        <v>0.40527807427578094</v>
      </c>
      <c r="BZ60" s="42">
        <f t="shared" si="108"/>
        <v>0.40527807427578094</v>
      </c>
      <c r="CA60" s="42">
        <f t="shared" si="108"/>
        <v>0.40527807427578094</v>
      </c>
      <c r="CB60" s="42">
        <f t="shared" si="108"/>
        <v>0.26878630029202749</v>
      </c>
      <c r="CC60" s="42">
        <f t="shared" si="108"/>
        <v>0.26878630029202749</v>
      </c>
      <c r="CD60" s="42">
        <f t="shared" si="108"/>
        <v>0.26878630029202749</v>
      </c>
      <c r="CE60" s="42">
        <f t="shared" si="108"/>
        <v>0.26878630029202749</v>
      </c>
      <c r="CF60" s="42">
        <f t="shared" si="108"/>
        <v>0.26878630029202749</v>
      </c>
      <c r="CG60" s="42">
        <f t="shared" si="108"/>
        <v>0.26878630029202749</v>
      </c>
      <c r="CH60" s="42">
        <f t="shared" si="108"/>
        <v>0.26878630029202749</v>
      </c>
      <c r="CI60" s="42">
        <f t="shared" si="108"/>
        <v>0.26878630029202749</v>
      </c>
      <c r="CJ60" s="42">
        <f t="shared" si="108"/>
        <v>0.26878630029202749</v>
      </c>
      <c r="CK60" s="42">
        <f t="shared" si="108"/>
        <v>0.26878630029202749</v>
      </c>
      <c r="CL60" s="42">
        <f t="shared" si="108"/>
        <v>0.26878630029202749</v>
      </c>
      <c r="CM60" s="42">
        <f t="shared" si="108"/>
        <v>0.49128415019758503</v>
      </c>
      <c r="CN60" s="42">
        <f t="shared" si="108"/>
        <v>0.49128415019758503</v>
      </c>
      <c r="CO60" s="42">
        <f t="shared" si="108"/>
        <v>0.26878630029202749</v>
      </c>
      <c r="CP60" s="42">
        <f t="shared" si="108"/>
        <v>0.26878630029202749</v>
      </c>
      <c r="CQ60" s="42">
        <f t="shared" si="108"/>
        <v>0.26878630029202749</v>
      </c>
      <c r="CR60" s="42">
        <f t="shared" si="108"/>
        <v>0.54551938951629608</v>
      </c>
      <c r="CS60" s="42">
        <f t="shared" si="108"/>
        <v>0.26878630029202749</v>
      </c>
      <c r="CT60" s="42">
        <f t="shared" si="108"/>
        <v>0.26878630029202749</v>
      </c>
      <c r="CU60" s="42">
        <f t="shared" si="108"/>
        <v>0.26878630029202749</v>
      </c>
      <c r="CV60" s="42">
        <f t="shared" si="108"/>
        <v>0.26878630029202749</v>
      </c>
      <c r="CW60" s="42">
        <f t="shared" si="108"/>
        <v>0.40527807427578094</v>
      </c>
      <c r="CX60" s="42">
        <f t="shared" si="108"/>
        <v>0.26878630029202749</v>
      </c>
      <c r="CY60" s="42">
        <f t="shared" si="108"/>
        <v>0.26878630029202749</v>
      </c>
      <c r="CZ60" s="42">
        <f t="shared" si="108"/>
        <v>0.26878630029202749</v>
      </c>
      <c r="DA60" s="42">
        <f t="shared" si="108"/>
        <v>0.26878630029202749</v>
      </c>
      <c r="DB60" s="42">
        <f t="shared" si="108"/>
        <v>0.26878630029202749</v>
      </c>
      <c r="DC60" s="42">
        <f t="shared" si="108"/>
        <v>0.26878630029202749</v>
      </c>
      <c r="DD60" s="42">
        <f t="shared" si="108"/>
        <v>0.26878630029202749</v>
      </c>
      <c r="DE60" s="42">
        <f t="shared" si="108"/>
        <v>0.26878630029202749</v>
      </c>
      <c r="DF60" s="42">
        <f t="shared" si="108"/>
        <v>0.26878630029202749</v>
      </c>
      <c r="DG60" s="42">
        <f t="shared" si="108"/>
        <v>0.26878630029202749</v>
      </c>
      <c r="DH60" s="42">
        <f t="shared" si="108"/>
        <v>0.26878630029202749</v>
      </c>
      <c r="DI60" s="42">
        <f t="shared" si="108"/>
        <v>0.26878630029202749</v>
      </c>
      <c r="DJ60" s="42">
        <f t="shared" si="108"/>
        <v>0.26878630029202749</v>
      </c>
      <c r="DK60" s="42">
        <f t="shared" si="108"/>
        <v>0.26878630029202749</v>
      </c>
      <c r="DL60" s="42">
        <f t="shared" si="108"/>
        <v>0.26878630029202749</v>
      </c>
      <c r="DM60" s="42">
        <f t="shared" si="108"/>
        <v>0.26878630029202749</v>
      </c>
      <c r="DN60" s="42">
        <f t="shared" si="108"/>
        <v>0.26878630029202749</v>
      </c>
      <c r="DO60" s="42">
        <f t="shared" si="108"/>
        <v>0.26878630029202749</v>
      </c>
      <c r="DP60" s="42">
        <f t="shared" si="108"/>
        <v>0.26878630029202749</v>
      </c>
      <c r="DQ60" s="42">
        <f t="shared" si="108"/>
        <v>0.49128415019758503</v>
      </c>
      <c r="DR60" s="42">
        <f t="shared" si="108"/>
        <v>0.40527807427578094</v>
      </c>
      <c r="DS60" s="42">
        <f t="shared" si="108"/>
        <v>0.26878630029202749</v>
      </c>
      <c r="DT60" s="42">
        <f t="shared" si="108"/>
        <v>0.26878630029202749</v>
      </c>
      <c r="DU60" s="42">
        <f t="shared" si="108"/>
        <v>0.26878630029202749</v>
      </c>
      <c r="DV60" s="42">
        <f t="shared" si="108"/>
        <v>0.40527807427578094</v>
      </c>
      <c r="DW60" s="42">
        <f t="shared" si="108"/>
        <v>0.59126184808726945</v>
      </c>
      <c r="DX60" s="42">
        <f t="shared" si="108"/>
        <v>0.26878630029202749</v>
      </c>
      <c r="DY60" s="42">
        <f t="shared" si="108"/>
        <v>0.26878630029202749</v>
      </c>
      <c r="DZ60" s="42">
        <f t="shared" si="108"/>
        <v>0.26878630029202749</v>
      </c>
      <c r="EA60" s="42">
        <f t="shared" ref="EA60:GL60" si="109">(($B$31+1)*EA28)/(EA28+$B$31*((1-$B$32)+$B$32*($B60/$B$33)))*EA$27</f>
        <v>0.26878630029202749</v>
      </c>
      <c r="EB60" s="42">
        <f t="shared" si="109"/>
        <v>0.26878630029202749</v>
      </c>
      <c r="EC60" s="42">
        <f t="shared" si="109"/>
        <v>0.26878630029202749</v>
      </c>
      <c r="ED60" s="42">
        <f t="shared" si="109"/>
        <v>0.26878630029202749</v>
      </c>
      <c r="EE60" s="42">
        <f t="shared" si="109"/>
        <v>0.26878630029202749</v>
      </c>
      <c r="EF60" s="42">
        <f t="shared" si="109"/>
        <v>0.26878630029202749</v>
      </c>
      <c r="EG60" s="42">
        <f t="shared" si="109"/>
        <v>0.40527807427578094</v>
      </c>
      <c r="EH60" s="42">
        <f t="shared" si="109"/>
        <v>0.26878630029202749</v>
      </c>
      <c r="EI60" s="42">
        <f t="shared" si="109"/>
        <v>0.54551938951629608</v>
      </c>
      <c r="EJ60" s="42">
        <f t="shared" si="109"/>
        <v>0.26878630029202749</v>
      </c>
      <c r="EK60" s="42">
        <f t="shared" si="109"/>
        <v>0.26878630029202749</v>
      </c>
      <c r="EL60" s="42">
        <f t="shared" si="109"/>
        <v>0.6721427205429773</v>
      </c>
      <c r="EM60" s="42">
        <f t="shared" si="109"/>
        <v>0.40527807427578094</v>
      </c>
      <c r="EN60" s="42">
        <f t="shared" si="109"/>
        <v>0.26878630029202749</v>
      </c>
      <c r="EO60" s="42">
        <f t="shared" si="109"/>
        <v>0.26878630029202749</v>
      </c>
      <c r="EP60" s="42">
        <f t="shared" si="109"/>
        <v>0.26878630029202749</v>
      </c>
      <c r="EQ60" s="42">
        <f t="shared" si="109"/>
        <v>0.26878630029202749</v>
      </c>
      <c r="ER60" s="42">
        <f t="shared" si="109"/>
        <v>0.26878630029202749</v>
      </c>
      <c r="ES60" s="42">
        <f t="shared" si="109"/>
        <v>0.26878630029202749</v>
      </c>
      <c r="ET60" s="42">
        <f t="shared" si="109"/>
        <v>0.26878630029202749</v>
      </c>
      <c r="EU60" s="42">
        <f t="shared" si="109"/>
        <v>0.40527807427578094</v>
      </c>
      <c r="EV60" s="42">
        <f t="shared" si="109"/>
        <v>0.26878630029202749</v>
      </c>
      <c r="EW60" s="42">
        <f t="shared" si="109"/>
        <v>0.26878630029202749</v>
      </c>
      <c r="EX60" s="42">
        <f t="shared" si="109"/>
        <v>0.26878630029202749</v>
      </c>
      <c r="EY60" s="42">
        <f t="shared" si="109"/>
        <v>0.26878630029202749</v>
      </c>
      <c r="EZ60" s="42">
        <f t="shared" si="109"/>
        <v>0.54551938951629608</v>
      </c>
      <c r="FA60" s="42">
        <f t="shared" si="109"/>
        <v>0.26878630029202749</v>
      </c>
      <c r="FB60" s="42">
        <f t="shared" si="109"/>
        <v>0.40527807427578094</v>
      </c>
      <c r="FC60" s="42">
        <f t="shared" si="109"/>
        <v>0.26878630029202749</v>
      </c>
      <c r="FD60" s="42">
        <f t="shared" si="109"/>
        <v>0.26878630029202749</v>
      </c>
      <c r="FE60" s="42">
        <f t="shared" si="109"/>
        <v>0.58502221398273535</v>
      </c>
      <c r="FF60" s="42">
        <f t="shared" si="109"/>
        <v>0.40527807427578094</v>
      </c>
      <c r="FG60" s="42">
        <f t="shared" si="109"/>
        <v>0.26878630029202749</v>
      </c>
      <c r="FH60" s="42">
        <f t="shared" si="109"/>
        <v>0.26878630029202749</v>
      </c>
      <c r="FI60" s="42">
        <f t="shared" si="109"/>
        <v>0.40527807427578094</v>
      </c>
      <c r="FJ60" s="42">
        <f t="shared" si="109"/>
        <v>0.26878630029202749</v>
      </c>
      <c r="FK60" s="42">
        <f t="shared" si="109"/>
        <v>0.26878630029202749</v>
      </c>
      <c r="FL60" s="42">
        <f t="shared" si="109"/>
        <v>0.26878630029202749</v>
      </c>
      <c r="FM60" s="42">
        <f t="shared" si="109"/>
        <v>0.40527807427578094</v>
      </c>
      <c r="FN60" s="42">
        <f t="shared" si="109"/>
        <v>0.26878630029202749</v>
      </c>
      <c r="FO60" s="42">
        <f t="shared" si="109"/>
        <v>0.26878630029202749</v>
      </c>
      <c r="FP60" s="42">
        <f t="shared" si="109"/>
        <v>0.26878630029202749</v>
      </c>
      <c r="FQ60" s="42">
        <f t="shared" si="109"/>
        <v>0.49128415019758503</v>
      </c>
      <c r="FR60" s="42">
        <f t="shared" si="109"/>
        <v>0.26878630029202749</v>
      </c>
      <c r="FS60" s="42">
        <f t="shared" si="109"/>
        <v>0.40527807427578094</v>
      </c>
      <c r="FT60" s="42">
        <f t="shared" si="109"/>
        <v>0.26878630029202749</v>
      </c>
      <c r="FU60" s="42">
        <f t="shared" si="109"/>
        <v>0.26878630029202749</v>
      </c>
      <c r="FV60" s="42">
        <f t="shared" si="109"/>
        <v>0.49128415019758503</v>
      </c>
      <c r="FW60" s="42">
        <f t="shared" si="109"/>
        <v>0.40527807427578094</v>
      </c>
      <c r="FX60" s="42">
        <f t="shared" si="109"/>
        <v>0.26878630029202749</v>
      </c>
      <c r="FY60" s="42">
        <f t="shared" si="109"/>
        <v>0.26878630029202749</v>
      </c>
      <c r="FZ60" s="42">
        <f t="shared" si="109"/>
        <v>0.26878630029202749</v>
      </c>
      <c r="GA60" s="42">
        <f t="shared" si="109"/>
        <v>0.26878630029202749</v>
      </c>
      <c r="GB60" s="42">
        <f t="shared" si="109"/>
        <v>0.26878630029202749</v>
      </c>
      <c r="GC60" s="42">
        <f t="shared" si="109"/>
        <v>0.26878630029202749</v>
      </c>
      <c r="GD60" s="42">
        <f t="shared" si="109"/>
        <v>0.26878630029202749</v>
      </c>
      <c r="GE60" s="42">
        <f t="shared" si="109"/>
        <v>0.26878630029202749</v>
      </c>
      <c r="GF60" s="42">
        <f t="shared" si="109"/>
        <v>0.26878630029202749</v>
      </c>
      <c r="GG60" s="42">
        <f t="shared" si="109"/>
        <v>0.26878630029202749</v>
      </c>
      <c r="GH60" s="42">
        <f t="shared" si="109"/>
        <v>0.26878630029202749</v>
      </c>
      <c r="GI60" s="42">
        <f t="shared" si="109"/>
        <v>0.26878630029202749</v>
      </c>
      <c r="GJ60" s="42">
        <f t="shared" si="109"/>
        <v>0.26878630029202749</v>
      </c>
      <c r="GK60" s="42">
        <f t="shared" si="109"/>
        <v>0.26878630029202749</v>
      </c>
      <c r="GL60" s="42">
        <f t="shared" si="109"/>
        <v>0.26878630029202749</v>
      </c>
      <c r="GM60" s="42">
        <f t="shared" ref="GM60:IG60" si="110">(($B$31+1)*GM28)/(GM28+$B$31*((1-$B$32)+$B$32*($B60/$B$33)))*GM$27</f>
        <v>0.26878630029202749</v>
      </c>
      <c r="GN60" s="42">
        <f t="shared" si="110"/>
        <v>0.26878630029202749</v>
      </c>
      <c r="GO60" s="42">
        <f t="shared" si="110"/>
        <v>0.26878630029202749</v>
      </c>
      <c r="GP60" s="42">
        <f t="shared" si="110"/>
        <v>0.26878630029202749</v>
      </c>
      <c r="GQ60" s="42">
        <f t="shared" si="110"/>
        <v>0.26878630029202749</v>
      </c>
      <c r="GR60" s="42">
        <f t="shared" si="110"/>
        <v>0.26878630029202749</v>
      </c>
      <c r="GS60" s="42">
        <f t="shared" si="110"/>
        <v>0.40527807427578094</v>
      </c>
      <c r="GT60" s="42">
        <f t="shared" si="110"/>
        <v>0.40527807427578094</v>
      </c>
      <c r="GU60" s="42">
        <f t="shared" si="110"/>
        <v>0.26878630029202749</v>
      </c>
      <c r="GV60" s="42">
        <f t="shared" si="110"/>
        <v>0.26878630029202749</v>
      </c>
      <c r="GW60" s="42">
        <f t="shared" si="110"/>
        <v>0.26878630029202749</v>
      </c>
      <c r="GX60" s="42">
        <f t="shared" si="110"/>
        <v>0.26878630029202749</v>
      </c>
      <c r="GY60" s="42">
        <f t="shared" si="110"/>
        <v>0.26878630029202749</v>
      </c>
      <c r="GZ60" s="42">
        <f t="shared" si="110"/>
        <v>0.26878630029202749</v>
      </c>
      <c r="HA60" s="42">
        <f t="shared" si="110"/>
        <v>0.26878630029202749</v>
      </c>
      <c r="HB60" s="42">
        <f t="shared" si="110"/>
        <v>0.26878630029202749</v>
      </c>
      <c r="HC60" s="42">
        <f t="shared" si="110"/>
        <v>0.26878630029202749</v>
      </c>
      <c r="HD60" s="42">
        <f t="shared" si="110"/>
        <v>0.26878630029202749</v>
      </c>
      <c r="HE60" s="42">
        <f t="shared" si="110"/>
        <v>0.26878630029202749</v>
      </c>
      <c r="HF60" s="42">
        <f t="shared" si="110"/>
        <v>0.26878630029202749</v>
      </c>
      <c r="HG60" s="42">
        <f t="shared" si="110"/>
        <v>0.26878630029202749</v>
      </c>
      <c r="HH60" s="42">
        <f t="shared" si="110"/>
        <v>0.26878630029202749</v>
      </c>
      <c r="HI60" s="42">
        <f t="shared" si="110"/>
        <v>0.26878630029202749</v>
      </c>
      <c r="HJ60" s="42">
        <f t="shared" si="110"/>
        <v>0.26878630029202749</v>
      </c>
      <c r="HK60" s="42">
        <f t="shared" si="110"/>
        <v>0.26878630029202749</v>
      </c>
      <c r="HL60" s="42">
        <f t="shared" si="110"/>
        <v>0.26878630029202749</v>
      </c>
      <c r="HM60" s="42">
        <f t="shared" si="110"/>
        <v>0.26878630029202749</v>
      </c>
      <c r="HN60" s="42">
        <f t="shared" si="110"/>
        <v>0.26878630029202749</v>
      </c>
      <c r="HO60" s="42">
        <f t="shared" si="110"/>
        <v>0.26878630029202749</v>
      </c>
      <c r="HP60" s="42">
        <f t="shared" si="110"/>
        <v>0.26878630029202749</v>
      </c>
      <c r="HQ60" s="42">
        <f t="shared" si="110"/>
        <v>0.26878630029202749</v>
      </c>
      <c r="HR60" s="42">
        <f t="shared" si="110"/>
        <v>0.26878630029202749</v>
      </c>
      <c r="HS60" s="42">
        <f t="shared" si="110"/>
        <v>0.26878630029202749</v>
      </c>
      <c r="HT60" s="42">
        <f t="shared" si="110"/>
        <v>0.26878630029202749</v>
      </c>
      <c r="HU60" s="42">
        <f t="shared" si="110"/>
        <v>0.26878630029202749</v>
      </c>
      <c r="HV60" s="42">
        <f t="shared" si="110"/>
        <v>0.26878630029202749</v>
      </c>
      <c r="HW60" s="42">
        <f t="shared" si="110"/>
        <v>0.26878630029202749</v>
      </c>
      <c r="HX60" s="42">
        <f t="shared" si="110"/>
        <v>0.26878630029202749</v>
      </c>
      <c r="HY60" s="42">
        <f t="shared" si="110"/>
        <v>0.26878630029202749</v>
      </c>
      <c r="HZ60" s="42">
        <f t="shared" si="110"/>
        <v>0.26878630029202749</v>
      </c>
      <c r="IA60" s="42">
        <f t="shared" si="110"/>
        <v>0.40527807427578094</v>
      </c>
      <c r="IB60" s="42">
        <f t="shared" si="110"/>
        <v>0.26878630029202749</v>
      </c>
      <c r="IC60" s="42">
        <f t="shared" si="110"/>
        <v>0.26878630029202749</v>
      </c>
      <c r="ID60" s="42">
        <f t="shared" si="110"/>
        <v>0.26878630029202749</v>
      </c>
      <c r="IE60" s="42">
        <f t="shared" si="110"/>
        <v>0.40527807427578094</v>
      </c>
      <c r="IF60" s="42">
        <f t="shared" si="110"/>
        <v>0.49128415019758503</v>
      </c>
      <c r="IG60" s="42">
        <f t="shared" si="110"/>
        <v>0.26878630029202749</v>
      </c>
    </row>
    <row r="63" spans="1:243" x14ac:dyDescent="0.3">
      <c r="C63" t="s">
        <v>309</v>
      </c>
      <c r="Z63" s="37"/>
      <c r="AA63" t="s">
        <v>311</v>
      </c>
    </row>
    <row r="64" spans="1:243" x14ac:dyDescent="0.3">
      <c r="C64" s="34" t="s">
        <v>37</v>
      </c>
      <c r="D64" s="34" t="s">
        <v>38</v>
      </c>
      <c r="E64" s="34" t="s">
        <v>39</v>
      </c>
      <c r="F64" s="34" t="s">
        <v>40</v>
      </c>
      <c r="G64" s="34" t="s">
        <v>41</v>
      </c>
      <c r="H64" s="34" t="s">
        <v>43</v>
      </c>
      <c r="I64" s="34" t="s">
        <v>44</v>
      </c>
      <c r="J64" s="34" t="s">
        <v>42</v>
      </c>
      <c r="K64" s="34" t="s">
        <v>45</v>
      </c>
      <c r="L64" s="34" t="s">
        <v>46</v>
      </c>
      <c r="M64" s="34" t="s">
        <v>47</v>
      </c>
      <c r="N64" s="34" t="s">
        <v>48</v>
      </c>
      <c r="O64" s="34" t="s">
        <v>49</v>
      </c>
      <c r="P64" s="34" t="s">
        <v>50</v>
      </c>
      <c r="Q64" s="34" t="s">
        <v>51</v>
      </c>
      <c r="R64" s="34" t="s">
        <v>52</v>
      </c>
      <c r="S64" s="34" t="s">
        <v>53</v>
      </c>
      <c r="T64" s="34" t="s">
        <v>54</v>
      </c>
      <c r="U64" s="34" t="s">
        <v>55</v>
      </c>
      <c r="V64" s="34" t="s">
        <v>56</v>
      </c>
      <c r="W64" s="34" t="s">
        <v>57</v>
      </c>
      <c r="X64" s="34" t="s">
        <v>58</v>
      </c>
      <c r="Z64" s="37"/>
      <c r="AA64" s="34" t="s">
        <v>37</v>
      </c>
      <c r="AB64" s="34" t="s">
        <v>38</v>
      </c>
      <c r="AC64" s="34" t="s">
        <v>39</v>
      </c>
      <c r="AD64" s="34" t="s">
        <v>40</v>
      </c>
      <c r="AE64" s="34" t="s">
        <v>41</v>
      </c>
      <c r="AF64" s="34" t="s">
        <v>43</v>
      </c>
      <c r="AG64" s="34" t="s">
        <v>44</v>
      </c>
      <c r="AH64" s="34" t="s">
        <v>42</v>
      </c>
      <c r="AI64" s="34" t="s">
        <v>45</v>
      </c>
      <c r="AJ64" s="34" t="s">
        <v>46</v>
      </c>
      <c r="AK64" s="34" t="s">
        <v>47</v>
      </c>
      <c r="AL64" s="34" t="s">
        <v>48</v>
      </c>
      <c r="AM64" s="34" t="s">
        <v>49</v>
      </c>
      <c r="AN64" s="34" t="s">
        <v>50</v>
      </c>
      <c r="AO64" s="34" t="s">
        <v>51</v>
      </c>
      <c r="AP64" s="34" t="s">
        <v>52</v>
      </c>
      <c r="AQ64" s="34" t="s">
        <v>53</v>
      </c>
      <c r="AR64" s="34" t="s">
        <v>54</v>
      </c>
      <c r="AS64" s="34" t="s">
        <v>55</v>
      </c>
      <c r="AT64" s="34" t="s">
        <v>56</v>
      </c>
      <c r="AU64" s="34" t="s">
        <v>57</v>
      </c>
      <c r="AV64" s="34" t="s">
        <v>58</v>
      </c>
    </row>
    <row r="65" spans="2:48" x14ac:dyDescent="0.3">
      <c r="B65" s="34" t="s">
        <v>37</v>
      </c>
      <c r="C65" s="39">
        <v>1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40"/>
      <c r="Z65" s="34" t="s">
        <v>37</v>
      </c>
      <c r="AA65" s="39">
        <v>1</v>
      </c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2:48" x14ac:dyDescent="0.3">
      <c r="B66" s="34" t="s">
        <v>38</v>
      </c>
      <c r="C66" s="39">
        <v>9.3817663437430806E-3</v>
      </c>
      <c r="D66" s="39">
        <v>0.99999999999999989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40"/>
      <c r="Z66" s="34" t="s">
        <v>38</v>
      </c>
      <c r="AA66" s="39">
        <f>C66/$C$88</f>
        <v>4.6263124413966406E-2</v>
      </c>
      <c r="AB66" s="39">
        <v>1</v>
      </c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2:48" x14ac:dyDescent="0.3">
      <c r="B67" s="34" t="s">
        <v>39</v>
      </c>
      <c r="C67" s="39">
        <v>4.636457165458497E-2</v>
      </c>
      <c r="D67" s="39">
        <v>0</v>
      </c>
      <c r="E67" s="39">
        <v>1</v>
      </c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40"/>
      <c r="Z67" s="34" t="s">
        <v>39</v>
      </c>
      <c r="AA67" s="39">
        <f>C67/$C$88</f>
        <v>0.22863178086788052</v>
      </c>
      <c r="AB67" s="39">
        <f>D67/$C$88</f>
        <v>0</v>
      </c>
      <c r="AC67" s="39">
        <v>1</v>
      </c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2:48" x14ac:dyDescent="0.3">
      <c r="B68" s="34" t="s">
        <v>40</v>
      </c>
      <c r="C68" s="39">
        <v>4.5814327865093832E-2</v>
      </c>
      <c r="D68" s="39">
        <v>5.5672783947624579E-2</v>
      </c>
      <c r="E68" s="39">
        <v>2.6294657143707465E-2</v>
      </c>
      <c r="F68" s="39">
        <v>0.99999999999999989</v>
      </c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40"/>
      <c r="Z68" s="34" t="s">
        <v>40</v>
      </c>
      <c r="AA68" s="39">
        <f t="shared" ref="AA68:AA86" si="111">C68/$C$88</f>
        <v>0.22591843287363866</v>
      </c>
      <c r="AB68" s="39">
        <f t="shared" ref="AB68:AU86" si="112">D68/$C$88</f>
        <v>0.27453219744260132</v>
      </c>
      <c r="AC68" s="39">
        <f t="shared" si="112"/>
        <v>0.12966353565959604</v>
      </c>
      <c r="AD68" s="39">
        <v>0.99999999999999989</v>
      </c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2:48" x14ac:dyDescent="0.3">
      <c r="B69" s="34" t="s">
        <v>41</v>
      </c>
      <c r="C69" s="39">
        <v>0</v>
      </c>
      <c r="D69" s="39">
        <v>0</v>
      </c>
      <c r="E69" s="39">
        <v>4.6829042400040856E-2</v>
      </c>
      <c r="F69" s="39">
        <v>0</v>
      </c>
      <c r="G69" s="39">
        <v>0.99999999999999989</v>
      </c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40"/>
      <c r="Z69" s="34" t="s">
        <v>41</v>
      </c>
      <c r="AA69" s="39">
        <f t="shared" si="111"/>
        <v>0</v>
      </c>
      <c r="AB69" s="39">
        <f t="shared" si="112"/>
        <v>0</v>
      </c>
      <c r="AC69" s="39">
        <f t="shared" si="112"/>
        <v>0.23092216703785842</v>
      </c>
      <c r="AD69" s="39">
        <f t="shared" si="112"/>
        <v>0</v>
      </c>
      <c r="AE69" s="39">
        <v>0.99999999999999989</v>
      </c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2:48" x14ac:dyDescent="0.3">
      <c r="B70" s="34" t="s">
        <v>43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0.99999999999999989</v>
      </c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40"/>
      <c r="Z70" s="34" t="s">
        <v>43</v>
      </c>
      <c r="AA70" s="39">
        <f t="shared" si="111"/>
        <v>0</v>
      </c>
      <c r="AB70" s="39">
        <f t="shared" si="112"/>
        <v>0</v>
      </c>
      <c r="AC70" s="39">
        <f t="shared" si="112"/>
        <v>0</v>
      </c>
      <c r="AD70" s="39">
        <f t="shared" si="112"/>
        <v>0</v>
      </c>
      <c r="AE70" s="39">
        <f t="shared" si="112"/>
        <v>0</v>
      </c>
      <c r="AF70" s="39">
        <v>0.99999999999999989</v>
      </c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2:48" x14ac:dyDescent="0.3">
      <c r="B71" s="34" t="s">
        <v>44</v>
      </c>
      <c r="C71" s="39">
        <v>1.9295962144651277E-2</v>
      </c>
      <c r="D71" s="39">
        <v>6.8473892138960803E-3</v>
      </c>
      <c r="E71" s="39">
        <v>5.0271500970147473E-2</v>
      </c>
      <c r="F71" s="39">
        <v>6.5292009510189196E-3</v>
      </c>
      <c r="G71" s="39">
        <v>0</v>
      </c>
      <c r="H71" s="39">
        <v>0</v>
      </c>
      <c r="I71" s="39">
        <v>1</v>
      </c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40"/>
      <c r="Z71" s="34" t="s">
        <v>44</v>
      </c>
      <c r="AA71" s="39">
        <f t="shared" si="111"/>
        <v>9.5151751245707031E-2</v>
      </c>
      <c r="AB71" s="39">
        <f t="shared" si="112"/>
        <v>3.3765669225454015E-2</v>
      </c>
      <c r="AC71" s="39">
        <f t="shared" si="112"/>
        <v>0.24789753002214132</v>
      </c>
      <c r="AD71" s="39">
        <f t="shared" si="112"/>
        <v>3.2196627463678816E-2</v>
      </c>
      <c r="AE71" s="39">
        <f t="shared" si="112"/>
        <v>0</v>
      </c>
      <c r="AF71" s="39">
        <f t="shared" si="112"/>
        <v>0</v>
      </c>
      <c r="AG71" s="39">
        <v>1</v>
      </c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2:48" x14ac:dyDescent="0.3">
      <c r="B72" s="34" t="s">
        <v>42</v>
      </c>
      <c r="C72" s="39">
        <v>2.563623128844118E-2</v>
      </c>
      <c r="D72" s="39">
        <v>6.0213057221511962E-2</v>
      </c>
      <c r="E72" s="39">
        <v>6.6110149413624558E-2</v>
      </c>
      <c r="F72" s="39">
        <v>8.6745664431886835E-3</v>
      </c>
      <c r="G72" s="39">
        <v>0</v>
      </c>
      <c r="H72" s="39">
        <v>0</v>
      </c>
      <c r="I72" s="39">
        <v>5.4159855207518148E-2</v>
      </c>
      <c r="J72" s="39">
        <v>0.99999999999999989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40"/>
      <c r="Z72" s="34" t="s">
        <v>42</v>
      </c>
      <c r="AA72" s="39">
        <f t="shared" si="111"/>
        <v>0.12641672305059609</v>
      </c>
      <c r="AB72" s="39">
        <f t="shared" si="112"/>
        <v>0.29692107600205769</v>
      </c>
      <c r="AC72" s="39">
        <f t="shared" si="112"/>
        <v>0.32600066504408104</v>
      </c>
      <c r="AD72" s="39">
        <f t="shared" si="112"/>
        <v>4.2775798489812188E-2</v>
      </c>
      <c r="AE72" s="39">
        <f t="shared" si="112"/>
        <v>0</v>
      </c>
      <c r="AF72" s="39">
        <f t="shared" si="112"/>
        <v>0</v>
      </c>
      <c r="AG72" s="39">
        <f t="shared" si="112"/>
        <v>0.26707168222952643</v>
      </c>
      <c r="AH72" s="39">
        <v>0.99999999999999989</v>
      </c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2:48" x14ac:dyDescent="0.3">
      <c r="B73" s="34" t="s">
        <v>45</v>
      </c>
      <c r="C73" s="39">
        <v>2.1087949469547913E-2</v>
      </c>
      <c r="D73" s="39">
        <v>7.6120819466354878E-2</v>
      </c>
      <c r="E73" s="39">
        <v>0</v>
      </c>
      <c r="F73" s="39">
        <v>1.8906657523794512E-2</v>
      </c>
      <c r="G73" s="39">
        <v>4.1913940008000229E-2</v>
      </c>
      <c r="H73" s="39">
        <v>0</v>
      </c>
      <c r="I73" s="39">
        <v>6.7463476525589398E-3</v>
      </c>
      <c r="J73" s="39">
        <v>8.9630632293282199E-3</v>
      </c>
      <c r="K73" s="39">
        <v>1</v>
      </c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40"/>
      <c r="Z73" s="34" t="s">
        <v>45</v>
      </c>
      <c r="AA73" s="39">
        <f t="shared" si="111"/>
        <v>0.10398835296039734</v>
      </c>
      <c r="AB73" s="39">
        <f t="shared" si="112"/>
        <v>0.3753650232201402</v>
      </c>
      <c r="AC73" s="39">
        <f t="shared" si="112"/>
        <v>0</v>
      </c>
      <c r="AD73" s="39">
        <f t="shared" si="112"/>
        <v>9.3232022332223691E-2</v>
      </c>
      <c r="AE73" s="39">
        <f t="shared" si="112"/>
        <v>0.20668494079079783</v>
      </c>
      <c r="AF73" s="39">
        <f t="shared" si="112"/>
        <v>0</v>
      </c>
      <c r="AG73" s="39">
        <f t="shared" si="112"/>
        <v>3.3267415682160531E-2</v>
      </c>
      <c r="AH73" s="39">
        <f t="shared" si="112"/>
        <v>4.4198426406686725E-2</v>
      </c>
      <c r="AI73" s="39">
        <v>0.99999999999999989</v>
      </c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2:48" x14ac:dyDescent="0.3">
      <c r="B74" s="34" t="s">
        <v>46</v>
      </c>
      <c r="C74" s="39">
        <v>0</v>
      </c>
      <c r="D74" s="39">
        <v>0</v>
      </c>
      <c r="E74" s="39">
        <v>0</v>
      </c>
      <c r="F74" s="39">
        <v>0</v>
      </c>
      <c r="G74" s="39">
        <v>4.2230199116027746E-2</v>
      </c>
      <c r="H74" s="39">
        <v>0</v>
      </c>
      <c r="I74" s="39">
        <v>1.9303468944362755E-2</v>
      </c>
      <c r="J74" s="39">
        <v>0</v>
      </c>
      <c r="K74" s="39">
        <v>3.3468005902806207E-2</v>
      </c>
      <c r="L74" s="39">
        <v>0.99999999999999989</v>
      </c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40"/>
      <c r="Z74" s="34" t="s">
        <v>46</v>
      </c>
      <c r="AA74" s="39">
        <f t="shared" si="111"/>
        <v>0</v>
      </c>
      <c r="AB74" s="39">
        <f t="shared" si="112"/>
        <v>0</v>
      </c>
      <c r="AC74" s="39">
        <f t="shared" si="112"/>
        <v>0</v>
      </c>
      <c r="AD74" s="39">
        <f t="shared" si="112"/>
        <v>0</v>
      </c>
      <c r="AE74" s="39">
        <f t="shared" si="112"/>
        <v>0.20824446955389531</v>
      </c>
      <c r="AF74" s="39">
        <f t="shared" si="112"/>
        <v>0</v>
      </c>
      <c r="AG74" s="39">
        <f t="shared" si="112"/>
        <v>9.5188768582984307E-2</v>
      </c>
      <c r="AH74" s="39">
        <f t="shared" si="112"/>
        <v>0</v>
      </c>
      <c r="AI74" s="39">
        <f t="shared" si="112"/>
        <v>0.16503656819395274</v>
      </c>
      <c r="AJ74" s="39">
        <v>0.99999999999999989</v>
      </c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</row>
    <row r="75" spans="2:48" x14ac:dyDescent="0.3">
      <c r="B75" s="34" t="s">
        <v>47</v>
      </c>
      <c r="C75" s="39">
        <v>0</v>
      </c>
      <c r="D75" s="39">
        <v>0</v>
      </c>
      <c r="E75" s="39">
        <v>1.028741153077326E-2</v>
      </c>
      <c r="F75" s="39">
        <v>0</v>
      </c>
      <c r="G75" s="39">
        <v>0</v>
      </c>
      <c r="H75" s="39">
        <v>0</v>
      </c>
      <c r="I75" s="39">
        <v>2.6770649583048069E-2</v>
      </c>
      <c r="J75" s="39">
        <v>9.6380323778799855E-3</v>
      </c>
      <c r="K75" s="39">
        <v>0</v>
      </c>
      <c r="L75" s="39">
        <v>2.4371179338079564E-2</v>
      </c>
      <c r="M75" s="39">
        <v>1.0000000000000002</v>
      </c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40"/>
      <c r="Z75" s="34" t="s">
        <v>47</v>
      </c>
      <c r="AA75" s="39">
        <f t="shared" si="111"/>
        <v>0</v>
      </c>
      <c r="AB75" s="39">
        <f t="shared" si="112"/>
        <v>0</v>
      </c>
      <c r="AC75" s="39">
        <f t="shared" si="112"/>
        <v>5.072901862059731E-2</v>
      </c>
      <c r="AD75" s="39">
        <f t="shared" si="112"/>
        <v>0</v>
      </c>
      <c r="AE75" s="39">
        <f t="shared" si="112"/>
        <v>0</v>
      </c>
      <c r="AF75" s="39">
        <f t="shared" si="112"/>
        <v>0</v>
      </c>
      <c r="AG75" s="39">
        <f t="shared" si="112"/>
        <v>0.13201073730952925</v>
      </c>
      <c r="AH75" s="39">
        <f t="shared" si="112"/>
        <v>4.7526816877193886E-2</v>
      </c>
      <c r="AI75" s="39">
        <f t="shared" si="112"/>
        <v>0</v>
      </c>
      <c r="AJ75" s="39">
        <f t="shared" si="112"/>
        <v>0.12017853147500412</v>
      </c>
      <c r="AK75" s="39">
        <v>1</v>
      </c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</row>
    <row r="76" spans="2:48" x14ac:dyDescent="0.3">
      <c r="B76" s="34" t="s">
        <v>48</v>
      </c>
      <c r="C76" s="39">
        <v>9.7498479631504716E-3</v>
      </c>
      <c r="D76" s="39">
        <v>0</v>
      </c>
      <c r="E76" s="39">
        <v>5.5888923737456662E-3</v>
      </c>
      <c r="F76" s="39">
        <v>8.7413447483143687E-3</v>
      </c>
      <c r="G76" s="39">
        <v>2.381995299371438E-2</v>
      </c>
      <c r="H76" s="39">
        <v>0</v>
      </c>
      <c r="I76" s="39">
        <v>3.5392777381190434E-2</v>
      </c>
      <c r="J76" s="39">
        <v>5.2361009855117933E-3</v>
      </c>
      <c r="K76" s="39">
        <v>6.3717514953942012E-2</v>
      </c>
      <c r="L76" s="39">
        <v>2.7549039153750211E-2</v>
      </c>
      <c r="M76" s="39">
        <v>0.11099954104787127</v>
      </c>
      <c r="N76" s="39">
        <v>1.0000000000000002</v>
      </c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40"/>
      <c r="Z76" s="34" t="s">
        <v>48</v>
      </c>
      <c r="AA76" s="39">
        <f t="shared" si="111"/>
        <v>4.8078199009646896E-2</v>
      </c>
      <c r="AB76" s="39">
        <f t="shared" si="112"/>
        <v>0</v>
      </c>
      <c r="AC76" s="39">
        <f t="shared" si="112"/>
        <v>2.7559802040401829E-2</v>
      </c>
      <c r="AD76" s="39">
        <f t="shared" si="112"/>
        <v>4.3105093947084346E-2</v>
      </c>
      <c r="AE76" s="39">
        <f t="shared" si="112"/>
        <v>0.11746033833148911</v>
      </c>
      <c r="AF76" s="39">
        <f t="shared" si="112"/>
        <v>0</v>
      </c>
      <c r="AG76" s="39">
        <f t="shared" si="112"/>
        <v>0.17452795170430102</v>
      </c>
      <c r="AH76" s="39">
        <f t="shared" si="112"/>
        <v>2.5820126238635076E-2</v>
      </c>
      <c r="AI76" s="39">
        <f t="shared" si="112"/>
        <v>0.31420216765779097</v>
      </c>
      <c r="AJ76" s="39">
        <f t="shared" si="112"/>
        <v>0.13584911190046581</v>
      </c>
      <c r="AK76" s="39">
        <f t="shared" si="112"/>
        <v>0.54735807621297394</v>
      </c>
      <c r="AL76" s="39">
        <v>1</v>
      </c>
      <c r="AM76" s="39"/>
      <c r="AN76" s="39"/>
      <c r="AO76" s="39"/>
      <c r="AP76" s="39"/>
      <c r="AQ76" s="39"/>
      <c r="AR76" s="39"/>
      <c r="AS76" s="39"/>
      <c r="AT76" s="39"/>
      <c r="AU76" s="39"/>
      <c r="AV76" s="39"/>
    </row>
    <row r="77" spans="2:48" x14ac:dyDescent="0.3">
      <c r="B77" s="34" t="s">
        <v>49</v>
      </c>
      <c r="C77" s="39">
        <v>4.0971687844291761E-2</v>
      </c>
      <c r="D77" s="39">
        <v>3.62611002196341E-2</v>
      </c>
      <c r="E77" s="39">
        <v>3.652349107250713E-2</v>
      </c>
      <c r="F77" s="39">
        <v>3.673366494748366E-2</v>
      </c>
      <c r="G77" s="39">
        <v>0</v>
      </c>
      <c r="H77" s="39">
        <v>0</v>
      </c>
      <c r="I77" s="39">
        <v>5.4752121123751883E-3</v>
      </c>
      <c r="J77" s="39">
        <v>6.8414928840877269E-3</v>
      </c>
      <c r="K77" s="39">
        <v>4.7527322084306274E-2</v>
      </c>
      <c r="L77" s="39">
        <v>0</v>
      </c>
      <c r="M77" s="39">
        <v>6.5512831809248859E-3</v>
      </c>
      <c r="N77" s="39">
        <v>1.3273333678976706E-2</v>
      </c>
      <c r="O77" s="39">
        <v>0.99999999999999989</v>
      </c>
      <c r="P77" s="39"/>
      <c r="Q77" s="39"/>
      <c r="R77" s="39"/>
      <c r="S77" s="39"/>
      <c r="T77" s="39"/>
      <c r="U77" s="39"/>
      <c r="V77" s="39"/>
      <c r="W77" s="39"/>
      <c r="X77" s="39"/>
      <c r="Y77" s="40"/>
      <c r="Z77" s="34" t="s">
        <v>49</v>
      </c>
      <c r="AA77" s="39">
        <f t="shared" si="111"/>
        <v>0.20203853120418028</v>
      </c>
      <c r="AB77" s="39">
        <f t="shared" si="112"/>
        <v>0.17880980290742748</v>
      </c>
      <c r="AC77" s="39">
        <f t="shared" si="112"/>
        <v>0.18010369791896202</v>
      </c>
      <c r="AD77" s="39">
        <f t="shared" si="112"/>
        <v>0.18114010191479266</v>
      </c>
      <c r="AE77" s="39">
        <f t="shared" si="112"/>
        <v>0</v>
      </c>
      <c r="AF77" s="39">
        <f t="shared" si="112"/>
        <v>0</v>
      </c>
      <c r="AG77" s="39">
        <f t="shared" si="112"/>
        <v>2.6999224865219662E-2</v>
      </c>
      <c r="AH77" s="39">
        <f t="shared" si="112"/>
        <v>3.3736593395859139E-2</v>
      </c>
      <c r="AI77" s="39">
        <f t="shared" si="112"/>
        <v>0.23436550582133397</v>
      </c>
      <c r="AJ77" s="39">
        <f t="shared" si="112"/>
        <v>0</v>
      </c>
      <c r="AK77" s="39">
        <f t="shared" si="112"/>
        <v>3.2305518786703381E-2</v>
      </c>
      <c r="AL77" s="39">
        <f t="shared" si="112"/>
        <v>6.5453120966727618E-2</v>
      </c>
      <c r="AM77" s="39">
        <v>0.99999999999999989</v>
      </c>
      <c r="AN77" s="39"/>
      <c r="AO77" s="39"/>
      <c r="AP77" s="39"/>
      <c r="AQ77" s="39"/>
      <c r="AR77" s="39"/>
      <c r="AS77" s="39"/>
      <c r="AT77" s="39"/>
      <c r="AU77" s="39"/>
      <c r="AV77" s="39"/>
    </row>
    <row r="78" spans="2:48" x14ac:dyDescent="0.3">
      <c r="B78" s="34" t="s">
        <v>50</v>
      </c>
      <c r="C78" s="39">
        <v>0</v>
      </c>
      <c r="D78" s="39">
        <v>0</v>
      </c>
      <c r="E78" s="39">
        <v>9.4309365812659599E-3</v>
      </c>
      <c r="F78" s="39">
        <v>0</v>
      </c>
      <c r="G78" s="39">
        <v>0</v>
      </c>
      <c r="H78" s="39">
        <v>0</v>
      </c>
      <c r="I78" s="39">
        <v>7.0711029612785057E-3</v>
      </c>
      <c r="J78" s="39">
        <v>8.8356212689725891E-3</v>
      </c>
      <c r="K78" s="39">
        <v>0</v>
      </c>
      <c r="L78" s="39">
        <v>0</v>
      </c>
      <c r="M78" s="39">
        <v>0.12083049848270691</v>
      </c>
      <c r="N78" s="39">
        <v>4.2575901048233923E-2</v>
      </c>
      <c r="O78" s="39">
        <v>6.0058583269850807E-3</v>
      </c>
      <c r="P78" s="39">
        <v>1.0000000000000002</v>
      </c>
      <c r="Q78" s="39"/>
      <c r="R78" s="39"/>
      <c r="S78" s="39"/>
      <c r="T78" s="39"/>
      <c r="U78" s="39"/>
      <c r="V78" s="39"/>
      <c r="W78" s="39"/>
      <c r="X78" s="39"/>
      <c r="Y78" s="40"/>
      <c r="Z78" s="34" t="s">
        <v>50</v>
      </c>
      <c r="AA78" s="39">
        <f t="shared" si="111"/>
        <v>0</v>
      </c>
      <c r="AB78" s="39">
        <f t="shared" si="112"/>
        <v>0</v>
      </c>
      <c r="AC78" s="39">
        <f t="shared" si="112"/>
        <v>4.6505591422058366E-2</v>
      </c>
      <c r="AD78" s="39">
        <f t="shared" si="112"/>
        <v>0</v>
      </c>
      <c r="AE78" s="39">
        <f t="shared" si="112"/>
        <v>0</v>
      </c>
      <c r="AF78" s="39">
        <f t="shared" si="112"/>
        <v>0</v>
      </c>
      <c r="AG78" s="39">
        <f t="shared" si="112"/>
        <v>3.4868840691152501E-2</v>
      </c>
      <c r="AH78" s="39">
        <f t="shared" si="112"/>
        <v>4.3569987896125817E-2</v>
      </c>
      <c r="AI78" s="39">
        <f t="shared" si="112"/>
        <v>0</v>
      </c>
      <c r="AJ78" s="39">
        <f t="shared" si="112"/>
        <v>0</v>
      </c>
      <c r="AK78" s="39">
        <f t="shared" si="112"/>
        <v>0.59583624015909842</v>
      </c>
      <c r="AL78" s="39">
        <f t="shared" si="112"/>
        <v>0.20994918601280277</v>
      </c>
      <c r="AM78" s="39">
        <f t="shared" si="112"/>
        <v>2.9615933803262048E-2</v>
      </c>
      <c r="AN78" s="39">
        <v>1.0000000000000002</v>
      </c>
      <c r="AO78" s="39"/>
      <c r="AP78" s="39"/>
      <c r="AQ78" s="39"/>
      <c r="AR78" s="39"/>
      <c r="AS78" s="39"/>
      <c r="AT78" s="39"/>
      <c r="AU78" s="39"/>
      <c r="AV78" s="39"/>
    </row>
    <row r="79" spans="2:48" x14ac:dyDescent="0.3">
      <c r="B79" s="34" t="s">
        <v>51</v>
      </c>
      <c r="C79" s="39">
        <v>0.11382675837273222</v>
      </c>
      <c r="D79" s="39">
        <v>8.745707428866838E-3</v>
      </c>
      <c r="E79" s="39">
        <v>6.4575392873342768E-2</v>
      </c>
      <c r="F79" s="39">
        <v>8.3393070669923238E-3</v>
      </c>
      <c r="G79" s="39">
        <v>0</v>
      </c>
      <c r="H79" s="39">
        <v>0</v>
      </c>
      <c r="I79" s="39">
        <v>1.4648552558610951E-2</v>
      </c>
      <c r="J79" s="39">
        <v>1.8840530762057928E-2</v>
      </c>
      <c r="K79" s="39">
        <v>8.6166538719553674E-3</v>
      </c>
      <c r="L79" s="39">
        <v>0</v>
      </c>
      <c r="M79" s="39">
        <v>9.4045264818409836E-3</v>
      </c>
      <c r="N79" s="39">
        <v>5.1092430953911146E-3</v>
      </c>
      <c r="O79" s="39">
        <v>8.5065684975283593E-2</v>
      </c>
      <c r="P79" s="39">
        <v>5.5050855980282566E-2</v>
      </c>
      <c r="Q79" s="39">
        <v>1.0000000000000002</v>
      </c>
      <c r="R79" s="39"/>
      <c r="S79" s="39"/>
      <c r="T79" s="39"/>
      <c r="U79" s="39"/>
      <c r="V79" s="39"/>
      <c r="W79" s="39"/>
      <c r="X79" s="39"/>
      <c r="Y79" s="40"/>
      <c r="Z79" s="34" t="s">
        <v>51</v>
      </c>
      <c r="AA79" s="39">
        <f t="shared" si="111"/>
        <v>0.56129957742426706</v>
      </c>
      <c r="AB79" s="39">
        <f t="shared" si="112"/>
        <v>4.3126607084992739E-2</v>
      </c>
      <c r="AC79" s="39">
        <f t="shared" si="112"/>
        <v>0.31843251314531218</v>
      </c>
      <c r="AD79" s="39">
        <f t="shared" si="112"/>
        <v>4.1122576093982108E-2</v>
      </c>
      <c r="AE79" s="39">
        <f t="shared" si="112"/>
        <v>0</v>
      </c>
      <c r="AF79" s="39">
        <f t="shared" si="112"/>
        <v>0</v>
      </c>
      <c r="AG79" s="39">
        <f t="shared" si="112"/>
        <v>7.2234564864803966E-2</v>
      </c>
      <c r="AH79" s="39">
        <f t="shared" si="112"/>
        <v>9.2905939748920752E-2</v>
      </c>
      <c r="AI79" s="39">
        <f t="shared" si="112"/>
        <v>4.249022151102861E-2</v>
      </c>
      <c r="AJ79" s="39">
        <f t="shared" si="112"/>
        <v>0</v>
      </c>
      <c r="AK79" s="39">
        <f t="shared" si="112"/>
        <v>4.6375358620396476E-2</v>
      </c>
      <c r="AL79" s="39">
        <f t="shared" si="112"/>
        <v>2.5194567880164519E-2</v>
      </c>
      <c r="AM79" s="39">
        <f t="shared" si="112"/>
        <v>0.41947371349697177</v>
      </c>
      <c r="AN79" s="39">
        <f t="shared" si="112"/>
        <v>0.27146536227793561</v>
      </c>
      <c r="AO79" s="39">
        <v>1</v>
      </c>
      <c r="AP79" s="39"/>
      <c r="AQ79" s="39"/>
      <c r="AR79" s="39"/>
      <c r="AS79" s="39"/>
      <c r="AT79" s="39"/>
      <c r="AU79" s="39"/>
      <c r="AV79" s="39"/>
    </row>
    <row r="80" spans="2:48" x14ac:dyDescent="0.3">
      <c r="B80" s="34" t="s">
        <v>52</v>
      </c>
      <c r="C80" s="39">
        <v>0</v>
      </c>
      <c r="D80" s="39">
        <v>0</v>
      </c>
      <c r="E80" s="39">
        <v>0.20279145566983828</v>
      </c>
      <c r="F80" s="39">
        <v>0</v>
      </c>
      <c r="G80" s="39">
        <v>0</v>
      </c>
      <c r="H80" s="39">
        <v>0</v>
      </c>
      <c r="I80" s="39">
        <v>9.0320977310389579E-3</v>
      </c>
      <c r="J80" s="39">
        <v>1.1285961363144642E-2</v>
      </c>
      <c r="K80" s="39">
        <v>0</v>
      </c>
      <c r="L80" s="39">
        <v>0</v>
      </c>
      <c r="M80" s="39">
        <v>1.0807221480987731E-2</v>
      </c>
      <c r="N80" s="39">
        <v>5.8712920675715041E-3</v>
      </c>
      <c r="O80" s="39">
        <v>5.4074433490585647E-2</v>
      </c>
      <c r="P80" s="39">
        <v>9.1768660604713476E-2</v>
      </c>
      <c r="Q80" s="39">
        <v>0.11373364415189825</v>
      </c>
      <c r="R80" s="39">
        <v>0.99999999999999989</v>
      </c>
      <c r="S80" s="39"/>
      <c r="T80" s="39"/>
      <c r="U80" s="39"/>
      <c r="V80" s="39"/>
      <c r="W80" s="39"/>
      <c r="X80" s="39"/>
      <c r="Y80" s="40"/>
      <c r="Z80" s="34" t="s">
        <v>52</v>
      </c>
      <c r="AA80" s="39">
        <f t="shared" si="111"/>
        <v>0</v>
      </c>
      <c r="AB80" s="39">
        <f t="shared" si="112"/>
        <v>0</v>
      </c>
      <c r="AC80" s="39">
        <f t="shared" si="112"/>
        <v>1</v>
      </c>
      <c r="AD80" s="39">
        <f t="shared" si="112"/>
        <v>0</v>
      </c>
      <c r="AE80" s="39">
        <f t="shared" si="112"/>
        <v>0</v>
      </c>
      <c r="AF80" s="39">
        <f t="shared" si="112"/>
        <v>0</v>
      </c>
      <c r="AG80" s="39">
        <f t="shared" si="112"/>
        <v>4.4538847562413976E-2</v>
      </c>
      <c r="AH80" s="39">
        <f t="shared" si="112"/>
        <v>5.5653041820061422E-2</v>
      </c>
      <c r="AI80" s="39">
        <f t="shared" si="112"/>
        <v>0</v>
      </c>
      <c r="AJ80" s="39">
        <f t="shared" si="112"/>
        <v>0</v>
      </c>
      <c r="AK80" s="39">
        <f t="shared" si="112"/>
        <v>5.3292292050917602E-2</v>
      </c>
      <c r="AL80" s="39">
        <f t="shared" si="112"/>
        <v>2.8952364132789038E-2</v>
      </c>
      <c r="AM80" s="39">
        <f t="shared" si="112"/>
        <v>0.26665045286041744</v>
      </c>
      <c r="AN80" s="39">
        <f t="shared" si="112"/>
        <v>0.45252725417643164</v>
      </c>
      <c r="AO80" s="39">
        <f t="shared" si="112"/>
        <v>0.56084041497816506</v>
      </c>
      <c r="AP80" s="39">
        <v>0.99999999999999989</v>
      </c>
      <c r="AQ80" s="39"/>
      <c r="AR80" s="39"/>
      <c r="AS80" s="39"/>
      <c r="AT80" s="39"/>
      <c r="AU80" s="39"/>
      <c r="AV80" s="39"/>
    </row>
    <row r="81" spans="2:48" x14ac:dyDescent="0.3">
      <c r="B81" s="34" t="s">
        <v>53</v>
      </c>
      <c r="C81" s="39">
        <v>1.2765618860711592E-2</v>
      </c>
      <c r="D81" s="39">
        <v>0</v>
      </c>
      <c r="E81" s="39">
        <v>1.8896839398406067E-2</v>
      </c>
      <c r="F81" s="39">
        <v>3.8982994827520434E-2</v>
      </c>
      <c r="G81" s="39">
        <v>0</v>
      </c>
      <c r="H81" s="39">
        <v>0</v>
      </c>
      <c r="I81" s="39">
        <v>3.5488988985434101E-2</v>
      </c>
      <c r="J81" s="39">
        <v>1.7704001576745124E-2</v>
      </c>
      <c r="K81" s="39">
        <v>0</v>
      </c>
      <c r="L81" s="39">
        <v>0</v>
      </c>
      <c r="M81" s="39">
        <v>5.0995442891129178E-3</v>
      </c>
      <c r="N81" s="39">
        <v>3.5926329996477054E-2</v>
      </c>
      <c r="O81" s="39">
        <v>3.6198774395205372E-3</v>
      </c>
      <c r="P81" s="39">
        <v>4.6749834630525318E-3</v>
      </c>
      <c r="Q81" s="39">
        <v>5.1964221818577416E-3</v>
      </c>
      <c r="R81" s="39">
        <v>5.9714740063192152E-3</v>
      </c>
      <c r="S81" s="39">
        <v>1</v>
      </c>
      <c r="T81" s="39"/>
      <c r="U81" s="39"/>
      <c r="V81" s="39"/>
      <c r="W81" s="39"/>
      <c r="X81" s="39"/>
      <c r="Y81" s="40"/>
      <c r="Z81" s="34" t="s">
        <v>53</v>
      </c>
      <c r="AA81" s="39">
        <f t="shared" si="111"/>
        <v>6.2949490739368744E-2</v>
      </c>
      <c r="AB81" s="39">
        <f t="shared" si="112"/>
        <v>0</v>
      </c>
      <c r="AC81" s="39">
        <f t="shared" si="112"/>
        <v>9.3183607445334021E-2</v>
      </c>
      <c r="AD81" s="39">
        <f t="shared" si="112"/>
        <v>0.19223193945107855</v>
      </c>
      <c r="AE81" s="39">
        <f t="shared" si="112"/>
        <v>0</v>
      </c>
      <c r="AF81" s="39">
        <f t="shared" si="112"/>
        <v>0</v>
      </c>
      <c r="AG81" s="39">
        <f t="shared" si="112"/>
        <v>0.17500238788764944</v>
      </c>
      <c r="AH81" s="39">
        <f t="shared" si="112"/>
        <v>8.7301516320138967E-2</v>
      </c>
      <c r="AI81" s="39">
        <f t="shared" si="112"/>
        <v>0</v>
      </c>
      <c r="AJ81" s="39">
        <f t="shared" si="112"/>
        <v>0</v>
      </c>
      <c r="AK81" s="39">
        <f t="shared" si="112"/>
        <v>2.5146741376596306E-2</v>
      </c>
      <c r="AL81" s="39">
        <f t="shared" si="112"/>
        <v>0.17715899261045875</v>
      </c>
      <c r="AM81" s="39">
        <f t="shared" si="112"/>
        <v>1.7850246340822197E-2</v>
      </c>
      <c r="AN81" s="39">
        <f t="shared" si="112"/>
        <v>2.3053157972611045E-2</v>
      </c>
      <c r="AO81" s="39">
        <f t="shared" si="112"/>
        <v>2.5624463144630502E-2</v>
      </c>
      <c r="AP81" s="39">
        <f t="shared" si="112"/>
        <v>2.9446378727323121E-2</v>
      </c>
      <c r="AQ81" s="39">
        <v>1</v>
      </c>
      <c r="AR81" s="39"/>
      <c r="AS81" s="39"/>
      <c r="AT81" s="39"/>
      <c r="AU81" s="39"/>
      <c r="AV81" s="39"/>
    </row>
    <row r="82" spans="2:48" x14ac:dyDescent="0.3">
      <c r="B82" s="34" t="s">
        <v>54</v>
      </c>
      <c r="C82" s="39">
        <v>0</v>
      </c>
      <c r="D82" s="39">
        <v>0</v>
      </c>
      <c r="E82" s="39">
        <v>0</v>
      </c>
      <c r="F82" s="39">
        <v>0</v>
      </c>
      <c r="G82" s="39">
        <v>0</v>
      </c>
      <c r="H82" s="39">
        <v>0</v>
      </c>
      <c r="I82" s="39">
        <v>4.4638479209476521E-2</v>
      </c>
      <c r="J82" s="39">
        <v>0</v>
      </c>
      <c r="K82" s="39">
        <v>0</v>
      </c>
      <c r="L82" s="39">
        <v>5.7085093588934425E-2</v>
      </c>
      <c r="M82" s="39">
        <v>5.6357351382223357E-2</v>
      </c>
      <c r="N82" s="39">
        <v>0</v>
      </c>
      <c r="O82" s="39">
        <v>0</v>
      </c>
      <c r="P82" s="39">
        <v>0</v>
      </c>
      <c r="Q82" s="39">
        <v>0</v>
      </c>
      <c r="R82" s="39">
        <v>0</v>
      </c>
      <c r="S82" s="39">
        <v>0</v>
      </c>
      <c r="T82" s="39">
        <v>1</v>
      </c>
      <c r="U82" s="39"/>
      <c r="V82" s="39"/>
      <c r="W82" s="39"/>
      <c r="X82" s="39"/>
      <c r="Y82" s="40"/>
      <c r="Z82" s="34" t="s">
        <v>54</v>
      </c>
      <c r="AA82" s="39">
        <f t="shared" si="111"/>
        <v>0</v>
      </c>
      <c r="AB82" s="39">
        <f t="shared" si="112"/>
        <v>0</v>
      </c>
      <c r="AC82" s="39">
        <f t="shared" si="112"/>
        <v>0</v>
      </c>
      <c r="AD82" s="39">
        <f t="shared" si="112"/>
        <v>0</v>
      </c>
      <c r="AE82" s="39">
        <f t="shared" si="112"/>
        <v>0</v>
      </c>
      <c r="AF82" s="39">
        <f t="shared" si="112"/>
        <v>0</v>
      </c>
      <c r="AG82" s="39">
        <f t="shared" si="112"/>
        <v>0.22012011828620512</v>
      </c>
      <c r="AH82" s="39">
        <f t="shared" si="112"/>
        <v>0</v>
      </c>
      <c r="AI82" s="39">
        <f t="shared" si="112"/>
        <v>0</v>
      </c>
      <c r="AJ82" s="39">
        <f t="shared" si="112"/>
        <v>0.2814965423487753</v>
      </c>
      <c r="AK82" s="39">
        <f t="shared" si="112"/>
        <v>0.27790791873390325</v>
      </c>
      <c r="AL82" s="39">
        <f t="shared" si="112"/>
        <v>0</v>
      </c>
      <c r="AM82" s="39">
        <f t="shared" si="112"/>
        <v>0</v>
      </c>
      <c r="AN82" s="39">
        <f t="shared" si="112"/>
        <v>0</v>
      </c>
      <c r="AO82" s="39">
        <f t="shared" si="112"/>
        <v>0</v>
      </c>
      <c r="AP82" s="39">
        <f t="shared" si="112"/>
        <v>0</v>
      </c>
      <c r="AQ82" s="39">
        <f t="shared" si="112"/>
        <v>0</v>
      </c>
      <c r="AR82" s="39">
        <v>1</v>
      </c>
      <c r="AS82" s="39"/>
      <c r="AT82" s="39"/>
      <c r="AU82" s="39"/>
      <c r="AV82" s="39"/>
    </row>
    <row r="83" spans="2:48" x14ac:dyDescent="0.3">
      <c r="B83" s="34" t="s">
        <v>55</v>
      </c>
      <c r="C83" s="39">
        <v>3.230592566545748E-2</v>
      </c>
      <c r="D83" s="39">
        <v>0</v>
      </c>
      <c r="E83" s="39">
        <v>2.6914932620650797E-2</v>
      </c>
      <c r="F83" s="39">
        <v>1.2662814205467028E-2</v>
      </c>
      <c r="G83" s="39">
        <v>8.4484808387503219E-2</v>
      </c>
      <c r="H83" s="39">
        <v>0</v>
      </c>
      <c r="I83" s="39">
        <v>1.9340771731978044E-2</v>
      </c>
      <c r="J83" s="39">
        <v>2.5215963342218123E-2</v>
      </c>
      <c r="K83" s="39">
        <v>5.2692944191829003E-2</v>
      </c>
      <c r="L83" s="39">
        <v>0</v>
      </c>
      <c r="M83" s="39">
        <v>7.2633252600472443E-3</v>
      </c>
      <c r="N83" s="39">
        <v>7.9923908368636568E-2</v>
      </c>
      <c r="O83" s="39">
        <v>1.9227906358053357E-2</v>
      </c>
      <c r="P83" s="39">
        <v>6.6586195848883072E-3</v>
      </c>
      <c r="Q83" s="39">
        <v>7.4013092848190009E-3</v>
      </c>
      <c r="R83" s="39">
        <v>8.5052223357312377E-3</v>
      </c>
      <c r="S83" s="39">
        <v>1.8114626043392146E-2</v>
      </c>
      <c r="T83" s="39">
        <v>0</v>
      </c>
      <c r="U83" s="39">
        <v>1</v>
      </c>
      <c r="V83" s="39"/>
      <c r="W83" s="39"/>
      <c r="X83" s="39"/>
      <c r="Y83" s="40"/>
      <c r="Z83" s="34" t="s">
        <v>55</v>
      </c>
      <c r="AA83" s="39">
        <f t="shared" si="111"/>
        <v>0.15930614807585519</v>
      </c>
      <c r="AB83" s="39">
        <f t="shared" si="112"/>
        <v>0</v>
      </c>
      <c r="AC83" s="39">
        <f t="shared" si="112"/>
        <v>0.13272222210619464</v>
      </c>
      <c r="AD83" s="39">
        <f t="shared" si="112"/>
        <v>6.2442543072836199E-2</v>
      </c>
      <c r="AE83" s="39">
        <f t="shared" si="112"/>
        <v>0.41660930983725303</v>
      </c>
      <c r="AF83" s="39">
        <f t="shared" si="112"/>
        <v>0</v>
      </c>
      <c r="AG83" s="39">
        <f t="shared" si="112"/>
        <v>9.5372715127931537E-2</v>
      </c>
      <c r="AH83" s="39">
        <f t="shared" si="112"/>
        <v>0.12434430858503158</v>
      </c>
      <c r="AI83" s="39">
        <f t="shared" si="112"/>
        <v>0.25983808843316158</v>
      </c>
      <c r="AJ83" s="39">
        <f t="shared" si="112"/>
        <v>0</v>
      </c>
      <c r="AK83" s="39">
        <f t="shared" si="112"/>
        <v>3.5816722337022697E-2</v>
      </c>
      <c r="AL83" s="39">
        <f t="shared" si="112"/>
        <v>0.39411871720453295</v>
      </c>
      <c r="AM83" s="39">
        <f t="shared" si="112"/>
        <v>9.4816156304721358E-2</v>
      </c>
      <c r="AN83" s="39">
        <f t="shared" si="112"/>
        <v>3.2834813295729313E-2</v>
      </c>
      <c r="AO83" s="39">
        <f t="shared" si="112"/>
        <v>3.6497145603949711E-2</v>
      </c>
      <c r="AP83" s="39">
        <f t="shared" si="112"/>
        <v>4.1940733191335546E-2</v>
      </c>
      <c r="AQ83" s="39">
        <f t="shared" si="112"/>
        <v>8.9326377107743118E-2</v>
      </c>
      <c r="AR83" s="39">
        <f t="shared" si="112"/>
        <v>0</v>
      </c>
      <c r="AS83" s="39">
        <v>1.0000000000000002</v>
      </c>
      <c r="AT83" s="39"/>
      <c r="AU83" s="39"/>
      <c r="AV83" s="39"/>
    </row>
    <row r="84" spans="2:48" x14ac:dyDescent="0.3">
      <c r="B84" s="34" t="s">
        <v>56</v>
      </c>
      <c r="C84" s="39">
        <v>8.8984894132781961E-2</v>
      </c>
      <c r="D84" s="39">
        <v>1.2641067522228011E-2</v>
      </c>
      <c r="E84" s="39">
        <v>0</v>
      </c>
      <c r="F84" s="39">
        <v>7.9780488880111439E-2</v>
      </c>
      <c r="G84" s="39">
        <v>6.0963309953565283E-2</v>
      </c>
      <c r="H84" s="39">
        <v>0</v>
      </c>
      <c r="I84" s="39">
        <v>9.8124796408773796E-3</v>
      </c>
      <c r="J84" s="39">
        <v>1.3036665168644221E-2</v>
      </c>
      <c r="K84" s="39">
        <v>1.2454533186364344E-2</v>
      </c>
      <c r="L84" s="39">
        <v>0</v>
      </c>
      <c r="M84" s="39">
        <v>0</v>
      </c>
      <c r="N84" s="39">
        <v>0</v>
      </c>
      <c r="O84" s="39">
        <v>0</v>
      </c>
      <c r="P84" s="39">
        <v>0</v>
      </c>
      <c r="Q84" s="39">
        <v>1.2532817021218669E-2</v>
      </c>
      <c r="R84" s="39">
        <v>0</v>
      </c>
      <c r="S84" s="39">
        <v>0</v>
      </c>
      <c r="T84" s="39">
        <v>0</v>
      </c>
      <c r="U84" s="39">
        <v>0</v>
      </c>
      <c r="V84" s="39">
        <v>1</v>
      </c>
      <c r="W84" s="39"/>
      <c r="X84" s="39"/>
      <c r="Y84" s="40"/>
      <c r="Z84" s="34">
        <v>1</v>
      </c>
      <c r="AA84" s="39">
        <f t="shared" si="111"/>
        <v>0.43880001669131924</v>
      </c>
      <c r="AB84" s="39">
        <f t="shared" si="112"/>
        <v>6.2335306388888213E-2</v>
      </c>
      <c r="AC84" s="39">
        <f t="shared" si="112"/>
        <v>0</v>
      </c>
      <c r="AD84" s="39">
        <f t="shared" si="112"/>
        <v>0.39341149071882425</v>
      </c>
      <c r="AE84" s="39">
        <f t="shared" si="112"/>
        <v>0.30062070293937204</v>
      </c>
      <c r="AF84" s="39">
        <f t="shared" si="112"/>
        <v>0</v>
      </c>
      <c r="AG84" s="39">
        <f t="shared" si="112"/>
        <v>4.8387046724754176E-2</v>
      </c>
      <c r="AH84" s="39">
        <f t="shared" si="112"/>
        <v>6.428606730783086E-2</v>
      </c>
      <c r="AI84" s="39">
        <f t="shared" si="112"/>
        <v>6.1415473079109321E-2</v>
      </c>
      <c r="AJ84" s="39">
        <f t="shared" si="112"/>
        <v>0</v>
      </c>
      <c r="AK84" s="39">
        <f t="shared" si="112"/>
        <v>0</v>
      </c>
      <c r="AL84" s="39">
        <f t="shared" si="112"/>
        <v>0</v>
      </c>
      <c r="AM84" s="39">
        <f t="shared" si="112"/>
        <v>0</v>
      </c>
      <c r="AN84" s="39">
        <f t="shared" si="112"/>
        <v>0</v>
      </c>
      <c r="AO84" s="39">
        <f t="shared" si="112"/>
        <v>6.1801504308066905E-2</v>
      </c>
      <c r="AP84" s="39">
        <f t="shared" si="112"/>
        <v>0</v>
      </c>
      <c r="AQ84" s="39">
        <f t="shared" si="112"/>
        <v>0</v>
      </c>
      <c r="AR84" s="39">
        <f t="shared" si="112"/>
        <v>0</v>
      </c>
      <c r="AS84" s="39">
        <f t="shared" si="112"/>
        <v>0</v>
      </c>
      <c r="AT84" s="39">
        <v>1</v>
      </c>
      <c r="AU84" s="39"/>
      <c r="AV84" s="39"/>
    </row>
    <row r="85" spans="2:48" x14ac:dyDescent="0.3">
      <c r="B85" s="34" t="s">
        <v>57</v>
      </c>
      <c r="C85" s="39">
        <v>0.10490106584742116</v>
      </c>
      <c r="D85" s="39">
        <v>0</v>
      </c>
      <c r="E85" s="39">
        <v>0</v>
      </c>
      <c r="F85" s="39">
        <v>9.626848795114825E-3</v>
      </c>
      <c r="G85" s="39">
        <v>9.707888312910351E-2</v>
      </c>
      <c r="H85" s="39">
        <v>0</v>
      </c>
      <c r="I85" s="39">
        <v>2.3724607216818558E-2</v>
      </c>
      <c r="J85" s="39">
        <v>0</v>
      </c>
      <c r="K85" s="39">
        <v>9.9470163742360444E-3</v>
      </c>
      <c r="L85" s="39">
        <v>0</v>
      </c>
      <c r="M85" s="39">
        <v>0</v>
      </c>
      <c r="N85" s="39">
        <v>7.9991825443648121E-2</v>
      </c>
      <c r="O85" s="39">
        <v>1.0698239542033111E-2</v>
      </c>
      <c r="P85" s="39">
        <v>0</v>
      </c>
      <c r="Q85" s="39">
        <v>0</v>
      </c>
      <c r="R85" s="39">
        <v>0</v>
      </c>
      <c r="S85" s="39">
        <v>2.520996235504204E-2</v>
      </c>
      <c r="T85" s="39">
        <v>0</v>
      </c>
      <c r="U85" s="39">
        <v>1.1861003616808285E-2</v>
      </c>
      <c r="V85" s="39">
        <v>0</v>
      </c>
      <c r="W85" s="39">
        <v>1</v>
      </c>
      <c r="X85" s="39"/>
      <c r="Y85" s="40"/>
      <c r="Z85" s="34">
        <v>0</v>
      </c>
      <c r="AA85" s="39">
        <f t="shared" si="111"/>
        <v>0.51728543247013825</v>
      </c>
      <c r="AB85" s="39">
        <f t="shared" si="112"/>
        <v>0</v>
      </c>
      <c r="AC85" s="39">
        <f t="shared" si="112"/>
        <v>0</v>
      </c>
      <c r="AD85" s="39">
        <f t="shared" si="112"/>
        <v>4.7471668682077771E-2</v>
      </c>
      <c r="AE85" s="39">
        <f t="shared" si="112"/>
        <v>0.47871288663737482</v>
      </c>
      <c r="AF85" s="39">
        <f t="shared" si="112"/>
        <v>0</v>
      </c>
      <c r="AG85" s="39">
        <f t="shared" si="112"/>
        <v>0.1169901716936449</v>
      </c>
      <c r="AH85" s="39">
        <f t="shared" si="112"/>
        <v>0</v>
      </c>
      <c r="AI85" s="39">
        <f t="shared" si="112"/>
        <v>4.905047079710613E-2</v>
      </c>
      <c r="AJ85" s="39">
        <f t="shared" si="112"/>
        <v>0</v>
      </c>
      <c r="AK85" s="39">
        <f t="shared" si="112"/>
        <v>0</v>
      </c>
      <c r="AL85" s="39">
        <f t="shared" si="112"/>
        <v>0.39445362813451867</v>
      </c>
      <c r="AM85" s="39">
        <f t="shared" si="112"/>
        <v>5.2754883122150639E-2</v>
      </c>
      <c r="AN85" s="39">
        <f t="shared" si="112"/>
        <v>0</v>
      </c>
      <c r="AO85" s="39">
        <f t="shared" si="112"/>
        <v>0</v>
      </c>
      <c r="AP85" s="39">
        <f t="shared" si="112"/>
        <v>0</v>
      </c>
      <c r="AQ85" s="39">
        <f t="shared" si="112"/>
        <v>0.12431471667172211</v>
      </c>
      <c r="AR85" s="39">
        <f t="shared" si="112"/>
        <v>0</v>
      </c>
      <c r="AS85" s="39">
        <f t="shared" si="112"/>
        <v>5.8488675361742098E-2</v>
      </c>
      <c r="AT85" s="39">
        <f t="shared" si="112"/>
        <v>0</v>
      </c>
      <c r="AU85" s="39">
        <v>1</v>
      </c>
      <c r="AV85" s="39"/>
    </row>
    <row r="86" spans="2:48" x14ac:dyDescent="0.3">
      <c r="B86" s="34" t="s">
        <v>58</v>
      </c>
      <c r="C86" s="39">
        <v>0</v>
      </c>
      <c r="D86" s="39">
        <v>4.3467282631628898E-2</v>
      </c>
      <c r="E86" s="39">
        <v>6.9303822709381305E-2</v>
      </c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4.2825869975361391E-2</v>
      </c>
      <c r="L86" s="39">
        <v>0</v>
      </c>
      <c r="M86" s="39">
        <v>0</v>
      </c>
      <c r="N86" s="39">
        <v>0</v>
      </c>
      <c r="O86" s="39">
        <v>3.3719403939189659E-2</v>
      </c>
      <c r="P86" s="39">
        <v>0</v>
      </c>
      <c r="Q86" s="39">
        <v>3.1548713106631647E-2</v>
      </c>
      <c r="R86" s="39">
        <v>5.5624685502644745E-2</v>
      </c>
      <c r="S86" s="39">
        <v>0</v>
      </c>
      <c r="T86" s="39">
        <v>0</v>
      </c>
      <c r="U86" s="39">
        <v>0</v>
      </c>
      <c r="V86" s="39">
        <v>0</v>
      </c>
      <c r="W86" s="39">
        <v>0.14367019610886314</v>
      </c>
      <c r="X86" s="39">
        <v>0.99999999999999989</v>
      </c>
      <c r="Y86" s="40"/>
      <c r="Z86" s="34">
        <v>0.99999999999999989</v>
      </c>
      <c r="AA86" s="39">
        <f t="shared" si="111"/>
        <v>0</v>
      </c>
      <c r="AB86" s="39">
        <f t="shared" si="112"/>
        <v>0.21434474390477934</v>
      </c>
      <c r="AC86" s="39">
        <f t="shared" si="112"/>
        <v>0.34174922449500938</v>
      </c>
      <c r="AD86" s="39">
        <f t="shared" si="112"/>
        <v>0</v>
      </c>
      <c r="AE86" s="39">
        <f t="shared" si="112"/>
        <v>0</v>
      </c>
      <c r="AF86" s="39">
        <f t="shared" si="112"/>
        <v>0</v>
      </c>
      <c r="AG86" s="39">
        <f t="shared" si="112"/>
        <v>0</v>
      </c>
      <c r="AH86" s="39">
        <f t="shared" si="112"/>
        <v>0</v>
      </c>
      <c r="AI86" s="39">
        <f t="shared" si="112"/>
        <v>0.21118182634422994</v>
      </c>
      <c r="AJ86" s="39">
        <f t="shared" si="112"/>
        <v>0</v>
      </c>
      <c r="AK86" s="39">
        <f t="shared" si="112"/>
        <v>0</v>
      </c>
      <c r="AL86" s="39">
        <f t="shared" si="112"/>
        <v>0</v>
      </c>
      <c r="AM86" s="39">
        <f t="shared" si="112"/>
        <v>0.16627625571211302</v>
      </c>
      <c r="AN86" s="39">
        <f t="shared" si="112"/>
        <v>0</v>
      </c>
      <c r="AO86" s="39">
        <f t="shared" si="112"/>
        <v>0.15557220102012401</v>
      </c>
      <c r="AP86" s="39">
        <f t="shared" si="112"/>
        <v>0.27429501563027614</v>
      </c>
      <c r="AQ86" s="39">
        <f t="shared" si="112"/>
        <v>0</v>
      </c>
      <c r="AR86" s="39">
        <f t="shared" si="112"/>
        <v>0</v>
      </c>
      <c r="AS86" s="39">
        <f t="shared" si="112"/>
        <v>0</v>
      </c>
      <c r="AT86" s="39">
        <f t="shared" si="112"/>
        <v>0</v>
      </c>
      <c r="AU86" s="39">
        <f t="shared" si="112"/>
        <v>0.70846276848453826</v>
      </c>
      <c r="AV86" s="39">
        <v>0.99999999999999989</v>
      </c>
    </row>
    <row r="87" spans="2:48" x14ac:dyDescent="0.3">
      <c r="C87" s="40">
        <f>MAX(C66:C86)</f>
        <v>0.11382675837273222</v>
      </c>
      <c r="D87" s="40">
        <f>MAX(D67:D86)</f>
        <v>7.6120819466354878E-2</v>
      </c>
      <c r="E87" s="40">
        <f>MAX(E68:E86)</f>
        <v>0.20279145566983828</v>
      </c>
      <c r="F87" s="40">
        <f>MAX(F69:F86)</f>
        <v>7.9780488880111439E-2</v>
      </c>
      <c r="G87" s="40">
        <f>MAX(G70:G86)</f>
        <v>9.707888312910351E-2</v>
      </c>
      <c r="H87" s="40">
        <f>MAX(H71:H86)</f>
        <v>0</v>
      </c>
      <c r="I87" s="40">
        <f>MAX(I72:I86)</f>
        <v>5.4159855207518148E-2</v>
      </c>
      <c r="J87" s="40">
        <f>MAX(J73:J86)</f>
        <v>2.5215963342218123E-2</v>
      </c>
      <c r="K87" s="40">
        <f>MAX(K74:K86)</f>
        <v>6.3717514953942012E-2</v>
      </c>
      <c r="L87" s="40">
        <f>MAX(L75:L86)</f>
        <v>5.7085093588934425E-2</v>
      </c>
      <c r="M87" s="40">
        <f>MAX(M76:M86)</f>
        <v>0.12083049848270691</v>
      </c>
      <c r="N87" s="40">
        <f>MAX(N77:N86)</f>
        <v>7.9991825443648121E-2</v>
      </c>
      <c r="O87" s="40">
        <f>MAX(O78:O86)</f>
        <v>8.5065684975283593E-2</v>
      </c>
      <c r="P87" s="40">
        <f>MAX(P79:P86)</f>
        <v>9.1768660604713476E-2</v>
      </c>
      <c r="Q87" s="40">
        <f>MAX(Q80:Q86)</f>
        <v>0.11373364415189825</v>
      </c>
      <c r="R87" s="40">
        <f>MAX(R81:R86)</f>
        <v>5.5624685502644745E-2</v>
      </c>
      <c r="S87" s="40">
        <f>MAX(S82:S86)</f>
        <v>2.520996235504204E-2</v>
      </c>
      <c r="T87" s="40">
        <f>MAX(T83:T86)</f>
        <v>0</v>
      </c>
      <c r="U87" s="40">
        <f>MAX(U84:U86)</f>
        <v>1.1861003616808285E-2</v>
      </c>
      <c r="V87" s="40">
        <f>MAX(V85:V86)</f>
        <v>0</v>
      </c>
      <c r="W87" s="40">
        <f>MAX(W86:W86)</f>
        <v>0.14367019610886314</v>
      </c>
      <c r="X87" s="40"/>
    </row>
    <row r="88" spans="2:48" x14ac:dyDescent="0.3">
      <c r="B88" s="37" t="s">
        <v>310</v>
      </c>
      <c r="C88" s="40">
        <f>MAX(C87:W87)</f>
        <v>0.20279145566983828</v>
      </c>
    </row>
  </sheetData>
  <conditionalFormatting sqref="C36:IG57 C58">
    <cfRule type="cellIs" dxfId="1" priority="2" operator="greaterThan">
      <formula>0</formula>
    </cfRule>
  </conditionalFormatting>
  <conditionalFormatting sqref="AA65:AV86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ThisWorkbook.CalcularMatrix">
                <anchor moveWithCells="1">
                  <from>
                    <xdr:col>0</xdr:col>
                    <xdr:colOff>99060</xdr:colOff>
                    <xdr:row>62</xdr:row>
                    <xdr:rowOff>83820</xdr:rowOff>
                  </from>
                  <to>
                    <xdr:col>0</xdr:col>
                    <xdr:colOff>883920</xdr:colOff>
                    <xdr:row>63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ThisWorkbook.CalcularSimilitudAlDocumento">
                <anchor moveWithCells="1">
                  <from>
                    <xdr:col>241</xdr:col>
                    <xdr:colOff>53340</xdr:colOff>
                    <xdr:row>31</xdr:row>
                    <xdr:rowOff>182880</xdr:rowOff>
                  </from>
                  <to>
                    <xdr:col>242</xdr:col>
                    <xdr:colOff>45720</xdr:colOff>
                    <xdr:row>33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para-cargar</vt:lpstr>
      <vt:lpstr>DUC2001</vt:lpstr>
      <vt:lpstr>DUC2002</vt:lpstr>
      <vt:lpstr>Tablas</vt:lpstr>
      <vt:lpstr>Tablas sin MA-SingleDocSum</vt:lpstr>
      <vt:lpstr>TDM-BM25</vt:lpstr>
      <vt:lpstr>Tablas!_Ref356406428</vt:lpstr>
      <vt:lpstr>'Tablas sin MA-SingleDocSum'!_Ref356406428</vt:lpstr>
      <vt:lpstr>Tablas!_Ref356415383</vt:lpstr>
      <vt:lpstr>'Tablas sin MA-SingleDocSum'!_Ref356415383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2015-06-17T05:44:37Z</dcterms:modified>
</cp:coreProperties>
</file>